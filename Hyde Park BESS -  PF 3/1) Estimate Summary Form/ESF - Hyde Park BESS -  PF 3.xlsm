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nu.com\data\SharedData\Estimating-R\10) EES Projects (PROD)\Capital Program-Project\21334\Hyde Park BESS -  PF 3\1) Estimate Summary Form\"/>
    </mc:Choice>
  </mc:AlternateContent>
  <xr:revisionPtr revIDLastSave="0" documentId="13_ncr:1_{C9570C83-E486-4661-98AE-5C4FDEE81BC8}" xr6:coauthVersionLast="36" xr6:coauthVersionMax="36" xr10:uidLastSave="{00000000-0000-0000-0000-000000000000}"/>
  <bookViews>
    <workbookView xWindow="-38535" yWindow="0" windowWidth="38610" windowHeight="9375" tabRatio="916" firstSheet="1" activeTab="2" xr2:uid="{00000000-000D-0000-FFFF-FFFF00000000}"/>
  </bookViews>
  <sheets>
    <sheet name="Table of contents" sheetId="11" state="hidden" r:id="rId1"/>
    <sheet name="Scope and Clarifications" sheetId="41" r:id="rId2"/>
    <sheet name="Overview" sheetId="3" r:id="rId3"/>
    <sheet name="Summary" sheetId="5" r:id="rId4"/>
    <sheet name="Schedule" sheetId="22" r:id="rId5"/>
    <sheet name="Bid" sheetId="45" r:id="rId6"/>
    <sheet name="Risk" sheetId="37" r:id="rId7"/>
    <sheet name="Item" sheetId="38" r:id="rId8"/>
    <sheet name="PAF" sheetId="29" r:id="rId9"/>
    <sheet name="PP4" sheetId="34" r:id="rId10"/>
    <sheet name="Delta" sheetId="36" state="hidden" r:id="rId11"/>
    <sheet name="Unit Comparison" sheetId="30" state="hidden" r:id="rId12"/>
    <sheet name="Data check" sheetId="33" state="hidden" r:id="rId13"/>
  </sheets>
  <functionGroups builtInGroupCount="19"/>
  <definedNames>
    <definedName name="_Revision" comment="Update this value for any change regardless of whether it breaks code.">"11"</definedName>
    <definedName name="_Version" comment="Update this value if the workbook is updated in a way that breaks the code.  If changes are made that don't break code update the value of the _Revision  name.">"1.3"</definedName>
    <definedName name="_xlnm.Print_Area" localSheetId="12">'Data check'!$A$1:$G$9</definedName>
    <definedName name="_xlnm.Print_Area" localSheetId="2">Overview!$A$1:$G$44</definedName>
    <definedName name="_xlnm.Print_Area" localSheetId="1">'Scope and Clarifications'!$A$2:$E$30</definedName>
    <definedName name="_xlnm.Print_Area" localSheetId="0">'Table of contents'!$B$1:$B$47</definedName>
    <definedName name="rngActualTotalCost" localSheetId="5">Bid!$E:$E</definedName>
    <definedName name="rngActualTotalCost" localSheetId="4">Schedule!$E:$E</definedName>
    <definedName name="rngBodySection" localSheetId="5">Bid!$3:$14</definedName>
    <definedName name="rngBodySection" localSheetId="10">Delta!$3:$41</definedName>
    <definedName name="rngBodySection" localSheetId="7">Item!$3:$41</definedName>
    <definedName name="rngBodySection" localSheetId="8">PAF!$34:$58</definedName>
    <definedName name="rngBodySection" localSheetId="4">Schedule!$3:$99</definedName>
    <definedName name="rngBodySection" localSheetId="1">'Scope and Clarifications'!$17:$30</definedName>
    <definedName name="rngBodySection" localSheetId="3">Summary!$3:$99</definedName>
    <definedName name="rngConvertToValues" localSheetId="10">Delta!$D$3:$D$41,Delta!$E$2,Delta!$E$42</definedName>
    <definedName name="rngConvertToValues" localSheetId="11">'Unit Comparison'!$G$8:$G$31</definedName>
    <definedName name="rngCostSection" localSheetId="10">Delta!$E:$J</definedName>
    <definedName name="rngCostSection" localSheetId="7">Item!$F:$F</definedName>
    <definedName name="rngCostSection" localSheetId="6">Risk!$D:$D</definedName>
    <definedName name="rngCostSection" localSheetId="3">Summary!$F:$K</definedName>
    <definedName name="rngDeleteRows_Portfolio" localSheetId="12">'Data check'!$12:$14,'Data check'!$15:$18</definedName>
    <definedName name="rngDeleteRows_Portfolio" localSheetId="0">'Table of contents'!$7:$7,'Table of contents'!$8:$8,'Table of contents'!$13:$16</definedName>
    <definedName name="rngDERTaxRows" localSheetId="2">Overview!$35:$36</definedName>
    <definedName name="rngDetailedCostSummary" localSheetId="9">'PP4'!$D$18:$M$21</definedName>
    <definedName name="rngEscalatedSection" localSheetId="10">Delta!$K:$K</definedName>
    <definedName name="rngEscalatedSection" localSheetId="7">Item!$J:$J</definedName>
    <definedName name="rngEscalatedSection" localSheetId="6">Risk!$E:$E</definedName>
    <definedName name="rngEscalatedSection" localSheetId="3">Summary!$F:$K</definedName>
    <definedName name="rngEscalatedTotalAmount" localSheetId="5">Bid!$D:$D</definedName>
    <definedName name="rngEscalatedTotalAmount" localSheetId="4">Schedule!$D:$D</definedName>
    <definedName name="rngExtendedScheduleSection" localSheetId="8">PAF!$H:$H</definedName>
    <definedName name="rngHiddenColumns" localSheetId="10">Delta!$B:$B</definedName>
    <definedName name="rngHiddenColumns" localSheetId="9">'PP4'!$F:$F,'PP4'!$N:$N</definedName>
    <definedName name="rngID" localSheetId="5">Bid!$B:$B</definedName>
    <definedName name="rngID" localSheetId="10">Delta!$C:$C</definedName>
    <definedName name="rngID" localSheetId="7">Item!$B:$B</definedName>
    <definedName name="rngID" localSheetId="6">Risk!$B:$B</definedName>
    <definedName name="rngID" localSheetId="4">Schedule!$B:$B</definedName>
    <definedName name="rngID" localSheetId="3">Summary!$B:$B</definedName>
    <definedName name="rngKeySection" localSheetId="10">Delta!$B:$B</definedName>
    <definedName name="rngLabel" localSheetId="5">Bid!$2:$2</definedName>
    <definedName name="rngLabel" localSheetId="2">Overview!$8:$8</definedName>
    <definedName name="rngLabel" localSheetId="8">PAF!$7:$7</definedName>
    <definedName name="rngLabel" localSheetId="9">'PP4'!$25:$25</definedName>
    <definedName name="rngLabel" localSheetId="4">Schedule!$2:$2</definedName>
    <definedName name="rngLineItemCategoryRows" localSheetId="8">PAF!$28:$28,PAF!$25:$25,PAF!$22:$23,PAF!$9:$20</definedName>
    <definedName name="rngProjectCostSummary" localSheetId="9">'PP4'!$D$7:$E$13</definedName>
    <definedName name="rngProjectDirects" localSheetId="2">Overview!$D$21</definedName>
    <definedName name="rngProjectDirects" localSheetId="9">'PP4'!$H$20</definedName>
    <definedName name="rngProjectName" localSheetId="2">Overview!$C$2</definedName>
    <definedName name="rngProjectName" localSheetId="1">'Scope and Clarifications'!$C$3</definedName>
    <definedName name="rngProjectTotal" localSheetId="5">Bid!$D$15</definedName>
    <definedName name="rngProjectTotal" localSheetId="10">Delta!$E$42</definedName>
    <definedName name="rngProjectTotal" localSheetId="2">Overview!$D$28</definedName>
    <definedName name="rngProjectTotal" localSheetId="8">PAF!$G$32</definedName>
    <definedName name="rngProjectTotal" localSheetId="9">'PP4'!$H$27</definedName>
    <definedName name="rngProjectTotal" localSheetId="4">Schedule!$D$100</definedName>
    <definedName name="rngProjectTotal" localSheetId="3">Summary!$D$100</definedName>
    <definedName name="rngProjectTotalApprovalLevel" localSheetId="2">Overview!$D$26</definedName>
    <definedName name="rngProjectTotalApprovalLevel" localSheetId="8">PAF!$G$27</definedName>
    <definedName name="rngProjectTotalApprovalLevel" localSheetId="9">'PP4'!$G$14</definedName>
    <definedName name="rngProjectTotalApprovalLevel_Delta" localSheetId="12">'Data check'!$C$18</definedName>
    <definedName name="rngProjectTotalApprovalLevel_ScheduleProject" localSheetId="12">'Data check'!$C$14</definedName>
    <definedName name="rngProjectTotalApprovalLevel_SummaryProject" localSheetId="12">'Data check'!$C$13</definedName>
    <definedName name="rngScheduleSection" localSheetId="5">Bid!$F:$F</definedName>
    <definedName name="rngScheduleSection" localSheetId="2">Overview!$G:$G</definedName>
    <definedName name="rngScheduleSection" localSheetId="8">PAF!$E:$E</definedName>
    <definedName name="rngScheduleSection" localSheetId="9">'PP4'!$F:$N</definedName>
    <definedName name="rngScheduleSection" localSheetId="4">Schedule!$F:$F</definedName>
    <definedName name="rngTOC" localSheetId="0">'Table of contents'!$B$7:$C$17</definedName>
    <definedName name="rngTotalAmount" localSheetId="3">Summary!$D:$D</definedName>
    <definedName name="rngTotalColumn" localSheetId="2">Overview!$D:$D</definedName>
    <definedName name="rngUnEscalatedSection" localSheetId="10">Delta!$E:$I</definedName>
    <definedName name="rngUnEscalatedSection" localSheetId="7">Item!$F:$F</definedName>
    <definedName name="rngUnEscalatedSection" localSheetId="6">Risk!$D:$D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36" l="1"/>
  <c r="E6" i="36"/>
  <c r="E9" i="36"/>
  <c r="E12" i="36"/>
  <c r="E15" i="36"/>
  <c r="E19" i="36"/>
  <c r="E21" i="36"/>
  <c r="E23" i="36"/>
  <c r="E26" i="36"/>
  <c r="E28" i="36"/>
  <c r="E30" i="36"/>
  <c r="E40" i="36"/>
  <c r="J5" i="36"/>
  <c r="J7" i="36"/>
  <c r="J8" i="36"/>
  <c r="J10" i="36"/>
  <c r="J11" i="36"/>
  <c r="J13" i="36"/>
  <c r="J14" i="36"/>
  <c r="J16" i="36"/>
  <c r="J17" i="36"/>
  <c r="J18" i="36"/>
  <c r="J20" i="36"/>
  <c r="J22" i="36"/>
  <c r="J24" i="36"/>
  <c r="J25" i="36"/>
  <c r="J27" i="36"/>
  <c r="J29" i="36"/>
  <c r="J31" i="36"/>
  <c r="J32" i="36"/>
  <c r="J33" i="36"/>
  <c r="J34" i="36"/>
  <c r="J35" i="36"/>
  <c r="J36" i="36"/>
  <c r="J37" i="36"/>
  <c r="J38" i="36"/>
  <c r="J39" i="36"/>
  <c r="J41" i="36"/>
  <c r="E3" i="36" l="1"/>
  <c r="F42" i="36" l="1"/>
  <c r="G42" i="36"/>
  <c r="H42" i="36"/>
  <c r="I42" i="36"/>
  <c r="H30" i="30" l="1"/>
  <c r="H28" i="30"/>
  <c r="H25" i="30"/>
  <c r="E30" i="30"/>
  <c r="E28" i="30"/>
  <c r="E27" i="30"/>
  <c r="E25" i="30"/>
  <c r="E24" i="30"/>
  <c r="E22" i="30"/>
  <c r="E21" i="30"/>
  <c r="E19" i="30"/>
  <c r="E18" i="30"/>
  <c r="E17" i="30"/>
  <c r="E16" i="30"/>
  <c r="E15" i="30"/>
  <c r="E14" i="30"/>
  <c r="E13" i="30"/>
  <c r="E12" i="30"/>
  <c r="E11" i="30"/>
  <c r="E10" i="30"/>
  <c r="E9" i="30"/>
  <c r="E8" i="30"/>
  <c r="D20" i="30"/>
  <c r="D23" i="30" s="1"/>
  <c r="D26" i="30" s="1"/>
  <c r="D29" i="30" s="1"/>
  <c r="D31" i="30" s="1"/>
  <c r="J30" i="30" l="1"/>
  <c r="J25" i="30"/>
  <c r="J28" i="30"/>
  <c r="E20" i="30"/>
  <c r="E23" i="30" s="1"/>
  <c r="E26" i="30" s="1"/>
  <c r="E29" i="30" s="1"/>
  <c r="E31" i="30" s="1"/>
  <c r="H24" i="30" l="1"/>
  <c r="J24" i="30" s="1"/>
  <c r="H22" i="30"/>
  <c r="J22" i="30" s="1"/>
  <c r="H21" i="30"/>
  <c r="J21" i="30" s="1"/>
  <c r="H12" i="30" l="1"/>
  <c r="J12" i="30" s="1"/>
  <c r="H16" i="30"/>
  <c r="J16" i="30" s="1"/>
  <c r="H15" i="30"/>
  <c r="J15" i="30" s="1"/>
  <c r="H18" i="30"/>
  <c r="J18" i="30" s="1"/>
  <c r="H13" i="30"/>
  <c r="J13" i="30" s="1"/>
  <c r="H10" i="30"/>
  <c r="J10" i="30" s="1"/>
  <c r="H14" i="30"/>
  <c r="J14" i="30" s="1"/>
  <c r="H17" i="30"/>
  <c r="J17" i="30" s="1"/>
  <c r="H9" i="30"/>
  <c r="J9" i="30" s="1"/>
  <c r="H11" i="30"/>
  <c r="J11" i="30" s="1"/>
  <c r="H19" i="30"/>
  <c r="J19" i="30" s="1"/>
  <c r="H27" i="30" l="1"/>
  <c r="J27" i="30" l="1"/>
  <c r="H8" i="30" l="1"/>
  <c r="H20" i="30" l="1"/>
  <c r="H23" i="30" s="1"/>
  <c r="H26" i="30" s="1"/>
  <c r="H29" i="30" s="1"/>
  <c r="H31" i="30" s="1"/>
  <c r="J8" i="30"/>
  <c r="J20" i="30" s="1"/>
  <c r="J23" i="30" s="1"/>
  <c r="J26" i="30" s="1"/>
  <c r="J29" i="30" s="1"/>
  <c r="J31" i="30" s="1"/>
</calcChain>
</file>

<file path=xl/sharedStrings.xml><?xml version="1.0" encoding="utf-8"?>
<sst xmlns="http://schemas.openxmlformats.org/spreadsheetml/2006/main" count="1050" uniqueCount="401">
  <si>
    <t>Delta</t>
  </si>
  <si>
    <t>Contingency</t>
  </si>
  <si>
    <t>Powered by</t>
  </si>
  <si>
    <t>Description</t>
  </si>
  <si>
    <t>Quantity</t>
  </si>
  <si>
    <t>Unit</t>
  </si>
  <si>
    <t>Labor Amount</t>
  </si>
  <si>
    <t>Material Amount</t>
  </si>
  <si>
    <t>Subcontract Amount</t>
  </si>
  <si>
    <t>Equipment Amount</t>
  </si>
  <si>
    <t>Other Amount</t>
  </si>
  <si>
    <t>Total
Amount</t>
  </si>
  <si>
    <t>ROW / Easements / Land purchases</t>
  </si>
  <si>
    <t>Environmental Approvals / Permits</t>
  </si>
  <si>
    <t>Siting Approvals / Permits</t>
  </si>
  <si>
    <t>Engineering / Design</t>
  </si>
  <si>
    <t>Testing / Commissioning</t>
  </si>
  <si>
    <t>PMT Project Mgmt Team</t>
  </si>
  <si>
    <t>Removals</t>
  </si>
  <si>
    <t>Other</t>
  </si>
  <si>
    <t>Risks</t>
  </si>
  <si>
    <t>Indirects/Overhead</t>
  </si>
  <si>
    <t>AFUDC</t>
  </si>
  <si>
    <t>Project Total - Baseline Budget</t>
  </si>
  <si>
    <t>Reimbursables/Customer Contribution</t>
  </si>
  <si>
    <t>Estimate Range</t>
  </si>
  <si>
    <t>Project no</t>
  </si>
  <si>
    <t>In service date</t>
  </si>
  <si>
    <t>Total</t>
  </si>
  <si>
    <t>Project name</t>
  </si>
  <si>
    <r>
      <t>Escalation</t>
    </r>
    <r>
      <rPr>
        <b/>
        <sz val="11"/>
        <color theme="0" tint="-0.499984740745262"/>
        <rFont val="Calibri"/>
        <family val="2"/>
        <scheme val="minor"/>
      </rPr>
      <t xml:space="preserve"> (included above)</t>
    </r>
  </si>
  <si>
    <t>Low</t>
  </si>
  <si>
    <t>High</t>
  </si>
  <si>
    <t>Expected</t>
  </si>
  <si>
    <t>Metrics</t>
  </si>
  <si>
    <t>Miscellaneous</t>
  </si>
  <si>
    <r>
      <t xml:space="preserve">Materials </t>
    </r>
    <r>
      <rPr>
        <sz val="8"/>
        <color theme="0" tint="-0.499984740745262"/>
        <rFont val="Calibri"/>
        <family val="2"/>
        <scheme val="minor"/>
      </rPr>
      <t>(Eversource purchased)</t>
    </r>
  </si>
  <si>
    <r>
      <t>Construction</t>
    </r>
    <r>
      <rPr>
        <sz val="8"/>
        <color theme="0" tint="-0.499984740745262"/>
        <rFont val="Calibri"/>
        <family val="2"/>
        <scheme val="minor"/>
      </rPr>
      <t xml:space="preserve"> (inc contractor sourced material)</t>
    </r>
  </si>
  <si>
    <t>% Directs</t>
  </si>
  <si>
    <t>% Total</t>
  </si>
  <si>
    <r>
      <t>Project Directs</t>
    </r>
    <r>
      <rPr>
        <b/>
        <sz val="8"/>
        <color theme="0" tint="-0.499984740745262"/>
        <rFont val="Calibri"/>
        <family val="2"/>
        <scheme val="minor"/>
      </rPr>
      <t xml:space="preserve"> (including risks)</t>
    </r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</si>
  <si>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</si>
  <si>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</si>
  <si>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</si>
  <si>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</si>
  <si>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</si>
  <si>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</si>
  <si>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</si>
  <si>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</si>
  <si>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</si>
  <si>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</si>
  <si>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</si>
  <si>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</si>
  <si>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CBS1</t>
  </si>
  <si>
    <t>CBS2</t>
  </si>
  <si>
    <t>CBS4</t>
  </si>
  <si>
    <t>Labor
Hours</t>
  </si>
  <si>
    <t>13</t>
  </si>
  <si>
    <t>14</t>
  </si>
  <si>
    <t>15</t>
  </si>
  <si>
    <t>16</t>
  </si>
  <si>
    <t>Grand Total</t>
  </si>
  <si>
    <t>Level</t>
  </si>
  <si>
    <t>CBS1 &gt; 2 &gt; 3 &gt; 4</t>
  </si>
  <si>
    <t>Total Amount</t>
  </si>
  <si>
    <t>Summary</t>
  </si>
  <si>
    <t>Return to TOC</t>
  </si>
  <si>
    <t>Construction</t>
  </si>
  <si>
    <t>Overhead</t>
  </si>
  <si>
    <t>Notes</t>
  </si>
  <si>
    <t>Estimate name</t>
  </si>
  <si>
    <t>Business unit</t>
  </si>
  <si>
    <t>Work type</t>
  </si>
  <si>
    <t>Estimate grade</t>
  </si>
  <si>
    <t>DER Tax</t>
  </si>
  <si>
    <t>NA</t>
  </si>
  <si>
    <t>Actuals</t>
  </si>
  <si>
    <t>Unit Comparison</t>
  </si>
  <si>
    <t>From estimate</t>
  </si>
  <si>
    <t>From Summary sheet</t>
  </si>
  <si>
    <t>Variance</t>
  </si>
  <si>
    <t>PAF (dollars in thousands)</t>
  </si>
  <si>
    <t>Line item Category</t>
  </si>
  <si>
    <t>Prior Authorized</t>
  </si>
  <si>
    <t>Actuals to Date</t>
  </si>
  <si>
    <t>to Go</t>
  </si>
  <si>
    <t>1. ROW / Easements / Land purchases</t>
  </si>
  <si>
    <t>2. Environmental Approvals / Permits</t>
  </si>
  <si>
    <t>4. Siting Approvals / Permits</t>
  </si>
  <si>
    <t>5. Engineering / Design</t>
  </si>
  <si>
    <t>8. Testing / Commissioning</t>
  </si>
  <si>
    <t>9. PMT Project Mgmt Team</t>
  </si>
  <si>
    <t>10. Removals</t>
  </si>
  <si>
    <t>12. Risks</t>
  </si>
  <si>
    <t>Project Directs Total w/Risks</t>
  </si>
  <si>
    <t>13. Indirects/Overhead</t>
  </si>
  <si>
    <t>14. AFUDC</t>
  </si>
  <si>
    <t>15. Contingency</t>
  </si>
  <si>
    <t>16. Reimbursables/Customer Contribution</t>
  </si>
  <si>
    <t>Project Total (less reimbursables)</t>
  </si>
  <si>
    <t>Total O&amp;M</t>
  </si>
  <si>
    <t>TOTAL REQUEST</t>
  </si>
  <si>
    <t>Dollars in Thousands</t>
  </si>
  <si>
    <t>Normalized Program Cost</t>
  </si>
  <si>
    <t>Program Unit Cost</t>
  </si>
  <si>
    <t>Estimate Total Cost</t>
  </si>
  <si>
    <t xml:space="preserve">Estimate Unit Cost </t>
  </si>
  <si>
    <t>Location / project number</t>
  </si>
  <si>
    <t>Units</t>
  </si>
  <si>
    <t>Schedule</t>
  </si>
  <si>
    <t>Material</t>
  </si>
  <si>
    <t>2.2 Detailed Cost Summary By Project Element</t>
  </si>
  <si>
    <t>Right of Way</t>
  </si>
  <si>
    <t>Escalation</t>
  </si>
  <si>
    <t>PTF</t>
  </si>
  <si>
    <t>Non-PTF</t>
  </si>
  <si>
    <t>Total Project Cost</t>
  </si>
  <si>
    <t>Eversource Energy</t>
  </si>
  <si>
    <t>Labor and Equipment</t>
  </si>
  <si>
    <t>3.0 Project Milestone Schedule</t>
  </si>
  <si>
    <t>Start</t>
  </si>
  <si>
    <t>Finish</t>
  </si>
  <si>
    <t>Approval and permits</t>
  </si>
  <si>
    <t>Engineering and design</t>
  </si>
  <si>
    <t>Start offset</t>
  </si>
  <si>
    <t>Finish offset</t>
  </si>
  <si>
    <t>Mo count</t>
  </si>
  <si>
    <t>Labor and Equip</t>
  </si>
  <si>
    <t>Eng, Permit, Indirect</t>
  </si>
  <si>
    <t>Engineering, Permit, Indirect</t>
  </si>
  <si>
    <t>¢</t>
  </si>
  <si>
    <t>PTF Total</t>
  </si>
  <si>
    <t>Underground</t>
  </si>
  <si>
    <t>2.1 Project Cost Summary</t>
  </si>
  <si>
    <t>PP4</t>
  </si>
  <si>
    <t>Station</t>
  </si>
  <si>
    <t>Transmission owner</t>
  </si>
  <si>
    <t>PAF</t>
  </si>
  <si>
    <t>13.01.00.00</t>
  </si>
  <si>
    <t>13.02.00.00</t>
  </si>
  <si>
    <t>13.03.00.00</t>
  </si>
  <si>
    <t>13.05.00.00</t>
  </si>
  <si>
    <t>13.06.00.00</t>
  </si>
  <si>
    <t>13.07.00.00</t>
  </si>
  <si>
    <t>13.09.00.00</t>
  </si>
  <si>
    <t>13.10.00.00</t>
  </si>
  <si>
    <t>13.11.00.00</t>
  </si>
  <si>
    <t>Actual Amount</t>
  </si>
  <si>
    <t>Indirects/Overhead - Non-Productive Time</t>
  </si>
  <si>
    <t>Indirects/Overhead - Payroll Benefits</t>
  </si>
  <si>
    <t>Indirects/Overhead - General Services</t>
  </si>
  <si>
    <t>Indirects/Overhead - E&amp;S Stations</t>
  </si>
  <si>
    <t>Indirects/Overhead - AS&amp;E</t>
  </si>
  <si>
    <t>Indirects/Overhead - Stores Expense</t>
  </si>
  <si>
    <t>Indirects/Overhead - MDEC</t>
  </si>
  <si>
    <t>Indirects/Overhead - Vehicles</t>
  </si>
  <si>
    <t>Indirects/Overhead - Other</t>
  </si>
  <si>
    <r>
      <t>Project Total</t>
    </r>
    <r>
      <rPr>
        <b/>
        <sz val="8"/>
        <color theme="0" tint="-0.499984740745262"/>
        <rFont val="Calibri"/>
        <family val="2"/>
        <scheme val="minor"/>
      </rPr>
      <t xml:space="preserve"> (less reimbursables)</t>
    </r>
  </si>
  <si>
    <t>Project Total - Approval Level</t>
  </si>
  <si>
    <t>Project estimator</t>
  </si>
  <si>
    <t>Project manager</t>
  </si>
  <si>
    <t>CBS1 &gt; 2</t>
  </si>
  <si>
    <t>Total amount</t>
  </si>
  <si>
    <t>Risk anaysis</t>
  </si>
  <si>
    <t>11.00.00</t>
  </si>
  <si>
    <t>Direct Cost</t>
  </si>
  <si>
    <t>11.00.00.02</t>
  </si>
  <si>
    <t>11.00.00.03</t>
  </si>
  <si>
    <t>11.00</t>
  </si>
  <si>
    <t>Sequence</t>
  </si>
  <si>
    <t>02.01</t>
  </si>
  <si>
    <t>02.01.00</t>
  </si>
  <si>
    <t>02.01.00.00</t>
  </si>
  <si>
    <t>Eversource Personnel - Environmental Approvals / Permits</t>
  </si>
  <si>
    <t>02.02</t>
  </si>
  <si>
    <t>02.02.00</t>
  </si>
  <si>
    <t>02.02.00.00</t>
  </si>
  <si>
    <t>Contractor Environmental Services / Personnel</t>
  </si>
  <si>
    <t>SCS Outreach</t>
  </si>
  <si>
    <t>03.01</t>
  </si>
  <si>
    <t>03.01.00</t>
  </si>
  <si>
    <t>03.01.00.00</t>
  </si>
  <si>
    <t>Eversource Personnel - SCS</t>
  </si>
  <si>
    <t>03.02</t>
  </si>
  <si>
    <t>03.02.00</t>
  </si>
  <si>
    <t>03.02.00.00</t>
  </si>
  <si>
    <t>Contractor SCS Outreach Services / Personnel</t>
  </si>
  <si>
    <t>04.01</t>
  </si>
  <si>
    <t>04.01.00</t>
  </si>
  <si>
    <t>04.01.00.00</t>
  </si>
  <si>
    <t>Siting Approvals / Permits - Eversource Personnel</t>
  </si>
  <si>
    <t>04.02</t>
  </si>
  <si>
    <t>04.02.00</t>
  </si>
  <si>
    <t>04.02.00.00</t>
  </si>
  <si>
    <t>Siting Approvals / Permits - Contractor Personnel</t>
  </si>
  <si>
    <t>05.02</t>
  </si>
  <si>
    <t>05.02.01</t>
  </si>
  <si>
    <t>05.02.01.00</t>
  </si>
  <si>
    <t>Substation Electrical Engineering / Design - Eversource</t>
  </si>
  <si>
    <t>05.02.02</t>
  </si>
  <si>
    <t>05.02.02.00</t>
  </si>
  <si>
    <t>Substation Electrical Engineering / Design - Contractor</t>
  </si>
  <si>
    <t>05.04</t>
  </si>
  <si>
    <t>P&amp;C Engineering / Design - Eversource</t>
  </si>
  <si>
    <t>05.06</t>
  </si>
  <si>
    <t>05.06.01</t>
  </si>
  <si>
    <t>05.06.01.00</t>
  </si>
  <si>
    <t>Telcom Engineering / Design - Eversource</t>
  </si>
  <si>
    <t>Equipment /Materials ( Eversource purchased)</t>
  </si>
  <si>
    <t>06.02</t>
  </si>
  <si>
    <t>Construction  ( incl matl's by contractors)</t>
  </si>
  <si>
    <t>07.01</t>
  </si>
  <si>
    <t>09.01</t>
  </si>
  <si>
    <t>09.01.01</t>
  </si>
  <si>
    <t>09.01.01.00</t>
  </si>
  <si>
    <t>Project Management (PM/APM) - Eversource</t>
  </si>
  <si>
    <t>09.01.02</t>
  </si>
  <si>
    <t>09.01.02.00</t>
  </si>
  <si>
    <t>Project Management (PM/APM) - Contractor</t>
  </si>
  <si>
    <t>09.10</t>
  </si>
  <si>
    <t>09.10.01</t>
  </si>
  <si>
    <t>09.10.01.00</t>
  </si>
  <si>
    <t>Asset Management - Eversource</t>
  </si>
  <si>
    <t>01.04</t>
  </si>
  <si>
    <t>ROW / Easements / Land Acquisition</t>
  </si>
  <si>
    <t>01.04.00</t>
  </si>
  <si>
    <t>01.04.00.00</t>
  </si>
  <si>
    <t>Eversource Personnel</t>
  </si>
  <si>
    <t>Contractor Siting Services / Personnel</t>
  </si>
  <si>
    <t>Substation Electrical Engineering / Design</t>
  </si>
  <si>
    <t>P&amp;C Engineering / Design</t>
  </si>
  <si>
    <t>Telcom Engineering / Design</t>
  </si>
  <si>
    <t>05.04.01</t>
  </si>
  <si>
    <t>05.04.01.00</t>
  </si>
  <si>
    <t>Substation Materials / Equipment</t>
  </si>
  <si>
    <t>Eversource - General</t>
  </si>
  <si>
    <t>Project Management (PM) / (APM)</t>
  </si>
  <si>
    <t>Asset Management</t>
  </si>
  <si>
    <t>06.02.99</t>
  </si>
  <si>
    <t>Misc. eqt</t>
  </si>
  <si>
    <t>06.02.99.00</t>
  </si>
  <si>
    <t>10.01</t>
  </si>
  <si>
    <t>07.01.01</t>
  </si>
  <si>
    <t>General Construction</t>
  </si>
  <si>
    <t>07.01.01.01</t>
  </si>
  <si>
    <t>13.01</t>
  </si>
  <si>
    <t>13.02</t>
  </si>
  <si>
    <t>13.03</t>
  </si>
  <si>
    <t>13.05</t>
  </si>
  <si>
    <t>13.06</t>
  </si>
  <si>
    <t>13.07</t>
  </si>
  <si>
    <t>13.09</t>
  </si>
  <si>
    <t>13.10</t>
  </si>
  <si>
    <t>13.11</t>
  </si>
  <si>
    <t>14.01</t>
  </si>
  <si>
    <t>10.01.00</t>
  </si>
  <si>
    <t>13.01.00</t>
  </si>
  <si>
    <t>13.02.00</t>
  </si>
  <si>
    <t>13.03.00</t>
  </si>
  <si>
    <t>13.05.00</t>
  </si>
  <si>
    <t>13.06.00</t>
  </si>
  <si>
    <t>13.07.00</t>
  </si>
  <si>
    <t>13.09.00</t>
  </si>
  <si>
    <t>13.10.00</t>
  </si>
  <si>
    <t>13.11.00</t>
  </si>
  <si>
    <t>14.01.00</t>
  </si>
  <si>
    <t>10.01.00.00</t>
  </si>
  <si>
    <t>14.01.00.00</t>
  </si>
  <si>
    <t>Click to display sheet</t>
  </si>
  <si>
    <t>Overview</t>
  </si>
  <si>
    <t>Risk mitigation</t>
  </si>
  <si>
    <t>State</t>
  </si>
  <si>
    <t>Eversource – Taxes</t>
  </si>
  <si>
    <t>Ext accuracy</t>
  </si>
  <si>
    <t>Scope and Clarifications</t>
  </si>
  <si>
    <t>Estimate scope</t>
  </si>
  <si>
    <t>Clarifications</t>
  </si>
  <si>
    <t>Project scope</t>
  </si>
  <si>
    <t>Category Type</t>
  </si>
  <si>
    <t>Date of Estimate</t>
  </si>
  <si>
    <t>Work Type</t>
  </si>
  <si>
    <t>Key Qty</t>
  </si>
  <si>
    <t>ISO-NE QP</t>
  </si>
  <si>
    <t>External accuracy</t>
  </si>
  <si>
    <t>Work order</t>
  </si>
  <si>
    <t>Estimate Accuracy</t>
  </si>
  <si>
    <t>Voltage Class</t>
  </si>
  <si>
    <t>Estimate Type</t>
  </si>
  <si>
    <t>Estimator</t>
  </si>
  <si>
    <t>Version number</t>
  </si>
  <si>
    <r>
      <t>Risks &amp; Contingency / Project Total - Approval level</t>
    </r>
    <r>
      <rPr>
        <sz val="6"/>
        <color theme="1"/>
        <rFont val="Calibri"/>
        <family val="2"/>
        <scheme val="minor"/>
      </rPr>
      <t xml:space="preserve"> (less Risks &amp; Contingency)</t>
    </r>
  </si>
  <si>
    <t>Labor</t>
  </si>
  <si>
    <t>Subcontract</t>
  </si>
  <si>
    <t>Equipment</t>
  </si>
  <si>
    <t>Actual</t>
  </si>
  <si>
    <t>Cost type</t>
  </si>
  <si>
    <t>Record type</t>
  </si>
  <si>
    <t>Estimate SOV</t>
  </si>
  <si>
    <t>Actual SOV</t>
  </si>
  <si>
    <t>Plant in service</t>
  </si>
  <si>
    <t>Count</t>
  </si>
  <si>
    <t>Sheet</t>
  </si>
  <si>
    <r>
      <t xml:space="preserve">Total amount
</t>
    </r>
    <r>
      <rPr>
        <sz val="8"/>
        <color theme="1"/>
        <rFont val="Calibri"/>
        <family val="2"/>
        <scheme val="minor"/>
      </rPr>
      <t>(with reimbursables)</t>
    </r>
  </si>
  <si>
    <r>
      <t xml:space="preserve">Count
</t>
    </r>
    <r>
      <rPr>
        <sz val="8"/>
        <color theme="1"/>
        <rFont val="Calibri"/>
        <family val="2"/>
        <scheme val="minor"/>
      </rPr>
      <t>(with Year)</t>
    </r>
  </si>
  <si>
    <r>
      <t xml:space="preserve">Variance
</t>
    </r>
    <r>
      <rPr>
        <sz val="8"/>
        <color theme="1"/>
        <rFont val="Calibri"/>
        <family val="2"/>
        <scheme val="minor"/>
      </rPr>
      <t>(vs Overview)</t>
    </r>
  </si>
  <si>
    <t>* Minor discrepencies likely due to the fact that the Overview sheet is rounded to 000s</t>
  </si>
  <si>
    <t>Project Services</t>
  </si>
  <si>
    <t>Item analysis</t>
  </si>
  <si>
    <t>PAF report</t>
  </si>
  <si>
    <t>PP4 analysis</t>
  </si>
  <si>
    <r>
      <t>Other</t>
    </r>
    <r>
      <rPr>
        <sz val="8"/>
        <color theme="0" tint="-0.499984740745262"/>
        <rFont val="Calibri"/>
        <family val="2"/>
        <scheme val="minor"/>
      </rPr>
      <t xml:space="preserve"> (including CWIP &amp; Taxes)</t>
    </r>
  </si>
  <si>
    <t>3. Project Services</t>
  </si>
  <si>
    <r>
      <t xml:space="preserve">6. Materials </t>
    </r>
    <r>
      <rPr>
        <sz val="8"/>
        <color rgb="FF000000"/>
        <rFont val="Calibri"/>
        <family val="2"/>
        <scheme val="minor"/>
      </rPr>
      <t>(Eversource purchased)</t>
    </r>
  </si>
  <si>
    <r>
      <t>7. Construction</t>
    </r>
    <r>
      <rPr>
        <sz val="8"/>
        <color rgb="FF000000"/>
        <rFont val="Calibri"/>
        <family val="2"/>
        <scheme val="minor"/>
      </rPr>
      <t xml:space="preserve"> (incl contractor sourced material)</t>
    </r>
  </si>
  <si>
    <r>
      <t>11. Other</t>
    </r>
    <r>
      <rPr>
        <sz val="8"/>
        <color rgb="FF000000"/>
        <rFont val="Calibri"/>
        <family val="2"/>
        <scheme val="minor"/>
      </rPr>
      <t xml:space="preserve"> (including CWIP &amp; Taxes)</t>
    </r>
  </si>
  <si>
    <t>Manhours</t>
  </si>
  <si>
    <t>Bid</t>
  </si>
  <si>
    <t>Bid Item</t>
  </si>
  <si>
    <t>C15</t>
  </si>
  <si>
    <t>Other Const Labor</t>
  </si>
  <si>
    <t>C17</t>
  </si>
  <si>
    <t>Surveying, Geotechnical Studies, Eng, and Permitting</t>
  </si>
  <si>
    <t>C19</t>
  </si>
  <si>
    <t>Material - Above Grade</t>
  </si>
  <si>
    <t>C21</t>
  </si>
  <si>
    <t>Construction Labor - Above Grade</t>
  </si>
  <si>
    <t>C23</t>
  </si>
  <si>
    <t>Administrative &amp; General OH</t>
  </si>
  <si>
    <t>C24</t>
  </si>
  <si>
    <t>Misc &amp; Other Expenses</t>
  </si>
  <si>
    <t>C25</t>
  </si>
  <si>
    <t>OTHER (DO NOT USE)</t>
  </si>
  <si>
    <t>C27</t>
  </si>
  <si>
    <t>Overheads</t>
  </si>
  <si>
    <t>Bid analysis</t>
  </si>
  <si>
    <t>Cost/Quantity</t>
  </si>
  <si>
    <t>Hyde Park BESS -  PF 3</t>
  </si>
  <si>
    <t>21334</t>
  </si>
  <si>
    <t>ADAM KELLEY</t>
  </si>
  <si>
    <t>Brian Roche</t>
  </si>
  <si>
    <t>Transmission</t>
  </si>
  <si>
    <t>Battery Storage</t>
  </si>
  <si>
    <t/>
  </si>
  <si>
    <t>This revised partial funding Project Authorization Form (PAF) is a request for an
additional $11.5M for completion of preliminary engineering, a Limited Notice to Proceed (LNTP) and 10% down for procurement of engineering drawings for the Battery System, project management, siting, environmental and project services support and preparation of a full funding PAF package. 
This project is to construct a 10MW/20MWh Battery Energy Storage System (BESS) at 401-433
Cummins Highway (future Hyde Park BESS Station #359) in the Hyde Park section of the City of
Boston to help relieve the heavy loading condition of Hyde Park Substation #496 in Hyde Park,
MA.</t>
  </si>
  <si>
    <t xml:space="preserve">Actual start date: 7/2021
Actuals to 6/3/26, $3,828,338.
EPAC ful funding date: 11/30/26.
ISD date: 12/28/2028.
</t>
  </si>
  <si>
    <t>Hyde Park PF 3</t>
  </si>
  <si>
    <t>EM</t>
  </si>
  <si>
    <t>80089926</t>
  </si>
  <si>
    <t>D - (sub 69kV)</t>
  </si>
  <si>
    <t>New Construction</t>
  </si>
  <si>
    <t>Partial funding estmate.</t>
  </si>
  <si>
    <t>All costs in this estimate are provided by the project manager.
Material costs reduced from $2,610,685 to $500,000 per e-mail dated 6/11/26 from PM.</t>
  </si>
  <si>
    <t>Actuals to 6/2026</t>
  </si>
  <si>
    <t>Changed from $2,610,685 to $500,000 per e-mail datd 6/11/26</t>
  </si>
  <si>
    <t>actual input row</t>
  </si>
  <si>
    <t>C04</t>
  </si>
  <si>
    <t>C01</t>
  </si>
  <si>
    <t>Easment Costs</t>
  </si>
  <si>
    <t>Enviromental, Eversource</t>
  </si>
  <si>
    <t>Environmental, Contractor</t>
  </si>
  <si>
    <t>Project Services (Outreach), Eversource (Actuals input)</t>
  </si>
  <si>
    <t>Project Services (Outreach), Contractor (Actuals input)</t>
  </si>
  <si>
    <t>Siting, Eversource (Actuals input)</t>
  </si>
  <si>
    <t>Siting, Eversource (Manual input)</t>
  </si>
  <si>
    <t>Siting, Contractor (Actuals input)</t>
  </si>
  <si>
    <t>Siting, Contractor (Manual input) - Legal</t>
  </si>
  <si>
    <t>Engr. Station - Eversource</t>
  </si>
  <si>
    <t>Engr. Station - Contractor</t>
  </si>
  <si>
    <t>Engr. P&amp;C - Eversource</t>
  </si>
  <si>
    <t>Engr. Telecom - Eversource</t>
  </si>
  <si>
    <t>Eqt. and Materials, (Furnish)</t>
  </si>
  <si>
    <t>Materials, (Furnish)</t>
  </si>
  <si>
    <t>Construction (Internal labor)</t>
  </si>
  <si>
    <t>Project Manager - Eversource</t>
  </si>
  <si>
    <t>Project Manager, Contractor</t>
  </si>
  <si>
    <t>Journal Entry Adjustments, Eversource</t>
  </si>
  <si>
    <t>Removals - Other (Labor) - Contractor</t>
  </si>
  <si>
    <t>Tax - Property</t>
  </si>
  <si>
    <t>CWIPTransmission</t>
  </si>
  <si>
    <t>Indirect - Non-Productive Basis</t>
  </si>
  <si>
    <t>Indirects - Non-Productive Time (ZNP)</t>
  </si>
  <si>
    <t>Indirect - Payroll Benefit Basis</t>
  </si>
  <si>
    <t>Indirects - Payroll Benefits (ZPB)</t>
  </si>
  <si>
    <t>Indirect - Gen Svc Co OH Basis</t>
  </si>
  <si>
    <t>Indirects - General Services OH (ZGS)</t>
  </si>
  <si>
    <t>Indirect - E&amp;S Station Basis</t>
  </si>
  <si>
    <t>Indirect - AS &amp; E Basis</t>
  </si>
  <si>
    <t>Indirects - AS&amp;E (ZAS)</t>
  </si>
  <si>
    <t>Indirect - Stores Expense Basis</t>
  </si>
  <si>
    <t>Indirects - MDEC (ZMI)</t>
  </si>
  <si>
    <t>Indirect - Vehicles OH Basis</t>
  </si>
  <si>
    <t>Indirects - Vehicles</t>
  </si>
  <si>
    <t>Indirects - ZEB, ZEL, ZES</t>
  </si>
  <si>
    <t>ls</t>
  </si>
  <si>
    <t>mh</t>
  </si>
  <si>
    <t>ea</t>
  </si>
  <si>
    <t>2026</t>
  </si>
  <si>
    <t>1.00 LS</t>
  </si>
  <si>
    <t>8,913,600 $/LS</t>
  </si>
  <si>
    <t>And on years</t>
  </si>
  <si>
    <t xml:space="preserve">Current Project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</si>
</sst>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;;;"/>
    <numFmt numFmtId="167" formatCode="\+0%"/>
    <numFmt numFmtId="168" formatCode="@\ &quot;Amount&quot;"/>
    <numFmt numFmtId="170" formatCode="_(&quot;$&quot;* #,##0_);_(&quot;$&quot;* \(#,##0\);_(&quot;$&quot;* &quot;-&quot;??_);_(@_)"/>
    <numFmt numFmtId="171" formatCode="_(* #,##0.0_);_(* \(#,##0.0\);_(* &quot;-&quot;??_);_(@_)"/>
    <numFmt numFmtId="172" formatCode="&quot;$/&quot;@"/>
    <numFmt numFmtId="173" formatCode="m/d/yy;@"/>
  </numFmts>
  <fonts count="8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sz val="11"/>
      <color indexed="8"/>
      <name val="Calibri"/>
      <family val="2"/>
    </font>
    <font>
      <sz val="8"/>
      <name val="Verdana"/>
      <family val="2"/>
    </font>
    <font>
      <b/>
      <sz val="10.5"/>
      <color theme="1" tint="0.24994659260841701"/>
      <name val="Calibri"/>
      <family val="2"/>
    </font>
    <font>
      <sz val="10"/>
      <color theme="1"/>
      <name val="Arial"/>
      <family val="2"/>
    </font>
    <font>
      <b/>
      <sz val="10.5"/>
      <color rgb="FF165D8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9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i/>
      <sz val="11"/>
      <color theme="0" tint="-0.249977111117893"/>
      <name val="Calibri"/>
      <family val="2"/>
      <scheme val="minor"/>
    </font>
    <font>
      <sz val="10"/>
      <name val="Courier New"/>
      <family val="3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0"/>
      <name val="Arial Narrow"/>
      <family val="2"/>
    </font>
    <font>
      <i/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8080"/>
      <name val="Calibri"/>
      <family val="2"/>
      <scheme val="minor"/>
    </font>
    <font>
      <b/>
      <sz val="8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b/>
      <u/>
      <sz val="11"/>
      <color rgb="FF008080"/>
      <name val="Calibri"/>
      <family val="2"/>
      <scheme val="minor"/>
    </font>
    <font>
      <sz val="11"/>
      <color indexed="8"/>
      <name val="Arial"/>
      <family val="2"/>
    </font>
    <font>
      <b/>
      <sz val="14"/>
      <color indexed="8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9"/>
      <name val="Arial"/>
      <family val="2"/>
    </font>
    <font>
      <sz val="6"/>
      <color rgb="FFFF0000"/>
      <name val="Wingdings 2"/>
      <family val="1"/>
      <charset val="2"/>
    </font>
    <font>
      <sz val="11"/>
      <color theme="9"/>
      <name val="Wingdings 2"/>
      <family val="1"/>
      <charset val="2"/>
    </font>
    <font>
      <sz val="11"/>
      <color theme="3"/>
      <name val="Wingdings 2"/>
      <family val="1"/>
      <charset val="2"/>
    </font>
    <font>
      <sz val="11"/>
      <color theme="4"/>
      <name val="Wingdings 2"/>
      <family val="1"/>
      <charset val="2"/>
    </font>
    <font>
      <sz val="11"/>
      <color theme="8"/>
      <name val="Wingdings 2"/>
      <family val="1"/>
      <charset val="2"/>
    </font>
    <font>
      <sz val="11"/>
      <color theme="6"/>
      <name val="Wingdings 2"/>
      <family val="1"/>
      <charset val="2"/>
    </font>
    <font>
      <sz val="11"/>
      <color theme="7"/>
      <name val="Wingdings 2"/>
      <family val="1"/>
      <charset val="2"/>
    </font>
    <font>
      <sz val="11"/>
      <color theme="5"/>
      <name val="Wingdings 2"/>
      <family val="1"/>
      <charset val="2"/>
    </font>
    <font>
      <sz val="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000000"/>
      <name val="Calibri"/>
      <family val="2"/>
      <scheme val="minor"/>
    </font>
  </fonts>
  <fills count="7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ED7A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AEEF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A6006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107C10"/>
        <bgColor indexed="64"/>
      </patternFill>
    </fill>
  </fills>
  <borders count="5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medium">
        <color theme="0" tint="-0.24994659260841701"/>
      </left>
      <right/>
      <top style="medium">
        <color auto="1"/>
      </top>
      <bottom/>
      <diagonal/>
    </border>
    <border>
      <left/>
      <right style="medium">
        <color theme="0" tint="-0.24994659260841701"/>
      </right>
      <top style="medium">
        <color auto="1"/>
      </top>
      <bottom/>
      <diagonal/>
    </border>
    <border>
      <left style="medium">
        <color theme="0" tint="-0.24994659260841701"/>
      </left>
      <right/>
      <top/>
      <bottom style="medium">
        <color auto="1"/>
      </bottom>
      <diagonal/>
    </border>
    <border>
      <left/>
      <right style="medium">
        <color theme="0" tint="-0.24994659260841701"/>
      </right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</borders>
  <cellStyleXfs count="358">
    <xf numFmtId="0" fontId="0" fillId="0" borderId="0"/>
    <xf numFmtId="0" fontId="3" fillId="0" borderId="0"/>
    <xf numFmtId="0" fontId="5" fillId="0" borderId="0" applyNumberForma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8" fillId="0" borderId="0"/>
    <xf numFmtId="0" fontId="6" fillId="0" borderId="0"/>
    <xf numFmtId="0" fontId="7" fillId="0" borderId="0"/>
    <xf numFmtId="0" fontId="6" fillId="0" borderId="0"/>
    <xf numFmtId="44" fontId="9" fillId="0" borderId="0" applyFont="0" applyFill="0" applyBorder="0" applyAlignment="0" applyProtection="0"/>
    <xf numFmtId="0" fontId="6" fillId="0" borderId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6" fillId="0" borderId="0"/>
    <xf numFmtId="0" fontId="6" fillId="0" borderId="0"/>
    <xf numFmtId="0" fontId="11" fillId="6" borderId="3"/>
    <xf numFmtId="0" fontId="6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12" fillId="0" borderId="0"/>
    <xf numFmtId="44" fontId="6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6" fillId="0" borderId="0"/>
    <xf numFmtId="0" fontId="13" fillId="0" borderId="4" applyNumberFormat="0" applyFill="0" applyProtection="0">
      <alignment horizontal="center" vertical="center"/>
    </xf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3" fillId="0" borderId="4" applyNumberFormat="0" applyFill="0" applyAlignment="0" applyProtection="0"/>
    <xf numFmtId="0" fontId="13" fillId="0" borderId="4" applyNumberFormat="0" applyFill="0" applyAlignment="0" applyProtection="0"/>
    <xf numFmtId="3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5" applyNumberFormat="0" applyBorder="0" applyAlignment="0" applyProtection="0"/>
    <xf numFmtId="3" fontId="11" fillId="0" borderId="5" applyNumberFormat="0" applyBorder="0" applyAlignment="0" applyProtection="0"/>
    <xf numFmtId="3" fontId="11" fillId="0" borderId="5" applyNumberFormat="0" applyBorder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>
      <alignment horizontal="right" vertical="center"/>
    </xf>
    <xf numFmtId="3" fontId="11" fillId="6" borderId="5">
      <alignment horizontal="center" vertical="center"/>
    </xf>
    <xf numFmtId="0" fontId="11" fillId="6" borderId="5">
      <alignment horizontal="right" vertical="center"/>
    </xf>
    <xf numFmtId="0" fontId="13" fillId="0" borderId="6">
      <alignment horizontal="left" vertical="center"/>
    </xf>
    <xf numFmtId="0" fontId="13" fillId="0" borderId="7">
      <alignment horizontal="center" vertical="center"/>
    </xf>
    <xf numFmtId="0" fontId="14" fillId="0" borderId="2">
      <alignment horizontal="center" vertical="center"/>
    </xf>
    <xf numFmtId="0" fontId="11" fillId="5" borderId="5"/>
    <xf numFmtId="3" fontId="15" fillId="0" borderId="5"/>
    <xf numFmtId="3" fontId="16" fillId="0" borderId="5"/>
    <xf numFmtId="0" fontId="13" fillId="0" borderId="7">
      <alignment horizontal="left" vertical="top"/>
    </xf>
    <xf numFmtId="0" fontId="17" fillId="0" borderId="5"/>
    <xf numFmtId="0" fontId="13" fillId="0" borderId="7">
      <alignment horizontal="left" vertical="center"/>
    </xf>
    <xf numFmtId="3" fontId="11" fillId="0" borderId="5">
      <alignment horizontal="right" vertical="center"/>
    </xf>
    <xf numFmtId="0" fontId="13" fillId="0" borderId="7">
      <alignment horizontal="right" vertical="center"/>
    </xf>
    <xf numFmtId="0" fontId="11" fillId="0" borderId="2">
      <alignment horizontal="center" vertical="center"/>
    </xf>
    <xf numFmtId="3" fontId="11" fillId="0" borderId="5"/>
    <xf numFmtId="3" fontId="11" fillId="0" borderId="5"/>
    <xf numFmtId="0" fontId="11" fillId="0" borderId="2">
      <alignment horizontal="center" vertical="center" wrapText="1"/>
    </xf>
    <xf numFmtId="0" fontId="18" fillId="0" borderId="2">
      <alignment horizontal="left" vertical="center" indent="1"/>
    </xf>
    <xf numFmtId="0" fontId="19" fillId="0" borderId="5"/>
    <xf numFmtId="0" fontId="13" fillId="0" borderId="6">
      <alignment horizontal="left" vertical="center"/>
    </xf>
    <xf numFmtId="3" fontId="11" fillId="0" borderId="5">
      <alignment horizontal="center" vertical="center"/>
    </xf>
    <xf numFmtId="0" fontId="13" fillId="0" borderId="7">
      <alignment horizontal="center" vertical="center"/>
    </xf>
    <xf numFmtId="0" fontId="13" fillId="0" borderId="7">
      <alignment horizontal="center" vertical="center"/>
    </xf>
    <xf numFmtId="0" fontId="13" fillId="0" borderId="6">
      <alignment horizontal="left" vertical="center"/>
    </xf>
    <xf numFmtId="0" fontId="13" fillId="0" borderId="6">
      <alignment horizontal="left" vertical="center"/>
    </xf>
    <xf numFmtId="0" fontId="20" fillId="0" borderId="5"/>
    <xf numFmtId="43" fontId="6" fillId="0" borderId="0" applyFont="0" applyFill="0" applyBorder="0" applyAlignment="0" applyProtection="0"/>
    <xf numFmtId="0" fontId="7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34" fillId="23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3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30" borderId="0" applyNumberFormat="0" applyBorder="0" applyAlignment="0" applyProtection="0"/>
    <xf numFmtId="0" fontId="35" fillId="14" borderId="0" applyNumberFormat="0" applyBorder="0" applyAlignment="0" applyProtection="0"/>
    <xf numFmtId="0" fontId="36" fillId="31" borderId="11" applyNumberFormat="0" applyAlignment="0" applyProtection="0"/>
    <xf numFmtId="0" fontId="37" fillId="32" borderId="12" applyNumberFormat="0" applyAlignment="0" applyProtection="0"/>
    <xf numFmtId="0" fontId="38" fillId="0" borderId="0" applyNumberFormat="0" applyFill="0" applyBorder="0" applyAlignment="0" applyProtection="0"/>
    <xf numFmtId="0" fontId="39" fillId="15" borderId="0" applyNumberFormat="0" applyBorder="0" applyAlignment="0" applyProtection="0"/>
    <xf numFmtId="0" fontId="40" fillId="0" borderId="13" applyNumberFormat="0" applyFill="0" applyAlignment="0" applyProtection="0"/>
    <xf numFmtId="0" fontId="41" fillId="0" borderId="14" applyNumberFormat="0" applyFill="0" applyAlignment="0" applyProtection="0"/>
    <xf numFmtId="0" fontId="42" fillId="0" borderId="15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11" applyNumberFormat="0" applyAlignment="0" applyProtection="0"/>
    <xf numFmtId="0" fontId="44" fillId="0" borderId="16" applyNumberFormat="0" applyFill="0" applyAlignment="0" applyProtection="0"/>
    <xf numFmtId="0" fontId="45" fillId="33" borderId="0" applyNumberFormat="0" applyBorder="0" applyAlignment="0" applyProtection="0"/>
    <xf numFmtId="0" fontId="7" fillId="0" borderId="0"/>
    <xf numFmtId="0" fontId="7" fillId="34" borderId="17" applyNumberFormat="0" applyFont="0" applyAlignment="0" applyProtection="0"/>
    <xf numFmtId="0" fontId="46" fillId="31" borderId="18" applyNumberFormat="0" applyAlignment="0" applyProtection="0"/>
    <xf numFmtId="0" fontId="47" fillId="0" borderId="0" applyNumberFormat="0" applyFill="0" applyBorder="0" applyAlignment="0" applyProtection="0"/>
    <xf numFmtId="0" fontId="48" fillId="0" borderId="19" applyNumberFormat="0" applyFill="0" applyAlignment="0" applyProtection="0"/>
    <xf numFmtId="0" fontId="49" fillId="0" borderId="0" applyNumberFormat="0" applyFill="0" applyBorder="0" applyAlignment="0" applyProtection="0"/>
    <xf numFmtId="0" fontId="6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34" fillId="23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3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30" borderId="0" applyNumberFormat="0" applyBorder="0" applyAlignment="0" applyProtection="0"/>
    <xf numFmtId="0" fontId="35" fillId="14" borderId="0" applyNumberFormat="0" applyBorder="0" applyAlignment="0" applyProtection="0"/>
    <xf numFmtId="0" fontId="36" fillId="31" borderId="11" applyNumberFormat="0" applyAlignment="0" applyProtection="0"/>
    <xf numFmtId="0" fontId="37" fillId="32" borderId="12" applyNumberFormat="0" applyAlignment="0" applyProtection="0"/>
    <xf numFmtId="0" fontId="38" fillId="0" borderId="0" applyNumberFormat="0" applyFill="0" applyBorder="0" applyAlignment="0" applyProtection="0"/>
    <xf numFmtId="0" fontId="39" fillId="15" borderId="0" applyNumberFormat="0" applyBorder="0" applyAlignment="0" applyProtection="0"/>
    <xf numFmtId="0" fontId="40" fillId="0" borderId="13" applyNumberFormat="0" applyFill="0" applyAlignment="0" applyProtection="0"/>
    <xf numFmtId="0" fontId="41" fillId="0" borderId="14" applyNumberFormat="0" applyFill="0" applyAlignment="0" applyProtection="0"/>
    <xf numFmtId="0" fontId="42" fillId="0" borderId="15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11" applyNumberFormat="0" applyAlignment="0" applyProtection="0"/>
    <xf numFmtId="0" fontId="44" fillId="0" borderId="16" applyNumberFormat="0" applyFill="0" applyAlignment="0" applyProtection="0"/>
    <xf numFmtId="0" fontId="45" fillId="33" borderId="0" applyNumberFormat="0" applyBorder="0" applyAlignment="0" applyProtection="0"/>
    <xf numFmtId="0" fontId="7" fillId="0" borderId="0"/>
    <xf numFmtId="0" fontId="7" fillId="34" borderId="17" applyNumberFormat="0" applyFont="0" applyAlignment="0" applyProtection="0"/>
    <xf numFmtId="0" fontId="46" fillId="31" borderId="18" applyNumberFormat="0" applyAlignment="0" applyProtection="0"/>
    <xf numFmtId="0" fontId="47" fillId="0" borderId="0" applyNumberFormat="0" applyFill="0" applyBorder="0" applyAlignment="0" applyProtection="0"/>
    <xf numFmtId="0" fontId="48" fillId="0" borderId="19" applyNumberFormat="0" applyFill="0" applyAlignment="0" applyProtection="0"/>
    <xf numFmtId="0" fontId="49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0" fontId="43" fillId="18" borderId="20" applyNumberFormat="0" applyAlignment="0" applyProtection="0"/>
    <xf numFmtId="0" fontId="43" fillId="18" borderId="20" applyNumberFormat="0" applyAlignment="0" applyProtection="0"/>
    <xf numFmtId="0" fontId="36" fillId="31" borderId="11" applyNumberFormat="0" applyAlignment="0" applyProtection="0"/>
    <xf numFmtId="0" fontId="30" fillId="9" borderId="0" applyNumberFormat="0" applyBorder="0" applyAlignment="0" applyProtection="0"/>
    <xf numFmtId="0" fontId="43" fillId="18" borderId="11" applyNumberForma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1" fillId="0" borderId="0"/>
    <xf numFmtId="0" fontId="5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1" fillId="0" borderId="0"/>
    <xf numFmtId="0" fontId="7" fillId="0" borderId="0"/>
    <xf numFmtId="0" fontId="6" fillId="0" borderId="0"/>
    <xf numFmtId="0" fontId="51" fillId="0" borderId="0"/>
    <xf numFmtId="0" fontId="51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7" fillId="0" borderId="0"/>
    <xf numFmtId="0" fontId="6" fillId="0" borderId="0"/>
    <xf numFmtId="0" fontId="9" fillId="10" borderId="9" applyNumberFormat="0" applyFont="0" applyAlignment="0" applyProtection="0"/>
    <xf numFmtId="0" fontId="51" fillId="34" borderId="17" applyNumberFormat="0" applyFont="0" applyAlignment="0" applyProtection="0"/>
    <xf numFmtId="0" fontId="46" fillId="31" borderId="18" applyNumberFormat="0" applyAlignment="0" applyProtection="0"/>
    <xf numFmtId="0" fontId="48" fillId="0" borderId="19" applyNumberFormat="0" applyFill="0" applyAlignment="0" applyProtection="0"/>
    <xf numFmtId="0" fontId="36" fillId="31" borderId="11" applyNumberFormat="0" applyAlignment="0" applyProtection="0"/>
    <xf numFmtId="0" fontId="36" fillId="31" borderId="20" applyNumberFormat="0" applyAlignment="0" applyProtection="0"/>
    <xf numFmtId="0" fontId="43" fillId="18" borderId="11" applyNumberFormat="0" applyAlignment="0" applyProtection="0"/>
    <xf numFmtId="0" fontId="36" fillId="31" borderId="20" applyNumberFormat="0" applyAlignment="0" applyProtection="0"/>
    <xf numFmtId="0" fontId="43" fillId="18" borderId="11" applyNumberFormat="0" applyAlignment="0" applyProtection="0"/>
    <xf numFmtId="0" fontId="36" fillId="31" borderId="11" applyNumberFormat="0" applyAlignment="0" applyProtection="0"/>
    <xf numFmtId="0" fontId="51" fillId="34" borderId="17" applyNumberFormat="0" applyFont="0" applyAlignment="0" applyProtection="0"/>
    <xf numFmtId="0" fontId="46" fillId="31" borderId="18" applyNumberFormat="0" applyAlignment="0" applyProtection="0"/>
    <xf numFmtId="0" fontId="48" fillId="0" borderId="19" applyNumberFormat="0" applyFill="0" applyAlignment="0" applyProtection="0"/>
    <xf numFmtId="0" fontId="51" fillId="34" borderId="17" applyNumberFormat="0" applyFont="0" applyAlignment="0" applyProtection="0"/>
    <xf numFmtId="0" fontId="46" fillId="31" borderId="18" applyNumberFormat="0" applyAlignment="0" applyProtection="0"/>
    <xf numFmtId="0" fontId="48" fillId="0" borderId="19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36" fillId="31" borderId="20" applyNumberFormat="0" applyAlignment="0" applyProtection="0"/>
    <xf numFmtId="0" fontId="43" fillId="18" borderId="20" applyNumberFormat="0" applyAlignment="0" applyProtection="0"/>
    <xf numFmtId="0" fontId="7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7" fillId="34" borderId="21" applyNumberFormat="0" applyFont="0" applyAlignment="0" applyProtection="0"/>
    <xf numFmtId="0" fontId="43" fillId="18" borderId="20" applyNumberFormat="0" applyAlignment="0" applyProtection="0"/>
    <xf numFmtId="0" fontId="36" fillId="31" borderId="20" applyNumberFormat="0" applyAlignment="0" applyProtection="0"/>
    <xf numFmtId="0" fontId="43" fillId="18" borderId="20" applyNumberFormat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36" fillId="31" borderId="20" applyNumberFormat="0" applyAlignment="0" applyProtection="0"/>
    <xf numFmtId="0" fontId="36" fillId="31" borderId="20" applyNumberFormat="0" applyAlignment="0" applyProtection="0"/>
    <xf numFmtId="0" fontId="43" fillId="18" borderId="20" applyNumberFormat="0" applyAlignment="0" applyProtection="0"/>
    <xf numFmtId="0" fontId="43" fillId="18" borderId="20" applyNumberFormat="0" applyAlignment="0" applyProtection="0"/>
    <xf numFmtId="0" fontId="36" fillId="31" borderId="20" applyNumberFormat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2" fillId="0" borderId="26" applyNumberFormat="0" applyFill="0" applyAlignment="0" applyProtection="0"/>
    <xf numFmtId="0" fontId="53" fillId="0" borderId="27" applyNumberFormat="0" applyFill="0" applyAlignment="0" applyProtection="0"/>
    <xf numFmtId="0" fontId="54" fillId="0" borderId="28" applyNumberFormat="0" applyFill="0" applyAlignment="0" applyProtection="0"/>
    <xf numFmtId="0" fontId="54" fillId="0" borderId="0" applyNumberFormat="0" applyFill="0" applyBorder="0" applyAlignment="0" applyProtection="0"/>
    <xf numFmtId="0" fontId="30" fillId="9" borderId="0" applyNumberFormat="0" applyBorder="0" applyAlignment="0" applyProtection="0"/>
    <xf numFmtId="0" fontId="55" fillId="36" borderId="0" applyNumberFormat="0" applyBorder="0" applyAlignment="0" applyProtection="0"/>
    <xf numFmtId="0" fontId="56" fillId="37" borderId="0" applyNumberFormat="0" applyBorder="0" applyAlignment="0" applyProtection="0"/>
    <xf numFmtId="0" fontId="57" fillId="38" borderId="29" applyNumberFormat="0" applyAlignment="0" applyProtection="0"/>
    <xf numFmtId="0" fontId="58" fillId="39" borderId="30" applyNumberFormat="0" applyAlignment="0" applyProtection="0"/>
    <xf numFmtId="0" fontId="59" fillId="39" borderId="29" applyNumberFormat="0" applyAlignment="0" applyProtection="0"/>
    <xf numFmtId="0" fontId="60" fillId="0" borderId="31" applyNumberFormat="0" applyFill="0" applyAlignment="0" applyProtection="0"/>
    <xf numFmtId="0" fontId="21" fillId="40" borderId="32" applyNumberFormat="0" applyAlignment="0" applyProtection="0"/>
    <xf numFmtId="0" fontId="22" fillId="0" borderId="0" applyNumberFormat="0" applyFill="0" applyBorder="0" applyAlignment="0" applyProtection="0"/>
    <xf numFmtId="0" fontId="6" fillId="10" borderId="9" applyNumberFormat="0" applyFont="0" applyAlignment="0" applyProtection="0"/>
    <xf numFmtId="0" fontId="61" fillId="0" borderId="0" applyNumberFormat="0" applyFill="0" applyBorder="0" applyAlignment="0" applyProtection="0"/>
    <xf numFmtId="0" fontId="1" fillId="0" borderId="33" applyNumberFormat="0" applyFill="0" applyAlignment="0" applyProtection="0"/>
    <xf numFmtId="0" fontId="2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2" fillId="44" borderId="0" applyNumberFormat="0" applyBorder="0" applyAlignment="0" applyProtection="0"/>
    <xf numFmtId="0" fontId="2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2" fillId="48" borderId="0" applyNumberFormat="0" applyBorder="0" applyAlignment="0" applyProtection="0"/>
    <xf numFmtId="0" fontId="2" fillId="49" borderId="0" applyNumberFormat="0" applyBorder="0" applyAlignment="0" applyProtection="0"/>
    <xf numFmtId="0" fontId="6" fillId="50" borderId="0" applyNumberFormat="0" applyBorder="0" applyAlignment="0" applyProtection="0"/>
    <xf numFmtId="0" fontId="6" fillId="51" borderId="0" applyNumberFormat="0" applyBorder="0" applyAlignment="0" applyProtection="0"/>
    <xf numFmtId="0" fontId="2" fillId="52" borderId="0" applyNumberFormat="0" applyBorder="0" applyAlignment="0" applyProtection="0"/>
    <xf numFmtId="0" fontId="2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5" borderId="0" applyNumberFormat="0" applyBorder="0" applyAlignment="0" applyProtection="0"/>
    <xf numFmtId="0" fontId="2" fillId="56" borderId="0" applyNumberFormat="0" applyBorder="0" applyAlignment="0" applyProtection="0"/>
    <xf numFmtId="0" fontId="2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59" borderId="0" applyNumberFormat="0" applyBorder="0" applyAlignment="0" applyProtection="0"/>
    <xf numFmtId="0" fontId="2" fillId="60" borderId="0" applyNumberFormat="0" applyBorder="0" applyAlignment="0" applyProtection="0"/>
    <xf numFmtId="0" fontId="2" fillId="61" borderId="0" applyNumberFormat="0" applyBorder="0" applyAlignment="0" applyProtection="0"/>
    <xf numFmtId="0" fontId="6" fillId="62" borderId="0" applyNumberFormat="0" applyBorder="0" applyAlignment="0" applyProtection="0"/>
    <xf numFmtId="0" fontId="6" fillId="63" borderId="0" applyNumberFormat="0" applyBorder="0" applyAlignment="0" applyProtection="0"/>
    <xf numFmtId="0" fontId="2" fillId="64" borderId="0" applyNumberFormat="0" applyBorder="0" applyAlignment="0" applyProtection="0"/>
    <xf numFmtId="0" fontId="62" fillId="0" borderId="0" applyNumberFormat="0" applyFill="0" applyBorder="0" applyAlignment="0" applyProtection="0"/>
    <xf numFmtId="0" fontId="63" fillId="0" borderId="0">
      <alignment vertical="top" wrapText="1"/>
    </xf>
    <xf numFmtId="0" fontId="28" fillId="0" borderId="0"/>
    <xf numFmtId="0" fontId="6" fillId="0" borderId="0"/>
    <xf numFmtId="0" fontId="6" fillId="0" borderId="0"/>
    <xf numFmtId="0" fontId="6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8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6" fillId="37" borderId="0" applyNumberFormat="0" applyBorder="0" applyAlignment="0" applyProtection="0"/>
    <xf numFmtId="0" fontId="6" fillId="10" borderId="9" applyNumberFormat="0" applyFont="0" applyAlignment="0" applyProtection="0"/>
    <xf numFmtId="0" fontId="2" fillId="44" borderId="0" applyNumberFormat="0" applyBorder="0" applyAlignment="0" applyProtection="0"/>
    <xf numFmtId="0" fontId="2" fillId="48" borderId="0" applyNumberFormat="0" applyBorder="0" applyAlignment="0" applyProtection="0"/>
    <xf numFmtId="0" fontId="2" fillId="52" borderId="0" applyNumberFormat="0" applyBorder="0" applyAlignment="0" applyProtection="0"/>
    <xf numFmtId="0" fontId="2" fillId="56" borderId="0" applyNumberFormat="0" applyBorder="0" applyAlignment="0" applyProtection="0"/>
    <xf numFmtId="0" fontId="2" fillId="60" borderId="0" applyNumberFormat="0" applyBorder="0" applyAlignment="0" applyProtection="0"/>
    <xf numFmtId="0" fontId="2" fillId="64" borderId="0" applyNumberFormat="0" applyBorder="0" applyAlignment="0" applyProtection="0"/>
    <xf numFmtId="0" fontId="6" fillId="0" borderId="0"/>
  </cellStyleXfs>
  <cellXfs count="253">
    <xf numFmtId="0" fontId="0" fillId="0" borderId="0" xfId="0"/>
    <xf numFmtId="0" fontId="0" fillId="0" borderId="0" xfId="0" applyAlignment="1">
      <alignment horizontal="left" indent="1"/>
    </xf>
    <xf numFmtId="0" fontId="23" fillId="0" borderId="0" xfId="0" applyFont="1" applyAlignment="1">
      <alignment horizontal="right"/>
    </xf>
    <xf numFmtId="0" fontId="1" fillId="0" borderId="0" xfId="0" applyFont="1" applyAlignment="1">
      <alignment horizontal="left" indent="1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top" wrapText="1"/>
    </xf>
    <xf numFmtId="0" fontId="0" fillId="11" borderId="1" xfId="0" quotePrefix="1" applyFill="1" applyBorder="1" applyAlignment="1">
      <alignment horizontal="center" vertical="top" wrapText="1"/>
    </xf>
    <xf numFmtId="165" fontId="6" fillId="4" borderId="1" xfId="3" applyNumberFormat="1" applyFont="1" applyFill="1" applyBorder="1" applyAlignment="1">
      <alignment horizontal="center" vertical="top"/>
    </xf>
    <xf numFmtId="165" fontId="0" fillId="7" borderId="1" xfId="3" quotePrefix="1" applyNumberFormat="1" applyFont="1" applyFill="1" applyBorder="1" applyAlignment="1">
      <alignment horizontal="center" vertical="top" wrapText="1"/>
    </xf>
    <xf numFmtId="165" fontId="66" fillId="66" borderId="2" xfId="0" applyNumberFormat="1" applyFont="1" applyFill="1" applyBorder="1" applyAlignment="1">
      <alignment horizontal="right" vertical="top" wrapText="1"/>
    </xf>
    <xf numFmtId="171" fontId="66" fillId="35" borderId="0" xfId="30" applyNumberFormat="1" applyFont="1" applyFill="1" applyBorder="1" applyAlignment="1" applyProtection="1">
      <alignment horizontal="center" vertical="top" wrapText="1"/>
      <protection locked="0"/>
    </xf>
    <xf numFmtId="42" fontId="3" fillId="35" borderId="2" xfId="29" applyNumberFormat="1" applyFont="1" applyFill="1" applyBorder="1" applyAlignment="1" applyProtection="1">
      <alignment horizontal="left" vertical="top" wrapText="1"/>
      <protection locked="0"/>
    </xf>
    <xf numFmtId="0" fontId="0" fillId="35" borderId="2" xfId="28" applyFont="1" applyFill="1" applyBorder="1" applyAlignment="1" applyProtection="1">
      <alignment vertical="top"/>
      <protection locked="0"/>
    </xf>
    <xf numFmtId="0" fontId="0" fillId="35" borderId="2" xfId="28" applyFont="1" applyFill="1" applyBorder="1" applyAlignment="1" applyProtection="1">
      <alignment vertical="top" wrapText="1"/>
      <protection locked="0"/>
    </xf>
    <xf numFmtId="42" fontId="32" fillId="0" borderId="37" xfId="29" applyNumberFormat="1" applyFont="1" applyBorder="1" applyAlignment="1" applyProtection="1">
      <alignment vertical="top"/>
      <protection locked="0"/>
    </xf>
    <xf numFmtId="165" fontId="3" fillId="35" borderId="2" xfId="29" applyNumberFormat="1" applyFont="1" applyFill="1" applyBorder="1" applyAlignment="1" applyProtection="1">
      <alignment horizontal="left" vertical="top" wrapText="1"/>
      <protection locked="0"/>
    </xf>
    <xf numFmtId="165" fontId="32" fillId="0" borderId="37" xfId="29" applyNumberFormat="1" applyFont="1" applyBorder="1" applyAlignment="1" applyProtection="1">
      <alignment vertical="top"/>
      <protection locked="0"/>
    </xf>
    <xf numFmtId="0" fontId="72" fillId="0" borderId="39" xfId="21" applyFont="1" applyBorder="1" applyAlignment="1">
      <alignment horizontal="center" wrapText="1"/>
    </xf>
    <xf numFmtId="0" fontId="71" fillId="0" borderId="0" xfId="21" applyFont="1" applyAlignment="1">
      <alignment horizontal="center" vertical="center"/>
    </xf>
    <xf numFmtId="0" fontId="72" fillId="0" borderId="39" xfId="21" applyFont="1" applyBorder="1" applyAlignment="1">
      <alignment horizontal="right" wrapText="1"/>
    </xf>
    <xf numFmtId="0" fontId="71" fillId="0" borderId="0" xfId="21" applyFont="1" applyAlignment="1">
      <alignment vertical="center"/>
    </xf>
    <xf numFmtId="0" fontId="71" fillId="0" borderId="0" xfId="21" applyFont="1" applyAlignment="1">
      <alignment horizontal="right" vertical="center"/>
    </xf>
    <xf numFmtId="0" fontId="73" fillId="67" borderId="38" xfId="21" applyFont="1" applyFill="1" applyBorder="1" applyAlignment="1">
      <alignment horizontal="centerContinuous" vertical="center"/>
    </xf>
    <xf numFmtId="0" fontId="73" fillId="67" borderId="0" xfId="21" applyFont="1" applyFill="1" applyAlignment="1">
      <alignment horizontal="centerContinuous" vertical="center"/>
    </xf>
    <xf numFmtId="0" fontId="72" fillId="0" borderId="41" xfId="21" applyFont="1" applyBorder="1" applyAlignment="1">
      <alignment horizontal="center" wrapText="1"/>
    </xf>
    <xf numFmtId="0" fontId="26" fillId="0" borderId="0" xfId="28" applyFont="1" applyAlignment="1">
      <alignment horizontal="left" vertical="top" wrapText="1" indent="1"/>
    </xf>
    <xf numFmtId="0" fontId="26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0" fontId="26" fillId="0" borderId="0" xfId="0" applyFont="1" applyAlignment="1">
      <alignment horizontal="left" vertical="top" indent="1"/>
    </xf>
    <xf numFmtId="0" fontId="26" fillId="0" borderId="0" xfId="28" applyFont="1" applyAlignment="1">
      <alignment horizontal="left" vertical="top" wrapText="1" indent="2"/>
    </xf>
    <xf numFmtId="0" fontId="26" fillId="0" borderId="0" xfId="0" applyFont="1" applyAlignment="1">
      <alignment horizontal="left" vertical="top" indent="2"/>
    </xf>
    <xf numFmtId="173" fontId="68" fillId="0" borderId="2" xfId="29" quotePrefix="1" applyNumberFormat="1" applyFont="1" applyBorder="1" applyAlignment="1">
      <alignment horizontal="center" vertical="center" wrapText="1"/>
    </xf>
    <xf numFmtId="173" fontId="26" fillId="0" borderId="0" xfId="29" quotePrefix="1" applyNumberFormat="1" applyFont="1" applyBorder="1" applyAlignment="1">
      <alignment horizontal="center" vertical="top" wrapText="1"/>
    </xf>
    <xf numFmtId="173" fontId="26" fillId="0" borderId="0" xfId="0" applyNumberFormat="1" applyFont="1" applyAlignment="1">
      <alignment vertical="top"/>
    </xf>
    <xf numFmtId="0" fontId="70" fillId="0" borderId="44" xfId="21" applyFont="1" applyBorder="1" applyAlignment="1">
      <alignment wrapText="1"/>
    </xf>
    <xf numFmtId="0" fontId="70" fillId="0" borderId="45" xfId="21" applyFont="1" applyBorder="1" applyAlignment="1">
      <alignment wrapText="1"/>
    </xf>
    <xf numFmtId="0" fontId="66" fillId="66" borderId="43" xfId="0" applyFont="1" applyFill="1" applyBorder="1" applyAlignment="1">
      <alignment vertical="top" wrapText="1"/>
    </xf>
    <xf numFmtId="0" fontId="3" fillId="0" borderId="46" xfId="28" applyFont="1" applyBorder="1" applyAlignment="1">
      <alignment horizontal="left" vertical="center" wrapText="1" indent="1"/>
    </xf>
    <xf numFmtId="0" fontId="3" fillId="0" borderId="42" xfId="28" applyFont="1" applyBorder="1" applyAlignment="1">
      <alignment horizontal="left" vertical="center" wrapText="1" indent="1"/>
    </xf>
    <xf numFmtId="0" fontId="66" fillId="66" borderId="42" xfId="0" applyFont="1" applyFill="1" applyBorder="1" applyAlignment="1">
      <alignment vertical="top"/>
    </xf>
    <xf numFmtId="0" fontId="75" fillId="0" borderId="48" xfId="28" applyFont="1" applyBorder="1" applyAlignment="1">
      <alignment horizontal="left" vertical="top" wrapText="1"/>
    </xf>
    <xf numFmtId="0" fontId="78" fillId="0" borderId="42" xfId="28" applyFont="1" applyBorder="1" applyAlignment="1">
      <alignment horizontal="left" vertical="top" wrapText="1"/>
    </xf>
    <xf numFmtId="0" fontId="80" fillId="0" borderId="42" xfId="28" applyFont="1" applyBorder="1" applyAlignment="1">
      <alignment horizontal="left" vertical="top" wrapText="1"/>
    </xf>
    <xf numFmtId="0" fontId="79" fillId="0" borderId="42" xfId="28" applyFont="1" applyBorder="1" applyAlignment="1">
      <alignment horizontal="left" vertical="top" wrapText="1"/>
    </xf>
    <xf numFmtId="0" fontId="81" fillId="0" borderId="42" xfId="28" applyFont="1" applyBorder="1" applyAlignment="1">
      <alignment horizontal="left" vertical="top" wrapText="1"/>
    </xf>
    <xf numFmtId="0" fontId="77" fillId="0" borderId="42" xfId="28" applyFont="1" applyBorder="1" applyAlignment="1">
      <alignment horizontal="left" vertical="top" wrapText="1"/>
    </xf>
    <xf numFmtId="0" fontId="76" fillId="0" borderId="42" xfId="28" applyFont="1" applyBorder="1" applyAlignment="1">
      <alignment horizontal="left" vertical="top" wrapText="1"/>
    </xf>
    <xf numFmtId="0" fontId="3" fillId="0" borderId="43" xfId="28" applyFont="1" applyBorder="1" applyAlignment="1">
      <alignment horizontal="left" vertical="top" wrapText="1"/>
    </xf>
    <xf numFmtId="0" fontId="3" fillId="0" borderId="49" xfId="28" applyFont="1" applyBorder="1" applyAlignment="1">
      <alignment horizontal="left" vertical="top" wrapText="1"/>
    </xf>
    <xf numFmtId="0" fontId="3" fillId="0" borderId="47" xfId="28" applyFont="1" applyBorder="1" applyAlignment="1">
      <alignment horizontal="left" vertical="center" wrapText="1"/>
    </xf>
    <xf numFmtId="0" fontId="3" fillId="0" borderId="43" xfId="28" applyFont="1" applyBorder="1" applyAlignment="1">
      <alignment horizontal="left" vertical="center" wrapText="1"/>
    </xf>
    <xf numFmtId="14" fontId="1" fillId="0" borderId="0" xfId="0" applyNumberFormat="1" applyFont="1" applyAlignment="1">
      <alignment horizontal="left" indent="1"/>
    </xf>
    <xf numFmtId="0" fontId="0" fillId="0" borderId="0" xfId="0" applyAlignment="1">
      <alignment horizontal="right"/>
    </xf>
    <xf numFmtId="165" fontId="64" fillId="4" borderId="1" xfId="3" applyNumberFormat="1" applyFont="1" applyFill="1" applyBorder="1" applyAlignment="1">
      <alignment horizontal="center" vertical="top"/>
    </xf>
    <xf numFmtId="0" fontId="0" fillId="3" borderId="1" xfId="0" applyFill="1" applyBorder="1" applyAlignment="1">
      <alignment horizontal="left" vertical="top" indent="1"/>
    </xf>
    <xf numFmtId="43" fontId="1" fillId="35" borderId="25" xfId="3" applyFont="1" applyFill="1" applyBorder="1" applyAlignment="1" applyProtection="1">
      <alignment horizontal="right" wrapText="1"/>
      <protection locked="0"/>
    </xf>
    <xf numFmtId="165" fontId="6" fillId="35" borderId="0" xfId="3" applyNumberFormat="1" applyFont="1" applyFill="1" applyBorder="1" applyAlignment="1" applyProtection="1">
      <alignment horizontal="left" shrinkToFit="1"/>
      <protection locked="0"/>
    </xf>
    <xf numFmtId="0" fontId="6" fillId="35" borderId="0" xfId="3" applyNumberFormat="1" applyFont="1" applyFill="1" applyBorder="1" applyAlignment="1" applyProtection="1">
      <alignment horizontal="left" vertical="top" wrapText="1" shrinkToFit="1"/>
      <protection locked="0"/>
    </xf>
    <xf numFmtId="165" fontId="6" fillId="0" borderId="0" xfId="3" applyNumberFormat="1" applyFont="1" applyFill="1" applyBorder="1" applyAlignment="1" applyProtection="1">
      <alignment horizontal="left" vertical="top" shrinkToFit="1"/>
    </xf>
    <xf numFmtId="165" fontId="6" fillId="35" borderId="50" xfId="3" applyNumberFormat="1" applyFont="1" applyFill="1" applyBorder="1" applyAlignment="1" applyProtection="1">
      <alignment horizontal="left" shrinkToFit="1"/>
      <protection locked="0"/>
    </xf>
    <xf numFmtId="165" fontId="6" fillId="35" borderId="51" xfId="3" applyNumberFormat="1" applyFont="1" applyFill="1" applyBorder="1" applyAlignment="1" applyProtection="1">
      <alignment horizontal="left" shrinkToFit="1"/>
      <protection locked="0"/>
    </xf>
    <xf numFmtId="43" fontId="1" fillId="35" borderId="54" xfId="3" applyFont="1" applyFill="1" applyBorder="1" applyAlignment="1" applyProtection="1">
      <alignment horizontal="right" wrapText="1"/>
      <protection locked="0"/>
    </xf>
    <xf numFmtId="43" fontId="1" fillId="35" borderId="55" xfId="3" applyFont="1" applyFill="1" applyBorder="1" applyAlignment="1" applyProtection="1">
      <alignment horizontal="right" wrapText="1"/>
      <protection locked="0"/>
    </xf>
    <xf numFmtId="0" fontId="0" fillId="0" borderId="0" xfId="0" applyAlignment="1">
      <alignment horizontal="left" vertical="top" indent="1"/>
    </xf>
    <xf numFmtId="165" fontId="0" fillId="4" borderId="1" xfId="3" applyNumberFormat="1" applyFont="1" applyFill="1" applyBorder="1" applyAlignment="1">
      <alignment horizontal="center" vertical="top"/>
    </xf>
    <xf numFmtId="0" fontId="84" fillId="0" borderId="0" xfId="0" applyFont="1" applyAlignment="1">
      <alignment vertical="top"/>
    </xf>
    <xf numFmtId="43" fontId="5" fillId="0" borderId="0" xfId="2" applyNumberFormat="1" applyAlignment="1" applyProtection="1">
      <alignment horizontal="right" vertical="top"/>
    </xf>
    <xf numFmtId="0" fontId="1" fillId="0" borderId="0" xfId="0" applyFont="1" applyAlignment="1">
      <alignment horizontal="left" vertical="top"/>
    </xf>
    <xf numFmtId="0" fontId="23" fillId="0" borderId="0" xfId="0" applyFont="1" applyAlignment="1">
      <alignment horizontal="right" vertical="top"/>
    </xf>
    <xf numFmtId="165" fontId="1" fillId="12" borderId="0" xfId="3" applyNumberFormat="1" applyFont="1" applyFill="1" applyBorder="1" applyAlignment="1" applyProtection="1">
      <alignment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Continuous" vertical="top" wrapText="1"/>
    </xf>
    <xf numFmtId="49" fontId="2" fillId="0" borderId="0" xfId="0" applyNumberFormat="1" applyFont="1" applyAlignment="1">
      <alignment horizontal="center"/>
    </xf>
    <xf numFmtId="0" fontId="23" fillId="68" borderId="0" xfId="0" applyFont="1" applyFill="1"/>
    <xf numFmtId="0" fontId="33" fillId="0" borderId="5" xfId="0" applyFont="1" applyBorder="1" applyAlignment="1">
      <alignment horizontal="right" wrapText="1"/>
    </xf>
    <xf numFmtId="0" fontId="1" fillId="0" borderId="0" xfId="0" applyFont="1"/>
    <xf numFmtId="0" fontId="1" fillId="0" borderId="0" xfId="0" applyFont="1" applyAlignment="1">
      <alignment horizontal="right" wrapText="1"/>
    </xf>
    <xf numFmtId="0" fontId="24" fillId="0" borderId="0" xfId="0" applyFont="1" applyAlignment="1">
      <alignment horizontal="center" wrapText="1"/>
    </xf>
    <xf numFmtId="165" fontId="65" fillId="0" borderId="5" xfId="3" applyNumberFormat="1" applyFont="1" applyBorder="1" applyProtection="1"/>
    <xf numFmtId="49" fontId="2" fillId="7" borderId="0" xfId="0" applyNumberFormat="1" applyFont="1" applyFill="1" applyAlignment="1">
      <alignment horizontal="center"/>
    </xf>
    <xf numFmtId="165" fontId="0" fillId="0" borderId="0" xfId="3" applyNumberFormat="1" applyFont="1" applyFill="1" applyProtection="1"/>
    <xf numFmtId="164" fontId="23" fillId="0" borderId="0" xfId="4" applyNumberFormat="1" applyFont="1" applyFill="1" applyAlignment="1" applyProtection="1">
      <alignment horizontal="center"/>
    </xf>
    <xf numFmtId="165" fontId="33" fillId="0" borderId="56" xfId="3" applyNumberFormat="1" applyFont="1" applyBorder="1" applyAlignment="1" applyProtection="1">
      <alignment vertical="top"/>
    </xf>
    <xf numFmtId="49" fontId="21" fillId="0" borderId="0" xfId="0" applyNumberFormat="1" applyFont="1" applyAlignment="1">
      <alignment horizontal="center" vertical="top"/>
    </xf>
    <xf numFmtId="0" fontId="1" fillId="0" borderId="8" xfId="0" applyFont="1" applyBorder="1" applyAlignment="1">
      <alignment vertical="top"/>
    </xf>
    <xf numFmtId="165" fontId="1" fillId="0" borderId="8" xfId="3" applyNumberFormat="1" applyFont="1" applyFill="1" applyBorder="1" applyAlignment="1" applyProtection="1">
      <alignment vertical="top"/>
    </xf>
    <xf numFmtId="164" fontId="24" fillId="0" borderId="8" xfId="4" applyNumberFormat="1" applyFont="1" applyFill="1" applyBorder="1" applyAlignment="1" applyProtection="1">
      <alignment horizontal="center" vertical="top"/>
    </xf>
    <xf numFmtId="0" fontId="1" fillId="0" borderId="0" xfId="0" applyFont="1" applyAlignment="1">
      <alignment vertical="top"/>
    </xf>
    <xf numFmtId="0" fontId="0" fillId="0" borderId="5" xfId="0" applyBorder="1"/>
    <xf numFmtId="165" fontId="0" fillId="0" borderId="0" xfId="3" applyNumberFormat="1" applyFont="1" applyProtection="1"/>
    <xf numFmtId="165" fontId="1" fillId="0" borderId="0" xfId="3" applyNumberFormat="1" applyFont="1" applyBorder="1" applyProtection="1"/>
    <xf numFmtId="165" fontId="24" fillId="0" borderId="0" xfId="3" applyNumberFormat="1" applyFont="1" applyBorder="1" applyProtection="1"/>
    <xf numFmtId="10" fontId="0" fillId="0" borderId="5" xfId="4" applyNumberFormat="1" applyFont="1" applyFill="1" applyBorder="1" applyAlignment="1" applyProtection="1">
      <alignment horizontal="right"/>
    </xf>
    <xf numFmtId="10" fontId="0" fillId="0" borderId="0" xfId="4" applyNumberFormat="1" applyFont="1" applyFill="1" applyAlignment="1" applyProtection="1">
      <alignment horizontal="right"/>
    </xf>
    <xf numFmtId="165" fontId="22" fillId="0" borderId="5" xfId="0" applyNumberFormat="1" applyFont="1" applyBorder="1"/>
    <xf numFmtId="0" fontId="22" fillId="0" borderId="0" xfId="0" applyFont="1" applyAlignment="1">
      <alignment horizontal="left" indent="1"/>
    </xf>
    <xf numFmtId="165" fontId="22" fillId="0" borderId="0" xfId="0" applyNumberFormat="1" applyFont="1"/>
    <xf numFmtId="165" fontId="0" fillId="0" borderId="5" xfId="0" applyNumberFormat="1" applyBorder="1"/>
    <xf numFmtId="165" fontId="0" fillId="0" borderId="0" xfId="0" applyNumberFormat="1"/>
    <xf numFmtId="165" fontId="25" fillId="0" borderId="5" xfId="0" applyNumberFormat="1" applyFont="1" applyBorder="1"/>
    <xf numFmtId="0" fontId="25" fillId="0" borderId="0" xfId="0" applyFont="1" applyAlignment="1">
      <alignment horizontal="left" indent="1"/>
    </xf>
    <xf numFmtId="165" fontId="68" fillId="0" borderId="2" xfId="29" applyNumberFormat="1" applyFont="1" applyBorder="1" applyAlignment="1" applyProtection="1">
      <alignment vertical="top" wrapText="1"/>
    </xf>
    <xf numFmtId="165" fontId="66" fillId="0" borderId="2" xfId="29" applyNumberFormat="1" applyFont="1" applyBorder="1" applyAlignment="1" applyProtection="1">
      <alignment vertical="top" wrapText="1"/>
    </xf>
    <xf numFmtId="0" fontId="72" fillId="0" borderId="39" xfId="21" applyFont="1" applyBorder="1" applyAlignment="1">
      <alignment horizontal="right" shrinkToFit="1"/>
    </xf>
    <xf numFmtId="0" fontId="3" fillId="0" borderId="46" xfId="28" applyFont="1" applyBorder="1" applyAlignment="1">
      <alignment horizontal="left" vertical="top" wrapText="1" indent="1"/>
    </xf>
    <xf numFmtId="0" fontId="3" fillId="0" borderId="47" xfId="28" applyFont="1" applyBorder="1" applyAlignment="1">
      <alignment horizontal="left" vertical="top" wrapText="1"/>
    </xf>
    <xf numFmtId="165" fontId="68" fillId="0" borderId="2" xfId="29" applyNumberFormat="1" applyFont="1" applyFill="1" applyBorder="1" applyAlignment="1" applyProtection="1">
      <alignment vertical="top" wrapText="1"/>
    </xf>
    <xf numFmtId="165" fontId="66" fillId="0" borderId="36" xfId="29" applyNumberFormat="1" applyFont="1" applyBorder="1" applyAlignment="1" applyProtection="1">
      <alignment vertical="top" wrapText="1"/>
    </xf>
    <xf numFmtId="0" fontId="3" fillId="0" borderId="42" xfId="28" applyFont="1" applyBorder="1" applyAlignment="1">
      <alignment horizontal="left" vertical="top" wrapText="1" indent="1"/>
    </xf>
    <xf numFmtId="0" fontId="66" fillId="66" borderId="43" xfId="0" applyFont="1" applyFill="1" applyBorder="1" applyAlignment="1">
      <alignment vertical="top"/>
    </xf>
    <xf numFmtId="0" fontId="74" fillId="0" borderId="2" xfId="29" applyNumberFormat="1" applyFont="1" applyBorder="1" applyAlignment="1" applyProtection="1">
      <alignment vertical="center" wrapText="1"/>
    </xf>
    <xf numFmtId="14" fontId="26" fillId="0" borderId="0" xfId="29" quotePrefix="1" applyNumberFormat="1" applyFont="1" applyBorder="1" applyAlignment="1" applyProtection="1">
      <alignment horizontal="center" vertical="top" wrapText="1"/>
    </xf>
    <xf numFmtId="0" fontId="66" fillId="65" borderId="0" xfId="28" applyFont="1" applyFill="1" applyAlignment="1">
      <alignment horizontal="center" vertical="top" wrapText="1"/>
    </xf>
    <xf numFmtId="0" fontId="68" fillId="65" borderId="0" xfId="28" applyFont="1" applyFill="1" applyAlignment="1">
      <alignment horizontal="centerContinuous" vertical="top"/>
    </xf>
    <xf numFmtId="0" fontId="69" fillId="65" borderId="0" xfId="28" applyFont="1" applyFill="1" applyAlignment="1">
      <alignment horizontal="centerContinuous" vertical="top" wrapText="1"/>
    </xf>
    <xf numFmtId="0" fontId="0" fillId="0" borderId="0" xfId="28" applyFont="1" applyAlignment="1">
      <alignment vertical="top"/>
    </xf>
    <xf numFmtId="0" fontId="69" fillId="65" borderId="0" xfId="28" applyFont="1" applyFill="1" applyAlignment="1">
      <alignment horizontal="center" vertical="top" wrapText="1"/>
    </xf>
    <xf numFmtId="170" fontId="66" fillId="65" borderId="0" xfId="29" applyNumberFormat="1" applyFont="1" applyFill="1" applyBorder="1" applyAlignment="1" applyProtection="1">
      <alignment horizontal="center" vertical="top" wrapText="1"/>
    </xf>
    <xf numFmtId="0" fontId="66" fillId="65" borderId="10" xfId="28" applyFont="1" applyFill="1" applyBorder="1" applyAlignment="1">
      <alignment horizontal="center" vertical="top" wrapText="1"/>
    </xf>
    <xf numFmtId="170" fontId="66" fillId="35" borderId="10" xfId="29" applyNumberFormat="1" applyFont="1" applyFill="1" applyBorder="1" applyAlignment="1" applyProtection="1">
      <alignment horizontal="center" vertical="top" wrapText="1"/>
    </xf>
    <xf numFmtId="49" fontId="66" fillId="35" borderId="10" xfId="29" applyNumberFormat="1" applyFont="1" applyFill="1" applyBorder="1" applyAlignment="1" applyProtection="1">
      <alignment horizontal="center" vertical="top" wrapText="1"/>
    </xf>
    <xf numFmtId="0" fontId="0" fillId="0" borderId="10" xfId="28" applyFont="1" applyBorder="1" applyAlignment="1">
      <alignment vertical="top"/>
    </xf>
    <xf numFmtId="170" fontId="66" fillId="65" borderId="10" xfId="29" applyNumberFormat="1" applyFont="1" applyFill="1" applyBorder="1" applyAlignment="1" applyProtection="1">
      <alignment horizontal="center" vertical="top" wrapText="1"/>
    </xf>
    <xf numFmtId="0" fontId="66" fillId="65" borderId="0" xfId="28" applyFont="1" applyFill="1" applyAlignment="1">
      <alignment horizontal="right" vertical="top" wrapText="1"/>
    </xf>
    <xf numFmtId="171" fontId="66" fillId="65" borderId="0" xfId="30" applyNumberFormat="1" applyFont="1" applyFill="1" applyBorder="1" applyAlignment="1" applyProtection="1">
      <alignment horizontal="center" vertical="top" wrapText="1"/>
    </xf>
    <xf numFmtId="0" fontId="3" fillId="0" borderId="2" xfId="28" applyFont="1" applyBorder="1" applyAlignment="1">
      <alignment horizontal="left" vertical="top" wrapText="1" indent="1"/>
    </xf>
    <xf numFmtId="165" fontId="0" fillId="0" borderId="35" xfId="28" applyNumberFormat="1" applyFont="1" applyBorder="1" applyAlignment="1">
      <alignment vertical="top"/>
    </xf>
    <xf numFmtId="165" fontId="3" fillId="0" borderId="2" xfId="29" applyNumberFormat="1" applyFont="1" applyBorder="1" applyAlignment="1" applyProtection="1">
      <alignment horizontal="left" vertical="top" wrapText="1"/>
    </xf>
    <xf numFmtId="165" fontId="0" fillId="0" borderId="5" xfId="28" applyNumberFormat="1" applyFont="1" applyBorder="1" applyAlignment="1">
      <alignment vertical="top"/>
    </xf>
    <xf numFmtId="0" fontId="66" fillId="66" borderId="2" xfId="28" applyFont="1" applyFill="1" applyBorder="1" applyAlignment="1">
      <alignment vertical="top" wrapText="1"/>
    </xf>
    <xf numFmtId="0" fontId="32" fillId="0" borderId="37" xfId="10" applyFont="1" applyBorder="1" applyAlignment="1">
      <alignment vertical="top"/>
    </xf>
    <xf numFmtId="165" fontId="0" fillId="0" borderId="0" xfId="28" applyNumberFormat="1" applyFont="1" applyAlignment="1">
      <alignment vertical="top"/>
    </xf>
    <xf numFmtId="0" fontId="32" fillId="0" borderId="0" xfId="0" applyFont="1" applyAlignment="1">
      <alignment vertical="top"/>
    </xf>
    <xf numFmtId="165" fontId="68" fillId="0" borderId="2" xfId="0" applyNumberFormat="1" applyFont="1" applyBorder="1" applyAlignment="1">
      <alignment horizontal="right" vertical="top" wrapText="1"/>
    </xf>
    <xf numFmtId="165" fontId="68" fillId="69" borderId="2" xfId="0" applyNumberFormat="1" applyFont="1" applyFill="1" applyBorder="1" applyAlignment="1">
      <alignment horizontal="right" vertical="top" wrapText="1"/>
    </xf>
    <xf numFmtId="0" fontId="3" fillId="0" borderId="2" xfId="0" applyFont="1" applyBorder="1" applyAlignment="1">
      <alignment horizontal="left" vertical="top" wrapText="1" indent="1"/>
    </xf>
    <xf numFmtId="0" fontId="66" fillId="66" borderId="2" xfId="0" applyFont="1" applyFill="1" applyBorder="1" applyAlignment="1">
      <alignment vertical="top" wrapText="1"/>
    </xf>
    <xf numFmtId="0" fontId="32" fillId="0" borderId="0" xfId="10" applyFont="1" applyAlignment="1">
      <alignment vertical="top"/>
    </xf>
    <xf numFmtId="0" fontId="31" fillId="0" borderId="0" xfId="0" applyFont="1" applyAlignment="1">
      <alignment vertical="top"/>
    </xf>
    <xf numFmtId="0" fontId="66" fillId="65" borderId="35" xfId="0" applyFont="1" applyFill="1" applyBorder="1" applyAlignment="1">
      <alignment horizontal="center" vertical="top" wrapText="1"/>
    </xf>
    <xf numFmtId="0" fontId="66" fillId="65" borderId="36" xfId="0" applyFont="1" applyFill="1" applyBorder="1" applyAlignment="1">
      <alignment horizontal="center" vertical="top" wrapText="1"/>
    </xf>
    <xf numFmtId="0" fontId="67" fillId="65" borderId="36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top"/>
    </xf>
    <xf numFmtId="43" fontId="22" fillId="0" borderId="0" xfId="3" applyFont="1" applyAlignment="1" applyProtection="1">
      <alignment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 wrapText="1"/>
    </xf>
    <xf numFmtId="165" fontId="6" fillId="0" borderId="0" xfId="3" applyNumberFormat="1" applyFont="1" applyFill="1" applyBorder="1" applyAlignment="1" applyProtection="1">
      <alignment horizontal="right" vertical="top" wrapText="1" shrinkToFit="1"/>
    </xf>
    <xf numFmtId="0" fontId="6" fillId="0" borderId="0" xfId="3" applyNumberFormat="1" applyFont="1" applyFill="1" applyBorder="1" applyAlignment="1" applyProtection="1">
      <alignment horizontal="left" vertical="top" wrapText="1" shrinkToFit="1"/>
    </xf>
    <xf numFmtId="166" fontId="0" fillId="0" borderId="0" xfId="0" applyNumberFormat="1" applyAlignment="1">
      <alignment vertical="top"/>
    </xf>
    <xf numFmtId="43" fontId="5" fillId="0" borderId="0" xfId="2" applyNumberFormat="1" applyAlignment="1" applyProtection="1">
      <alignment horizontal="center" vertical="top"/>
    </xf>
    <xf numFmtId="43" fontId="0" fillId="0" borderId="0" xfId="3" applyFont="1" applyAlignment="1" applyProtection="1">
      <alignment vertical="top"/>
    </xf>
    <xf numFmtId="0" fontId="1" fillId="0" borderId="25" xfId="0" applyFont="1" applyBorder="1" applyAlignment="1">
      <alignment horizontal="center"/>
    </xf>
    <xf numFmtId="0" fontId="1" fillId="0" borderId="25" xfId="0" applyFont="1" applyBorder="1" applyAlignment="1">
      <alignment horizontal="left"/>
    </xf>
    <xf numFmtId="43" fontId="1" fillId="0" borderId="25" xfId="3" applyFont="1" applyBorder="1" applyAlignment="1" applyProtection="1">
      <alignment horizontal="right" wrapText="1"/>
    </xf>
    <xf numFmtId="43" fontId="1" fillId="0" borderId="25" xfId="3" applyFont="1" applyBorder="1" applyAlignment="1" applyProtection="1">
      <alignment horizontal="left" wrapText="1"/>
    </xf>
    <xf numFmtId="0" fontId="1" fillId="0" borderId="0" xfId="0" applyFont="1" applyAlignment="1">
      <alignment horizontal="center" vertical="top"/>
    </xf>
    <xf numFmtId="0" fontId="1" fillId="0" borderId="24" xfId="0" applyFont="1" applyBorder="1" applyAlignment="1">
      <alignment vertical="top"/>
    </xf>
    <xf numFmtId="0" fontId="1" fillId="0" borderId="24" xfId="0" applyFont="1" applyBorder="1" applyAlignment="1">
      <alignment horizontal="left" vertical="top"/>
    </xf>
    <xf numFmtId="165" fontId="1" fillId="0" borderId="24" xfId="3" applyNumberFormat="1" applyFont="1" applyBorder="1" applyAlignment="1" applyProtection="1">
      <alignment vertical="top" shrinkToFit="1"/>
    </xf>
    <xf numFmtId="0" fontId="0" fillId="0" borderId="0" xfId="0" applyAlignment="1">
      <alignment horizontal="center" vertical="top"/>
    </xf>
    <xf numFmtId="165" fontId="6" fillId="0" borderId="0" xfId="3" applyNumberFormat="1" applyFont="1" applyFill="1" applyBorder="1" applyAlignment="1" applyProtection="1">
      <alignment horizontal="right" vertical="top" shrinkToFit="1"/>
    </xf>
    <xf numFmtId="49" fontId="33" fillId="0" borderId="0" xfId="0" applyNumberFormat="1" applyFont="1"/>
    <xf numFmtId="0" fontId="33" fillId="0" borderId="0" xfId="0" applyFont="1" applyAlignment="1">
      <alignment horizontal="left" indent="1"/>
    </xf>
    <xf numFmtId="165" fontId="33" fillId="0" borderId="0" xfId="3" applyNumberFormat="1" applyFont="1" applyFill="1" applyBorder="1" applyAlignment="1" applyProtection="1">
      <alignment horizontal="left" shrinkToFit="1"/>
    </xf>
    <xf numFmtId="165" fontId="33" fillId="0" borderId="50" xfId="3" applyNumberFormat="1" applyFont="1" applyFill="1" applyBorder="1" applyAlignment="1" applyProtection="1">
      <alignment horizontal="left" shrinkToFit="1"/>
    </xf>
    <xf numFmtId="165" fontId="33" fillId="0" borderId="51" xfId="3" applyNumberFormat="1" applyFont="1" applyFill="1" applyBorder="1" applyAlignment="1" applyProtection="1">
      <alignment horizontal="left" shrinkToFit="1"/>
    </xf>
    <xf numFmtId="0" fontId="0" fillId="7" borderId="0" xfId="0" applyFill="1" applyAlignment="1">
      <alignment horizontal="center"/>
    </xf>
    <xf numFmtId="0" fontId="0" fillId="0" borderId="0" xfId="0" applyAlignment="1">
      <alignment horizontal="left" indent="2"/>
    </xf>
    <xf numFmtId="165" fontId="6" fillId="0" borderId="0" xfId="3" applyNumberFormat="1" applyFont="1" applyFill="1" applyBorder="1" applyAlignment="1" applyProtection="1">
      <alignment horizontal="left" shrinkToFit="1"/>
    </xf>
    <xf numFmtId="43" fontId="22" fillId="0" borderId="0" xfId="3" applyFont="1" applyAlignment="1" applyProtection="1"/>
    <xf numFmtId="43" fontId="5" fillId="0" borderId="0" xfId="2" applyNumberFormat="1" applyAlignment="1" applyProtection="1">
      <alignment horizontal="left" vertical="top"/>
    </xf>
    <xf numFmtId="0" fontId="1" fillId="0" borderId="25" xfId="0" applyFont="1" applyBorder="1"/>
    <xf numFmtId="165" fontId="1" fillId="0" borderId="52" xfId="3" applyNumberFormat="1" applyFont="1" applyBorder="1" applyAlignment="1" applyProtection="1">
      <alignment vertical="top" shrinkToFit="1"/>
    </xf>
    <xf numFmtId="165" fontId="1" fillId="0" borderId="53" xfId="3" applyNumberFormat="1" applyFont="1" applyBorder="1" applyAlignment="1" applyProtection="1">
      <alignment vertical="top" shrinkToFit="1"/>
    </xf>
    <xf numFmtId="165" fontId="33" fillId="8" borderId="10" xfId="3" applyNumberFormat="1" applyFont="1" applyFill="1" applyBorder="1" applyAlignment="1" applyProtection="1">
      <alignment horizontal="left"/>
    </xf>
    <xf numFmtId="49" fontId="33" fillId="8" borderId="10" xfId="0" applyNumberFormat="1" applyFont="1" applyFill="1" applyBorder="1" applyAlignment="1">
      <alignment horizontal="left" indent="1"/>
    </xf>
    <xf numFmtId="165" fontId="1" fillId="0" borderId="0" xfId="0" applyNumberFormat="1" applyFont="1" applyAlignment="1">
      <alignment horizontal="left" indent="1"/>
    </xf>
    <xf numFmtId="49" fontId="65" fillId="0" borderId="0" xfId="0" applyNumberFormat="1" applyFont="1" applyAlignment="1">
      <alignment horizontal="left" indent="1"/>
    </xf>
    <xf numFmtId="165" fontId="1" fillId="0" borderId="0" xfId="3" applyNumberFormat="1" applyFont="1" applyFill="1" applyBorder="1" applyAlignment="1" applyProtection="1">
      <alignment horizontal="left"/>
    </xf>
    <xf numFmtId="165" fontId="0" fillId="0" borderId="0" xfId="0" applyNumberFormat="1" applyAlignment="1">
      <alignment horizontal="left" indent="1"/>
    </xf>
    <xf numFmtId="165" fontId="0" fillId="0" borderId="0" xfId="3" applyNumberFormat="1" applyFont="1" applyFill="1" applyBorder="1" applyAlignment="1" applyProtection="1">
      <alignment horizontal="left"/>
    </xf>
    <xf numFmtId="165" fontId="50" fillId="0" borderId="0" xfId="0" applyNumberFormat="1" applyFont="1" applyAlignment="1">
      <alignment horizontal="left"/>
    </xf>
    <xf numFmtId="49" fontId="23" fillId="0" borderId="0" xfId="0" applyNumberFormat="1" applyFont="1" applyAlignment="1">
      <alignment horizontal="left" indent="1"/>
    </xf>
    <xf numFmtId="165" fontId="50" fillId="0" borderId="0" xfId="3" applyNumberFormat="1" applyFont="1" applyAlignment="1" applyProtection="1">
      <alignment horizontal="left"/>
    </xf>
    <xf numFmtId="168" fontId="1" fillId="0" borderId="25" xfId="3" applyNumberFormat="1" applyFont="1" applyBorder="1" applyAlignment="1" applyProtection="1">
      <alignment horizontal="right" wrapText="1"/>
    </xf>
    <xf numFmtId="0" fontId="1" fillId="0" borderId="25" xfId="0" applyFont="1" applyBorder="1" applyAlignment="1">
      <alignment shrinkToFit="1"/>
    </xf>
    <xf numFmtId="165" fontId="1" fillId="0" borderId="24" xfId="3" applyNumberFormat="1" applyFont="1" applyBorder="1" applyAlignment="1" applyProtection="1">
      <alignment vertical="top"/>
    </xf>
    <xf numFmtId="0" fontId="33" fillId="8" borderId="10" xfId="0" applyFont="1" applyFill="1" applyBorder="1" applyAlignment="1">
      <alignment horizontal="left" indent="1"/>
    </xf>
    <xf numFmtId="165" fontId="33" fillId="8" borderId="10" xfId="3" applyNumberFormat="1" applyFont="1" applyFill="1" applyBorder="1" applyAlignment="1" applyProtection="1">
      <alignment horizontal="left" shrinkToFit="1"/>
    </xf>
    <xf numFmtId="49" fontId="1" fillId="0" borderId="0" xfId="0" applyNumberFormat="1" applyFont="1" applyAlignment="1">
      <alignment horizontal="left" indent="1"/>
    </xf>
    <xf numFmtId="0" fontId="1" fillId="0" borderId="0" xfId="0" applyFont="1" applyAlignment="1">
      <alignment horizontal="left" indent="2"/>
    </xf>
    <xf numFmtId="165" fontId="1" fillId="0" borderId="0" xfId="3" applyNumberFormat="1" applyFont="1" applyFill="1" applyBorder="1" applyAlignment="1" applyProtection="1">
      <alignment horizontal="left" shrinkToFit="1"/>
    </xf>
    <xf numFmtId="49" fontId="0" fillId="0" borderId="0" xfId="0" applyNumberFormat="1" applyAlignment="1">
      <alignment horizontal="left" indent="1"/>
    </xf>
    <xf numFmtId="0" fontId="0" fillId="0" borderId="0" xfId="0" applyAlignment="1">
      <alignment horizontal="left" indent="3"/>
    </xf>
    <xf numFmtId="165" fontId="0" fillId="0" borderId="0" xfId="3" applyNumberFormat="1" applyFont="1" applyFill="1" applyBorder="1" applyAlignment="1" applyProtection="1">
      <alignment horizontal="left" shrinkToFit="1"/>
    </xf>
    <xf numFmtId="49" fontId="50" fillId="0" borderId="0" xfId="0" applyNumberFormat="1" applyFont="1" applyAlignment="1">
      <alignment horizontal="left" indent="1"/>
    </xf>
    <xf numFmtId="0" fontId="50" fillId="0" borderId="0" xfId="0" applyFont="1" applyAlignment="1">
      <alignment horizontal="left" indent="4"/>
    </xf>
    <xf numFmtId="165" fontId="50" fillId="0" borderId="0" xfId="3" applyNumberFormat="1" applyFont="1" applyAlignment="1" applyProtection="1">
      <alignment horizontal="left" shrinkToFit="1"/>
    </xf>
    <xf numFmtId="0" fontId="0" fillId="0" borderId="0" xfId="0" applyAlignment="1">
      <alignment horizontal="right" indent="9"/>
    </xf>
    <xf numFmtId="0" fontId="4" fillId="2" borderId="0" xfId="0" applyFont="1" applyFill="1" applyAlignment="1">
      <alignment vertical="center"/>
    </xf>
    <xf numFmtId="0" fontId="5" fillId="0" borderId="0" xfId="2" applyAlignment="1" applyProtection="1">
      <alignment vertical="top"/>
    </xf>
    <xf numFmtId="0" fontId="5" fillId="0" borderId="0" xfId="2" applyAlignment="1" applyProtection="1">
      <alignment horizontal="left" vertical="top" indent="1"/>
    </xf>
    <xf numFmtId="0" fontId="5" fillId="0" borderId="0" xfId="2" applyAlignment="1" applyProtection="1">
      <alignment horizontal="left" indent="1"/>
    </xf>
    <xf numFmtId="0" fontId="5" fillId="0" borderId="0" xfId="2" applyAlignment="1" applyProtection="1">
      <alignment horizontal="left" vertical="top"/>
    </xf>
    <xf numFmtId="0" fontId="5" fillId="0" borderId="0" xfId="2" applyAlignment="1" applyProtection="1">
      <alignment horizontal="left"/>
    </xf>
    <xf numFmtId="9" fontId="22" fillId="0" borderId="0" xfId="0" applyNumberFormat="1" applyFont="1" applyAlignment="1">
      <alignment horizontal="right"/>
    </xf>
    <xf numFmtId="167" fontId="25" fillId="0" borderId="0" xfId="0" applyNumberFormat="1" applyFont="1" applyAlignment="1">
      <alignment horizontal="right"/>
    </xf>
    <xf numFmtId="49" fontId="21" fillId="71" borderId="10" xfId="0" applyNumberFormat="1" applyFont="1" applyFill="1" applyBorder="1" applyAlignment="1">
      <alignment horizontal="left" indent="1"/>
    </xf>
    <xf numFmtId="0" fontId="21" fillId="71" borderId="10" xfId="0" applyFont="1" applyFill="1" applyBorder="1" applyAlignment="1">
      <alignment horizontal="left" indent="1"/>
    </xf>
    <xf numFmtId="165" fontId="21" fillId="71" borderId="10" xfId="3" applyNumberFormat="1" applyFont="1" applyFill="1" applyBorder="1" applyAlignment="1" applyProtection="1">
      <alignment horizontal="left" shrinkToFit="1"/>
    </xf>
    <xf numFmtId="165" fontId="21" fillId="71" borderId="10" xfId="3" applyNumberFormat="1" applyFont="1" applyFill="1" applyBorder="1" applyAlignment="1" applyProtection="1">
      <alignment horizontal="left"/>
    </xf>
    <xf numFmtId="49" fontId="21" fillId="71" borderId="0" xfId="0" applyNumberFormat="1" applyFont="1" applyFill="1"/>
    <xf numFmtId="0" fontId="21" fillId="71" borderId="0" xfId="0" applyFont="1" applyFill="1" applyAlignment="1">
      <alignment horizontal="left" indent="1"/>
    </xf>
    <xf numFmtId="165" fontId="21" fillId="71" borderId="0" xfId="3" applyNumberFormat="1" applyFont="1" applyFill="1" applyBorder="1" applyAlignment="1" applyProtection="1">
      <alignment horizontal="left" shrinkToFit="1"/>
    </xf>
    <xf numFmtId="14" fontId="1" fillId="0" borderId="0" xfId="0" applyNumberFormat="1" applyFont="1" applyAlignment="1">
      <alignment horizontal="left"/>
    </xf>
    <xf numFmtId="0" fontId="23" fillId="0" borderId="0" xfId="0" applyFont="1" applyAlignment="1">
      <alignment horizontal="right" vertical="top" indent="1"/>
    </xf>
    <xf numFmtId="0" fontId="0" fillId="0" borderId="0" xfId="0" applyAlignment="1">
      <alignment horizontal="right" indent="1"/>
    </xf>
    <xf numFmtId="0" fontId="23" fillId="68" borderId="0" xfId="0" applyFont="1" applyFill="1" applyAlignment="1">
      <alignment horizontal="right" indent="1"/>
    </xf>
    <xf numFmtId="0" fontId="23" fillId="0" borderId="0" xfId="0" applyFont="1" applyAlignment="1">
      <alignment horizontal="right" indent="1"/>
    </xf>
    <xf numFmtId="0" fontId="29" fillId="0" borderId="0" xfId="0" applyFont="1" applyAlignment="1">
      <alignment horizontal="left" indent="1"/>
    </xf>
    <xf numFmtId="0" fontId="0" fillId="0" borderId="5" xfId="3" applyNumberFormat="1" applyFont="1" applyBorder="1" applyAlignment="1" applyProtection="1">
      <alignment horizontal="right" shrinkToFit="1"/>
    </xf>
    <xf numFmtId="0" fontId="0" fillId="0" borderId="0" xfId="0" applyAlignment="1">
      <alignment shrinkToFit="1"/>
    </xf>
    <xf numFmtId="0" fontId="0" fillId="0" borderId="0" xfId="3" applyNumberFormat="1" applyFont="1" applyAlignment="1" applyProtection="1">
      <alignment horizontal="right" shrinkToFit="1"/>
    </xf>
    <xf numFmtId="0" fontId="0" fillId="0" borderId="0" xfId="0" applyAlignment="1">
      <alignment horizontal="left" shrinkToFit="1"/>
    </xf>
    <xf numFmtId="172" fontId="0" fillId="0" borderId="0" xfId="0" applyNumberFormat="1" applyAlignment="1">
      <alignment shrinkToFit="1"/>
    </xf>
    <xf numFmtId="165" fontId="6" fillId="0" borderId="5" xfId="3" applyNumberFormat="1" applyFont="1" applyBorder="1" applyProtection="1"/>
    <xf numFmtId="165" fontId="6" fillId="0" borderId="0" xfId="3" applyNumberFormat="1" applyFont="1" applyBorder="1" applyProtection="1"/>
    <xf numFmtId="165" fontId="84" fillId="0" borderId="0" xfId="3" applyNumberFormat="1" applyFont="1" applyBorder="1" applyAlignment="1" applyProtection="1">
      <alignment horizontal="right" wrapText="1"/>
    </xf>
    <xf numFmtId="165" fontId="84" fillId="0" borderId="5" xfId="3" applyNumberFormat="1" applyFont="1" applyBorder="1" applyAlignment="1" applyProtection="1">
      <alignment horizontal="right" wrapText="1"/>
    </xf>
    <xf numFmtId="49" fontId="21" fillId="68" borderId="10" xfId="0" applyNumberFormat="1" applyFont="1" applyFill="1" applyBorder="1" applyAlignment="1">
      <alignment horizontal="left" indent="1"/>
    </xf>
    <xf numFmtId="0" fontId="21" fillId="68" borderId="10" xfId="0" applyFont="1" applyFill="1" applyBorder="1" applyAlignment="1">
      <alignment horizontal="left" indent="1"/>
    </xf>
    <xf numFmtId="165" fontId="21" fillId="68" borderId="10" xfId="3" applyNumberFormat="1" applyFont="1" applyFill="1" applyBorder="1" applyAlignment="1" applyProtection="1">
      <alignment horizontal="left" shrinkToFit="1"/>
    </xf>
    <xf numFmtId="165" fontId="21" fillId="68" borderId="10" xfId="3" applyNumberFormat="1" applyFont="1" applyFill="1" applyBorder="1" applyAlignment="1" applyProtection="1">
      <alignment horizontal="left"/>
    </xf>
    <xf numFmtId="49" fontId="21" fillId="68" borderId="0" xfId="0" applyNumberFormat="1" applyFont="1" applyFill="1"/>
    <xf numFmtId="0" fontId="21" fillId="68" borderId="0" xfId="0" applyFont="1" applyFill="1" applyAlignment="1">
      <alignment horizontal="left" indent="1"/>
    </xf>
    <xf numFmtId="165" fontId="21" fillId="68" borderId="0" xfId="3" applyNumberFormat="1" applyFont="1" applyFill="1" applyBorder="1" applyAlignment="1" applyProtection="1">
      <alignment horizontal="left" shrinkToFit="1"/>
    </xf>
    <xf numFmtId="0" fontId="1" fillId="0" borderId="40" xfId="0" applyFont="1" applyBorder="1" applyAlignment="1">
      <alignment vertical="top"/>
    </xf>
    <xf numFmtId="0" fontId="64" fillId="0" borderId="0" xfId="0" applyFont="1" applyAlignment="1">
      <alignment horizontal="left" indent="4"/>
    </xf>
    <xf numFmtId="0" fontId="0" fillId="0" borderId="0" xfId="0" applyAlignment="1">
      <alignment horizontal="left" vertical="top" wrapText="1" indent="1"/>
    </xf>
    <xf numFmtId="0" fontId="1" fillId="0" borderId="0" xfId="0" applyFont="1" applyAlignment="1">
      <alignment horizontal="left" vertical="top" wrapText="1"/>
    </xf>
    <xf numFmtId="0" fontId="0" fillId="35" borderId="0" xfId="3" applyNumberFormat="1" applyFont="1" applyFill="1" applyBorder="1" applyAlignment="1" applyProtection="1">
      <alignment horizontal="left" vertical="top" wrapText="1" shrinkToFit="1"/>
      <protection locked="0"/>
    </xf>
    <xf numFmtId="0" fontId="1" fillId="0" borderId="0" xfId="0" applyFont="1" applyAlignment="1">
      <alignment horizontal="left" vertical="top" wrapText="1"/>
    </xf>
    <xf numFmtId="0" fontId="66" fillId="65" borderId="2" xfId="0" applyFont="1" applyFill="1" applyBorder="1" applyAlignment="1">
      <alignment horizontal="center" vertical="top" wrapText="1"/>
    </xf>
    <xf numFmtId="0" fontId="66" fillId="70" borderId="2" xfId="0" applyFont="1" applyFill="1" applyBorder="1" applyAlignment="1">
      <alignment horizontal="center" vertical="top" wrapText="1"/>
    </xf>
    <xf numFmtId="170" fontId="66" fillId="65" borderId="0" xfId="29" applyNumberFormat="1" applyFont="1" applyFill="1" applyBorder="1" applyAlignment="1" applyProtection="1">
      <alignment horizontal="center" vertical="top" wrapText="1"/>
    </xf>
    <xf numFmtId="0" fontId="66" fillId="65" borderId="0" xfId="28" applyFont="1" applyFill="1" applyAlignment="1">
      <alignment horizontal="center" vertical="top" wrapText="1"/>
    </xf>
    <xf numFmtId="170" fontId="66" fillId="5" borderId="0" xfId="29" applyNumberFormat="1" applyFont="1" applyFill="1" applyBorder="1" applyAlignment="1" applyProtection="1">
      <alignment horizontal="center" vertical="top" wrapText="1"/>
    </xf>
    <xf numFmtId="0" fontId="1" fillId="4" borderId="34" xfId="4" applyNumberFormat="1" applyFont="1" applyFill="1" applyBorder="1" applyAlignment="1">
      <alignment horizontal="left" vertical="top"/>
    </xf>
    <xf numFmtId="0" fontId="0" fillId="0" borderId="0" xfId="0" quotePrefix="1" applyAlignment="1">
      <alignment horizontal="left" vertical="top" wrapText="1"/>
    </xf>
  </cellXfs>
  <cellStyles count="358">
    <cellStyle name="20% - Accent1" xfId="309" builtinId="30" customBuiltin="1"/>
    <cellStyle name="20% - Accent1 2" xfId="136" xr:uid="{00000000-0005-0000-0000-000001000000}"/>
    <cellStyle name="20% - Accent1 3" xfId="93" xr:uid="{00000000-0005-0000-0000-000002000000}"/>
    <cellStyle name="20% - Accent2" xfId="313" builtinId="34" customBuiltin="1"/>
    <cellStyle name="20% - Accent2 2" xfId="137" xr:uid="{00000000-0005-0000-0000-000004000000}"/>
    <cellStyle name="20% - Accent2 3" xfId="94" xr:uid="{00000000-0005-0000-0000-000005000000}"/>
    <cellStyle name="20% - Accent3" xfId="317" builtinId="38" customBuiltin="1"/>
    <cellStyle name="20% - Accent3 2" xfId="138" xr:uid="{00000000-0005-0000-0000-000007000000}"/>
    <cellStyle name="20% - Accent3 3" xfId="95" xr:uid="{00000000-0005-0000-0000-000008000000}"/>
    <cellStyle name="20% - Accent4" xfId="321" builtinId="42" customBuiltin="1"/>
    <cellStyle name="20% - Accent4 2" xfId="139" xr:uid="{00000000-0005-0000-0000-00000A000000}"/>
    <cellStyle name="20% - Accent4 3" xfId="96" xr:uid="{00000000-0005-0000-0000-00000B000000}"/>
    <cellStyle name="20% - Accent5" xfId="325" builtinId="46" customBuiltin="1"/>
    <cellStyle name="20% - Accent5 2" xfId="140" xr:uid="{00000000-0005-0000-0000-00000D000000}"/>
    <cellStyle name="20% - Accent5 3" xfId="97" xr:uid="{00000000-0005-0000-0000-00000E000000}"/>
    <cellStyle name="20% - Accent6" xfId="329" builtinId="50" customBuiltin="1"/>
    <cellStyle name="20% - Accent6 2" xfId="141" xr:uid="{00000000-0005-0000-0000-000010000000}"/>
    <cellStyle name="20% - Accent6 3" xfId="98" xr:uid="{00000000-0005-0000-0000-000011000000}"/>
    <cellStyle name="40% - Accent1" xfId="310" builtinId="31" customBuiltin="1"/>
    <cellStyle name="40% - Accent1 2" xfId="142" xr:uid="{00000000-0005-0000-0000-000013000000}"/>
    <cellStyle name="40% - Accent1 3" xfId="99" xr:uid="{00000000-0005-0000-0000-000014000000}"/>
    <cellStyle name="40% - Accent2" xfId="314" builtinId="35" customBuiltin="1"/>
    <cellStyle name="40% - Accent2 2" xfId="143" xr:uid="{00000000-0005-0000-0000-000016000000}"/>
    <cellStyle name="40% - Accent2 3" xfId="100" xr:uid="{00000000-0005-0000-0000-000017000000}"/>
    <cellStyle name="40% - Accent3" xfId="318" builtinId="39" customBuiltin="1"/>
    <cellStyle name="40% - Accent3 2" xfId="144" xr:uid="{00000000-0005-0000-0000-000019000000}"/>
    <cellStyle name="40% - Accent3 3" xfId="101" xr:uid="{00000000-0005-0000-0000-00001A000000}"/>
    <cellStyle name="40% - Accent4" xfId="322" builtinId="43" customBuiltin="1"/>
    <cellStyle name="40% - Accent4 2" xfId="145" xr:uid="{00000000-0005-0000-0000-00001C000000}"/>
    <cellStyle name="40% - Accent4 3" xfId="102" xr:uid="{00000000-0005-0000-0000-00001D000000}"/>
    <cellStyle name="40% - Accent5" xfId="326" builtinId="47" customBuiltin="1"/>
    <cellStyle name="40% - Accent5 2" xfId="146" xr:uid="{00000000-0005-0000-0000-00001F000000}"/>
    <cellStyle name="40% - Accent5 3" xfId="103" xr:uid="{00000000-0005-0000-0000-000020000000}"/>
    <cellStyle name="40% - Accent6" xfId="330" builtinId="51" customBuiltin="1"/>
    <cellStyle name="40% - Accent6 2" xfId="147" xr:uid="{00000000-0005-0000-0000-000022000000}"/>
    <cellStyle name="40% - Accent6 3" xfId="104" xr:uid="{00000000-0005-0000-0000-000023000000}"/>
    <cellStyle name="60% - Accent1" xfId="311" builtinId="32" customBuiltin="1"/>
    <cellStyle name="60% - Accent1 2" xfId="148" xr:uid="{00000000-0005-0000-0000-000025000000}"/>
    <cellStyle name="60% - Accent1 3" xfId="105" xr:uid="{00000000-0005-0000-0000-000026000000}"/>
    <cellStyle name="60% - Accent1 4" xfId="351" xr:uid="{00000000-0005-0000-0000-000027000000}"/>
    <cellStyle name="60% - Accent2" xfId="315" builtinId="36" customBuiltin="1"/>
    <cellStyle name="60% - Accent2 2" xfId="149" xr:uid="{00000000-0005-0000-0000-000029000000}"/>
    <cellStyle name="60% - Accent2 3" xfId="106" xr:uid="{00000000-0005-0000-0000-00002A000000}"/>
    <cellStyle name="60% - Accent2 4" xfId="352" xr:uid="{00000000-0005-0000-0000-00002B000000}"/>
    <cellStyle name="60% - Accent3" xfId="319" builtinId="40" customBuiltin="1"/>
    <cellStyle name="60% - Accent3 2" xfId="150" xr:uid="{00000000-0005-0000-0000-00002D000000}"/>
    <cellStyle name="60% - Accent3 3" xfId="107" xr:uid="{00000000-0005-0000-0000-00002E000000}"/>
    <cellStyle name="60% - Accent3 4" xfId="353" xr:uid="{00000000-0005-0000-0000-00002F000000}"/>
    <cellStyle name="60% - Accent4" xfId="323" builtinId="44" customBuiltin="1"/>
    <cellStyle name="60% - Accent4 2" xfId="151" xr:uid="{00000000-0005-0000-0000-000031000000}"/>
    <cellStyle name="60% - Accent4 3" xfId="108" xr:uid="{00000000-0005-0000-0000-000032000000}"/>
    <cellStyle name="60% - Accent4 4" xfId="354" xr:uid="{00000000-0005-0000-0000-000033000000}"/>
    <cellStyle name="60% - Accent5" xfId="327" builtinId="48" customBuiltin="1"/>
    <cellStyle name="60% - Accent5 2" xfId="152" xr:uid="{00000000-0005-0000-0000-000035000000}"/>
    <cellStyle name="60% - Accent5 3" xfId="109" xr:uid="{00000000-0005-0000-0000-000036000000}"/>
    <cellStyle name="60% - Accent5 4" xfId="355" xr:uid="{00000000-0005-0000-0000-000037000000}"/>
    <cellStyle name="60% - Accent6" xfId="331" builtinId="52" customBuiltin="1"/>
    <cellStyle name="60% - Accent6 2" xfId="153" xr:uid="{00000000-0005-0000-0000-000039000000}"/>
    <cellStyle name="60% - Accent6 3" xfId="110" xr:uid="{00000000-0005-0000-0000-00003A000000}"/>
    <cellStyle name="60% - Accent6 4" xfId="356" xr:uid="{00000000-0005-0000-0000-00003B000000}"/>
    <cellStyle name="Accent1" xfId="308" builtinId="29" customBuiltin="1"/>
    <cellStyle name="Accent1 2" xfId="154" xr:uid="{00000000-0005-0000-0000-00003D000000}"/>
    <cellStyle name="Accent1 3" xfId="111" xr:uid="{00000000-0005-0000-0000-00003E000000}"/>
    <cellStyle name="Accent2" xfId="312" builtinId="33" customBuiltin="1"/>
    <cellStyle name="Accent2 2" xfId="155" xr:uid="{00000000-0005-0000-0000-000040000000}"/>
    <cellStyle name="Accent2 3" xfId="112" xr:uid="{00000000-0005-0000-0000-000041000000}"/>
    <cellStyle name="Accent3" xfId="316" builtinId="37" customBuiltin="1"/>
    <cellStyle name="Accent3 2" xfId="156" xr:uid="{00000000-0005-0000-0000-000043000000}"/>
    <cellStyle name="Accent3 3" xfId="113" xr:uid="{00000000-0005-0000-0000-000044000000}"/>
    <cellStyle name="Accent4" xfId="320" builtinId="41" customBuiltin="1"/>
    <cellStyle name="Accent4 2" xfId="157" xr:uid="{00000000-0005-0000-0000-000046000000}"/>
    <cellStyle name="Accent4 3" xfId="114" xr:uid="{00000000-0005-0000-0000-000047000000}"/>
    <cellStyle name="Accent5" xfId="324" builtinId="45" customBuiltin="1"/>
    <cellStyle name="Accent5 2" xfId="158" xr:uid="{00000000-0005-0000-0000-000049000000}"/>
    <cellStyle name="Accent5 3" xfId="115" xr:uid="{00000000-0005-0000-0000-00004A000000}"/>
    <cellStyle name="Accent6" xfId="328" builtinId="49" customBuiltin="1"/>
    <cellStyle name="Accent6 2" xfId="159" xr:uid="{00000000-0005-0000-0000-00004C000000}"/>
    <cellStyle name="Accent6 3" xfId="116" xr:uid="{00000000-0005-0000-0000-00004D000000}"/>
    <cellStyle name="AF Column - IBM Cognos" xfId="37" xr:uid="{00000000-0005-0000-0000-00004E000000}"/>
    <cellStyle name="AF Data - IBM Cognos" xfId="38" xr:uid="{00000000-0005-0000-0000-00004F000000}"/>
    <cellStyle name="AF Data 0 - IBM Cognos" xfId="39" xr:uid="{00000000-0005-0000-0000-000050000000}"/>
    <cellStyle name="AF Data 1 - IBM Cognos" xfId="40" xr:uid="{00000000-0005-0000-0000-000051000000}"/>
    <cellStyle name="AF Data 2 - IBM Cognos" xfId="41" xr:uid="{00000000-0005-0000-0000-000052000000}"/>
    <cellStyle name="AF Data 3 - IBM Cognos" xfId="42" xr:uid="{00000000-0005-0000-0000-000053000000}"/>
    <cellStyle name="AF Data 4 - IBM Cognos" xfId="43" xr:uid="{00000000-0005-0000-0000-000054000000}"/>
    <cellStyle name="AF Data 5 - IBM Cognos" xfId="44" xr:uid="{00000000-0005-0000-0000-000055000000}"/>
    <cellStyle name="AF Data Leaf - IBM Cognos" xfId="45" xr:uid="{00000000-0005-0000-0000-000056000000}"/>
    <cellStyle name="AF Header - IBM Cognos" xfId="46" xr:uid="{00000000-0005-0000-0000-000057000000}"/>
    <cellStyle name="AF Header 0 - IBM Cognos" xfId="47" xr:uid="{00000000-0005-0000-0000-000058000000}"/>
    <cellStyle name="AF Header 1 - IBM Cognos" xfId="48" xr:uid="{00000000-0005-0000-0000-000059000000}"/>
    <cellStyle name="AF Header 2 - IBM Cognos" xfId="49" xr:uid="{00000000-0005-0000-0000-00005A000000}"/>
    <cellStyle name="AF Header 3 - IBM Cognos" xfId="50" xr:uid="{00000000-0005-0000-0000-00005B000000}"/>
    <cellStyle name="AF Header 4 - IBM Cognos" xfId="51" xr:uid="{00000000-0005-0000-0000-00005C000000}"/>
    <cellStyle name="AF Header 5 - IBM Cognos" xfId="52" xr:uid="{00000000-0005-0000-0000-00005D000000}"/>
    <cellStyle name="AF Header Leaf - IBM Cognos" xfId="53" xr:uid="{00000000-0005-0000-0000-00005E000000}"/>
    <cellStyle name="AF Row - IBM Cognos" xfId="54" xr:uid="{00000000-0005-0000-0000-00005F000000}"/>
    <cellStyle name="AF Row 0 - IBM Cognos" xfId="55" xr:uid="{00000000-0005-0000-0000-000060000000}"/>
    <cellStyle name="AF Row 1 - IBM Cognos" xfId="56" xr:uid="{00000000-0005-0000-0000-000061000000}"/>
    <cellStyle name="AF Row 2 - IBM Cognos" xfId="57" xr:uid="{00000000-0005-0000-0000-000062000000}"/>
    <cellStyle name="AF Row 3 - IBM Cognos" xfId="58" xr:uid="{00000000-0005-0000-0000-000063000000}"/>
    <cellStyle name="AF Row 4 - IBM Cognos" xfId="59" xr:uid="{00000000-0005-0000-0000-000064000000}"/>
    <cellStyle name="AF Row 5 - IBM Cognos" xfId="60" xr:uid="{00000000-0005-0000-0000-000065000000}"/>
    <cellStyle name="AF Row Leaf - IBM Cognos" xfId="61" xr:uid="{00000000-0005-0000-0000-000066000000}"/>
    <cellStyle name="AF Subnm - IBM Cognos" xfId="62" xr:uid="{00000000-0005-0000-0000-000067000000}"/>
    <cellStyle name="AF Title - IBM Cognos" xfId="63" xr:uid="{00000000-0005-0000-0000-000068000000}"/>
    <cellStyle name="Bad" xfId="297" builtinId="27" customBuiltin="1"/>
    <cellStyle name="Bad 2" xfId="160" xr:uid="{00000000-0005-0000-0000-00006A000000}"/>
    <cellStyle name="Bad 3" xfId="117" xr:uid="{00000000-0005-0000-0000-00006B000000}"/>
    <cellStyle name="Calculated Column - IBM Cognos" xfId="64" xr:uid="{00000000-0005-0000-0000-00006C000000}"/>
    <cellStyle name="Calculated Column Name - IBM Cognos" xfId="65" xr:uid="{00000000-0005-0000-0000-00006D000000}"/>
    <cellStyle name="Calculated Row - IBM Cognos" xfId="66" xr:uid="{00000000-0005-0000-0000-00006E000000}"/>
    <cellStyle name="Calculated Row Name - IBM Cognos" xfId="67" xr:uid="{00000000-0005-0000-0000-00006F000000}"/>
    <cellStyle name="Calculation" xfId="301" builtinId="22" customBuiltin="1"/>
    <cellStyle name="Calculation 2" xfId="161" xr:uid="{00000000-0005-0000-0000-000071000000}"/>
    <cellStyle name="Calculation 2 2" xfId="184" xr:uid="{00000000-0005-0000-0000-000072000000}"/>
    <cellStyle name="Calculation 2 2 2" xfId="273" xr:uid="{00000000-0005-0000-0000-000073000000}"/>
    <cellStyle name="Calculation 2 3" xfId="248" xr:uid="{00000000-0005-0000-0000-000074000000}"/>
    <cellStyle name="Calculation 2 3 2" xfId="278" xr:uid="{00000000-0005-0000-0000-000075000000}"/>
    <cellStyle name="Calculation 2 4" xfId="253" xr:uid="{00000000-0005-0000-0000-000076000000}"/>
    <cellStyle name="Calculation 2 4 2" xfId="282" xr:uid="{00000000-0005-0000-0000-000077000000}"/>
    <cellStyle name="Calculation 2 5" xfId="249" xr:uid="{00000000-0005-0000-0000-000078000000}"/>
    <cellStyle name="Calculation 2 5 2" xfId="279" xr:uid="{00000000-0005-0000-0000-000079000000}"/>
    <cellStyle name="Calculation 2 6" xfId="251" xr:uid="{00000000-0005-0000-0000-00007A000000}"/>
    <cellStyle name="Calculation 3" xfId="118" xr:uid="{00000000-0005-0000-0000-00007B000000}"/>
    <cellStyle name="Calculation 3 2" xfId="266" xr:uid="{00000000-0005-0000-0000-00007C000000}"/>
    <cellStyle name="Check Cell" xfId="303" builtinId="23" customBuiltin="1"/>
    <cellStyle name="Check Cell 2" xfId="162" xr:uid="{00000000-0005-0000-0000-00007E000000}"/>
    <cellStyle name="Check Cell 3" xfId="119" xr:uid="{00000000-0005-0000-0000-00007F000000}"/>
    <cellStyle name="Column Name - IBM Cognos" xfId="68" xr:uid="{00000000-0005-0000-0000-000080000000}"/>
    <cellStyle name="Column Template - IBM Cognos" xfId="69" xr:uid="{00000000-0005-0000-0000-000081000000}"/>
    <cellStyle name="Comma" xfId="3" builtinId="3"/>
    <cellStyle name="Comma 2" xfId="15" xr:uid="{00000000-0005-0000-0000-000083000000}"/>
    <cellStyle name="Comma 3" xfId="17" xr:uid="{00000000-0005-0000-0000-000084000000}"/>
    <cellStyle name="Comma 3 2" xfId="179" xr:uid="{00000000-0005-0000-0000-000085000000}"/>
    <cellStyle name="Comma 4" xfId="26" xr:uid="{00000000-0005-0000-0000-000086000000}"/>
    <cellStyle name="Comma 4 2" xfId="339" xr:uid="{00000000-0005-0000-0000-000087000000}"/>
    <cellStyle name="Comma 5" xfId="30" xr:uid="{00000000-0005-0000-0000-000088000000}"/>
    <cellStyle name="Comma 5 2" xfId="341" xr:uid="{00000000-0005-0000-0000-000089000000}"/>
    <cellStyle name="Comma 6" xfId="91" xr:uid="{00000000-0005-0000-0000-00008A000000}"/>
    <cellStyle name="Comma 7" xfId="5" xr:uid="{00000000-0005-0000-0000-00008B000000}"/>
    <cellStyle name="Comma 8" xfId="346" xr:uid="{00000000-0005-0000-0000-00008C000000}"/>
    <cellStyle name="Currency 2" xfId="14" xr:uid="{00000000-0005-0000-0000-00008D000000}"/>
    <cellStyle name="Currency 2 2" xfId="12" xr:uid="{00000000-0005-0000-0000-00008E000000}"/>
    <cellStyle name="Currency 2 2 2" xfId="34" xr:uid="{00000000-0005-0000-0000-00008F000000}"/>
    <cellStyle name="Currency 3" xfId="20" xr:uid="{00000000-0005-0000-0000-000090000000}"/>
    <cellStyle name="Currency 3 2" xfId="178" xr:uid="{00000000-0005-0000-0000-000091000000}"/>
    <cellStyle name="Currency 4" xfId="25" xr:uid="{00000000-0005-0000-0000-000092000000}"/>
    <cellStyle name="Currency 4 2" xfId="338" xr:uid="{00000000-0005-0000-0000-000093000000}"/>
    <cellStyle name="Currency 5" xfId="29" xr:uid="{00000000-0005-0000-0000-000094000000}"/>
    <cellStyle name="Currency 5 2" xfId="340" xr:uid="{00000000-0005-0000-0000-000095000000}"/>
    <cellStyle name="Currency 6" xfId="33" xr:uid="{00000000-0005-0000-0000-000096000000}"/>
    <cellStyle name="Currency 6 2" xfId="342" xr:uid="{00000000-0005-0000-0000-000097000000}"/>
    <cellStyle name="Currency 7" xfId="6" xr:uid="{00000000-0005-0000-0000-000098000000}"/>
    <cellStyle name="Differs From Base - IBM Cognos" xfId="70" xr:uid="{00000000-0005-0000-0000-000099000000}"/>
    <cellStyle name="Edit - IBM Cognos" xfId="71" xr:uid="{00000000-0005-0000-0000-00009A000000}"/>
    <cellStyle name="Explanatory Text" xfId="306" builtinId="53" customBuiltin="1"/>
    <cellStyle name="Explanatory Text 2" xfId="163" xr:uid="{00000000-0005-0000-0000-00009C000000}"/>
    <cellStyle name="Explanatory Text 3" xfId="120" xr:uid="{00000000-0005-0000-0000-00009D000000}"/>
    <cellStyle name="Formula - IBM Cognos" xfId="72" xr:uid="{00000000-0005-0000-0000-00009E000000}"/>
    <cellStyle name="Good" xfId="296" builtinId="26" customBuiltin="1"/>
    <cellStyle name="Good 2" xfId="164" xr:uid="{00000000-0005-0000-0000-0000A0000000}"/>
    <cellStyle name="Good 2 2" xfId="185" xr:uid="{00000000-0005-0000-0000-0000A1000000}"/>
    <cellStyle name="Good 3" xfId="121" xr:uid="{00000000-0005-0000-0000-0000A2000000}"/>
    <cellStyle name="Group Name - IBM Cognos" xfId="73" xr:uid="{00000000-0005-0000-0000-0000A3000000}"/>
    <cellStyle name="Heading 1" xfId="292" builtinId="16" customBuiltin="1"/>
    <cellStyle name="Heading 1 2" xfId="165" xr:uid="{00000000-0005-0000-0000-0000A5000000}"/>
    <cellStyle name="Heading 1 3" xfId="122" xr:uid="{00000000-0005-0000-0000-0000A6000000}"/>
    <cellStyle name="Heading 2" xfId="293" builtinId="17" customBuiltin="1"/>
    <cellStyle name="Heading 2 2" xfId="166" xr:uid="{00000000-0005-0000-0000-0000A8000000}"/>
    <cellStyle name="Heading 2 3" xfId="123" xr:uid="{00000000-0005-0000-0000-0000A9000000}"/>
    <cellStyle name="Heading 3" xfId="294" builtinId="18" customBuiltin="1"/>
    <cellStyle name="Heading 3 2" xfId="167" xr:uid="{00000000-0005-0000-0000-0000AB000000}"/>
    <cellStyle name="Heading 3 3" xfId="124" xr:uid="{00000000-0005-0000-0000-0000AC000000}"/>
    <cellStyle name="Heading 4" xfId="295" builtinId="19" customBuiltin="1"/>
    <cellStyle name="Heading 4 2" xfId="168" xr:uid="{00000000-0005-0000-0000-0000AE000000}"/>
    <cellStyle name="Heading 4 3" xfId="125" xr:uid="{00000000-0005-0000-0000-0000AF000000}"/>
    <cellStyle name="Hold Values - IBM Cognos" xfId="74" xr:uid="{00000000-0005-0000-0000-0000B0000000}"/>
    <cellStyle name="Hyperlink" xfId="2" builtinId="8"/>
    <cellStyle name="Input" xfId="299" builtinId="20" customBuiltin="1"/>
    <cellStyle name="Input 2" xfId="169" xr:uid="{00000000-0005-0000-0000-0000B3000000}"/>
    <cellStyle name="Input 2 2" xfId="186" xr:uid="{00000000-0005-0000-0000-0000B4000000}"/>
    <cellStyle name="Input 2 2 2" xfId="274" xr:uid="{00000000-0005-0000-0000-0000B5000000}"/>
    <cellStyle name="Input 2 3" xfId="250" xr:uid="{00000000-0005-0000-0000-0000B6000000}"/>
    <cellStyle name="Input 2 3 2" xfId="280" xr:uid="{00000000-0005-0000-0000-0000B7000000}"/>
    <cellStyle name="Input 2 4" xfId="252" xr:uid="{00000000-0005-0000-0000-0000B8000000}"/>
    <cellStyle name="Input 2 4 2" xfId="281" xr:uid="{00000000-0005-0000-0000-0000B9000000}"/>
    <cellStyle name="Input 2 5" xfId="182" xr:uid="{00000000-0005-0000-0000-0000BA000000}"/>
    <cellStyle name="Input 2 5 2" xfId="272" xr:uid="{00000000-0005-0000-0000-0000BB000000}"/>
    <cellStyle name="Input 2 6" xfId="183" xr:uid="{00000000-0005-0000-0000-0000BC000000}"/>
    <cellStyle name="Input 3" xfId="126" xr:uid="{00000000-0005-0000-0000-0000BD000000}"/>
    <cellStyle name="Input 3 2" xfId="267" xr:uid="{00000000-0005-0000-0000-0000BE000000}"/>
    <cellStyle name="Linked Cell" xfId="302" builtinId="24" customBuiltin="1"/>
    <cellStyle name="Linked Cell 2" xfId="170" xr:uid="{00000000-0005-0000-0000-0000C0000000}"/>
    <cellStyle name="Linked Cell 3" xfId="127" xr:uid="{00000000-0005-0000-0000-0000C1000000}"/>
    <cellStyle name="List Name - IBM Cognos" xfId="75" xr:uid="{00000000-0005-0000-0000-0000C2000000}"/>
    <cellStyle name="Locked - IBM Cognos" xfId="23" xr:uid="{00000000-0005-0000-0000-0000C3000000}"/>
    <cellStyle name="Measure - IBM Cognos" xfId="76" xr:uid="{00000000-0005-0000-0000-0000C4000000}"/>
    <cellStyle name="Measure Header - IBM Cognos" xfId="77" xr:uid="{00000000-0005-0000-0000-0000C5000000}"/>
    <cellStyle name="Measure Name - IBM Cognos" xfId="78" xr:uid="{00000000-0005-0000-0000-0000C6000000}"/>
    <cellStyle name="Measure Summary - IBM Cognos" xfId="79" xr:uid="{00000000-0005-0000-0000-0000C7000000}"/>
    <cellStyle name="Measure Summary TM1 - IBM Cognos" xfId="80" xr:uid="{00000000-0005-0000-0000-0000C8000000}"/>
    <cellStyle name="Measure Template - IBM Cognos" xfId="81" xr:uid="{00000000-0005-0000-0000-0000C9000000}"/>
    <cellStyle name="More - IBM Cognos" xfId="82" xr:uid="{00000000-0005-0000-0000-0000CA000000}"/>
    <cellStyle name="Neutral" xfId="298" builtinId="28" customBuiltin="1"/>
    <cellStyle name="Neutral 2" xfId="171" xr:uid="{00000000-0005-0000-0000-0000CC000000}"/>
    <cellStyle name="Neutral 3" xfId="128" xr:uid="{00000000-0005-0000-0000-0000CD000000}"/>
    <cellStyle name="Neutral 4" xfId="349" xr:uid="{00000000-0005-0000-0000-0000CE000000}"/>
    <cellStyle name="Normal" xfId="0" builtinId="0" customBuiltin="1"/>
    <cellStyle name="Normal 10" xfId="27" xr:uid="{00000000-0005-0000-0000-0000D0000000}"/>
    <cellStyle name="Normal 10 2" xfId="187" xr:uid="{00000000-0005-0000-0000-0000D1000000}"/>
    <cellStyle name="Normal 10 2 2" xfId="188" xr:uid="{00000000-0005-0000-0000-0000D2000000}"/>
    <cellStyle name="Normal 10 2 2 2" xfId="189" xr:uid="{00000000-0005-0000-0000-0000D3000000}"/>
    <cellStyle name="Normal 10 3" xfId="190" xr:uid="{00000000-0005-0000-0000-0000D4000000}"/>
    <cellStyle name="Normal 11" xfId="31" xr:uid="{00000000-0005-0000-0000-0000D5000000}"/>
    <cellStyle name="Normal 11 2" xfId="191" xr:uid="{00000000-0005-0000-0000-0000D6000000}"/>
    <cellStyle name="Normal 11 2 2" xfId="192" xr:uid="{00000000-0005-0000-0000-0000D7000000}"/>
    <cellStyle name="Normal 11 3" xfId="193" xr:uid="{00000000-0005-0000-0000-0000D8000000}"/>
    <cellStyle name="Normal 12" xfId="36" xr:uid="{00000000-0005-0000-0000-0000D9000000}"/>
    <cellStyle name="Normal 12 2" xfId="194" xr:uid="{00000000-0005-0000-0000-0000DA000000}"/>
    <cellStyle name="Normal 12 2 2" xfId="195" xr:uid="{00000000-0005-0000-0000-0000DB000000}"/>
    <cellStyle name="Normal 12 3" xfId="196" xr:uid="{00000000-0005-0000-0000-0000DC000000}"/>
    <cellStyle name="Normal 13" xfId="197" xr:uid="{00000000-0005-0000-0000-0000DD000000}"/>
    <cellStyle name="Normal 13 2" xfId="198" xr:uid="{00000000-0005-0000-0000-0000DE000000}"/>
    <cellStyle name="Normal 13 2 2" xfId="199" xr:uid="{00000000-0005-0000-0000-0000DF000000}"/>
    <cellStyle name="Normal 13 3" xfId="200" xr:uid="{00000000-0005-0000-0000-0000E0000000}"/>
    <cellStyle name="Normal 14" xfId="201" xr:uid="{00000000-0005-0000-0000-0000E1000000}"/>
    <cellStyle name="Normal 14 2" xfId="202" xr:uid="{00000000-0005-0000-0000-0000E2000000}"/>
    <cellStyle name="Normal 14 2 2" xfId="203" xr:uid="{00000000-0005-0000-0000-0000E3000000}"/>
    <cellStyle name="Normal 14 3" xfId="204" xr:uid="{00000000-0005-0000-0000-0000E4000000}"/>
    <cellStyle name="Normal 15" xfId="205" xr:uid="{00000000-0005-0000-0000-0000E5000000}"/>
    <cellStyle name="Normal 15 2" xfId="206" xr:uid="{00000000-0005-0000-0000-0000E6000000}"/>
    <cellStyle name="Normal 15 2 2" xfId="207" xr:uid="{00000000-0005-0000-0000-0000E7000000}"/>
    <cellStyle name="Normal 15 3" xfId="208" xr:uid="{00000000-0005-0000-0000-0000E8000000}"/>
    <cellStyle name="Normal 16" xfId="209" xr:uid="{00000000-0005-0000-0000-0000E9000000}"/>
    <cellStyle name="Normal 16 2" xfId="210" xr:uid="{00000000-0005-0000-0000-0000EA000000}"/>
    <cellStyle name="Normal 17" xfId="211" xr:uid="{00000000-0005-0000-0000-0000EB000000}"/>
    <cellStyle name="Normal 17 2" xfId="212" xr:uid="{00000000-0005-0000-0000-0000EC000000}"/>
    <cellStyle name="Normal 18" xfId="213" xr:uid="{00000000-0005-0000-0000-0000ED000000}"/>
    <cellStyle name="Normal 19" xfId="214" xr:uid="{00000000-0005-0000-0000-0000EE000000}"/>
    <cellStyle name="Normal 2" xfId="1" xr:uid="{00000000-0005-0000-0000-0000EF000000}"/>
    <cellStyle name="Normal 2 2" xfId="8" xr:uid="{00000000-0005-0000-0000-0000F0000000}"/>
    <cellStyle name="Normal 2 2 2" xfId="216" xr:uid="{00000000-0005-0000-0000-0000F1000000}"/>
    <cellStyle name="Normal 2 2 2 2" xfId="217" xr:uid="{00000000-0005-0000-0000-0000F2000000}"/>
    <cellStyle name="Normal 2 2 2 2 2" xfId="218" xr:uid="{00000000-0005-0000-0000-0000F3000000}"/>
    <cellStyle name="Normal 2 2 2 2 2 2" xfId="219" xr:uid="{00000000-0005-0000-0000-0000F4000000}"/>
    <cellStyle name="Normal 2 2 2 2 3" xfId="220" xr:uid="{00000000-0005-0000-0000-0000F5000000}"/>
    <cellStyle name="Normal 2 2 2 3" xfId="221" xr:uid="{00000000-0005-0000-0000-0000F6000000}"/>
    <cellStyle name="Normal 2 2 2 3 2" xfId="222" xr:uid="{00000000-0005-0000-0000-0000F7000000}"/>
    <cellStyle name="Normal 2 2 2 4" xfId="223" xr:uid="{00000000-0005-0000-0000-0000F8000000}"/>
    <cellStyle name="Normal 2 2 3" xfId="224" xr:uid="{00000000-0005-0000-0000-0000F9000000}"/>
    <cellStyle name="Normal 2 2 3 2" xfId="225" xr:uid="{00000000-0005-0000-0000-0000FA000000}"/>
    <cellStyle name="Normal 2 2 4" xfId="226" xr:uid="{00000000-0005-0000-0000-0000FB000000}"/>
    <cellStyle name="Normal 2 2 5" xfId="215" xr:uid="{00000000-0005-0000-0000-0000FC000000}"/>
    <cellStyle name="Normal 2 2 6" xfId="172" xr:uid="{00000000-0005-0000-0000-0000FD000000}"/>
    <cellStyle name="Normal 2 3" xfId="21" xr:uid="{00000000-0005-0000-0000-0000FE000000}"/>
    <cellStyle name="Normal 2 3 2" xfId="129" xr:uid="{00000000-0005-0000-0000-0000FF000000}"/>
    <cellStyle name="Normal 2 3 2 2" xfId="337" xr:uid="{00000000-0005-0000-0000-000000010000}"/>
    <cellStyle name="Normal 2 4" xfId="32" xr:uid="{00000000-0005-0000-0000-000001010000}"/>
    <cellStyle name="Normal 2 4 2" xfId="227" xr:uid="{00000000-0005-0000-0000-000002010000}"/>
    <cellStyle name="Normal 2 5" xfId="11" xr:uid="{00000000-0005-0000-0000-000003010000}"/>
    <cellStyle name="Normal 2 6" xfId="333" xr:uid="{00000000-0005-0000-0000-000004010000}"/>
    <cellStyle name="Normal 2 7" xfId="345" xr:uid="{00000000-0005-0000-0000-000005010000}"/>
    <cellStyle name="Normal 20" xfId="228" xr:uid="{00000000-0005-0000-0000-000006010000}"/>
    <cellStyle name="Normal 21" xfId="334" xr:uid="{00000000-0005-0000-0000-000007010000}"/>
    <cellStyle name="Normal 22" xfId="343" xr:uid="{00000000-0005-0000-0000-000008010000}"/>
    <cellStyle name="Normal 22 2" xfId="357" xr:uid="{00000000-0005-0000-0000-000009010000}"/>
    <cellStyle name="Normal 23" xfId="344" xr:uid="{00000000-0005-0000-0000-00000A010000}"/>
    <cellStyle name="Normal 3" xfId="19" xr:uid="{00000000-0005-0000-0000-00000B010000}"/>
    <cellStyle name="Normal 3 2" xfId="35" xr:uid="{00000000-0005-0000-0000-00000C010000}"/>
    <cellStyle name="Normal 3 2 2" xfId="230" xr:uid="{00000000-0005-0000-0000-00000D010000}"/>
    <cellStyle name="Normal 3 3" xfId="231" xr:uid="{00000000-0005-0000-0000-00000E010000}"/>
    <cellStyle name="Normal 3 4" xfId="229" xr:uid="{00000000-0005-0000-0000-00000F010000}"/>
    <cellStyle name="Normal 4" xfId="10" xr:uid="{00000000-0005-0000-0000-000010010000}"/>
    <cellStyle name="Normal 4 2" xfId="181" xr:uid="{00000000-0005-0000-0000-000011010000}"/>
    <cellStyle name="Normal 4 3" xfId="232" xr:uid="{00000000-0005-0000-0000-000012010000}"/>
    <cellStyle name="Normal 4 4" xfId="135" xr:uid="{00000000-0005-0000-0000-000013010000}"/>
    <cellStyle name="Normal 5" xfId="13" xr:uid="{00000000-0005-0000-0000-000014010000}"/>
    <cellStyle name="Normal 5 2" xfId="233" xr:uid="{00000000-0005-0000-0000-000015010000}"/>
    <cellStyle name="Normal 5 2 2" xfId="336" xr:uid="{00000000-0005-0000-0000-000016010000}"/>
    <cellStyle name="Normal 5 3" xfId="348" xr:uid="{00000000-0005-0000-0000-000017010000}"/>
    <cellStyle name="Normal 6" xfId="9" xr:uid="{00000000-0005-0000-0000-000018010000}"/>
    <cellStyle name="Normal 6 2" xfId="92" xr:uid="{00000000-0005-0000-0000-000019010000}"/>
    <cellStyle name="Normal 6 2 2" xfId="335" xr:uid="{00000000-0005-0000-0000-00001A010000}"/>
    <cellStyle name="Normal 7" xfId="22" xr:uid="{00000000-0005-0000-0000-00001B010000}"/>
    <cellStyle name="Normal 7 2" xfId="234" xr:uid="{00000000-0005-0000-0000-00001C010000}"/>
    <cellStyle name="Normal 7 2 2" xfId="235" xr:uid="{00000000-0005-0000-0000-00001D010000}"/>
    <cellStyle name="Normal 7 3" xfId="236" xr:uid="{00000000-0005-0000-0000-00001E010000}"/>
    <cellStyle name="Normal 8" xfId="24" xr:uid="{00000000-0005-0000-0000-00001F010000}"/>
    <cellStyle name="Normal 8 2" xfId="237" xr:uid="{00000000-0005-0000-0000-000020010000}"/>
    <cellStyle name="Normal 8 2 2" xfId="238" xr:uid="{00000000-0005-0000-0000-000021010000}"/>
    <cellStyle name="Normal 8 3" xfId="239" xr:uid="{00000000-0005-0000-0000-000022010000}"/>
    <cellStyle name="Normal 9" xfId="28" xr:uid="{00000000-0005-0000-0000-000023010000}"/>
    <cellStyle name="Normal 9 2" xfId="240" xr:uid="{00000000-0005-0000-0000-000024010000}"/>
    <cellStyle name="Normal 9 2 2" xfId="241" xr:uid="{00000000-0005-0000-0000-000025010000}"/>
    <cellStyle name="Normal 9 3" xfId="242" xr:uid="{00000000-0005-0000-0000-000026010000}"/>
    <cellStyle name="Normal 9 4" xfId="243" xr:uid="{00000000-0005-0000-0000-000027010000}"/>
    <cellStyle name="Note" xfId="305" builtinId="10" customBuiltin="1"/>
    <cellStyle name="Note 2" xfId="173" xr:uid="{00000000-0005-0000-0000-000029010000}"/>
    <cellStyle name="Note 2 2" xfId="244" xr:uid="{00000000-0005-0000-0000-00002A010000}"/>
    <cellStyle name="Note 2 3" xfId="271" xr:uid="{00000000-0005-0000-0000-00002B010000}"/>
    <cellStyle name="Note 3" xfId="130" xr:uid="{00000000-0005-0000-0000-00002C010000}"/>
    <cellStyle name="Note 3 2" xfId="245" xr:uid="{00000000-0005-0000-0000-00002D010000}"/>
    <cellStyle name="Note 3 2 2" xfId="275" xr:uid="{00000000-0005-0000-0000-00002E010000}"/>
    <cellStyle name="Note 3 3" xfId="254" xr:uid="{00000000-0005-0000-0000-00002F010000}"/>
    <cellStyle name="Note 3 3 2" xfId="283" xr:uid="{00000000-0005-0000-0000-000030010000}"/>
    <cellStyle name="Note 3 4" xfId="257" xr:uid="{00000000-0005-0000-0000-000031010000}"/>
    <cellStyle name="Note 3 4 2" xfId="286" xr:uid="{00000000-0005-0000-0000-000032010000}"/>
    <cellStyle name="Note 3 5" xfId="260" xr:uid="{00000000-0005-0000-0000-000033010000}"/>
    <cellStyle name="Note 3 5 2" xfId="289" xr:uid="{00000000-0005-0000-0000-000034010000}"/>
    <cellStyle name="Note 3 6" xfId="263" xr:uid="{00000000-0005-0000-0000-000035010000}"/>
    <cellStyle name="Note 3 7" xfId="268" xr:uid="{00000000-0005-0000-0000-000036010000}"/>
    <cellStyle name="Note 4" xfId="350" xr:uid="{00000000-0005-0000-0000-000037010000}"/>
    <cellStyle name="Output" xfId="300" builtinId="21" customBuiltin="1"/>
    <cellStyle name="Output 2" xfId="174" xr:uid="{00000000-0005-0000-0000-000039010000}"/>
    <cellStyle name="Output 2 2" xfId="246" xr:uid="{00000000-0005-0000-0000-00003A010000}"/>
    <cellStyle name="Output 2 2 2" xfId="276" xr:uid="{00000000-0005-0000-0000-00003B010000}"/>
    <cellStyle name="Output 2 3" xfId="255" xr:uid="{00000000-0005-0000-0000-00003C010000}"/>
    <cellStyle name="Output 2 3 2" xfId="284" xr:uid="{00000000-0005-0000-0000-00003D010000}"/>
    <cellStyle name="Output 2 4" xfId="258" xr:uid="{00000000-0005-0000-0000-00003E010000}"/>
    <cellStyle name="Output 2 4 2" xfId="287" xr:uid="{00000000-0005-0000-0000-00003F010000}"/>
    <cellStyle name="Output 2 5" xfId="261" xr:uid="{00000000-0005-0000-0000-000040010000}"/>
    <cellStyle name="Output 2 5 2" xfId="290" xr:uid="{00000000-0005-0000-0000-000041010000}"/>
    <cellStyle name="Output 2 6" xfId="264" xr:uid="{00000000-0005-0000-0000-000042010000}"/>
    <cellStyle name="Output 3" xfId="131" xr:uid="{00000000-0005-0000-0000-000043010000}"/>
    <cellStyle name="Output 3 2" xfId="269" xr:uid="{00000000-0005-0000-0000-000044010000}"/>
    <cellStyle name="Pending Change - IBM Cognos" xfId="83" xr:uid="{00000000-0005-0000-0000-000045010000}"/>
    <cellStyle name="Percent" xfId="4" builtinId="5"/>
    <cellStyle name="Percent 2" xfId="16" xr:uid="{00000000-0005-0000-0000-000047010000}"/>
    <cellStyle name="Percent 3" xfId="18" xr:uid="{00000000-0005-0000-0000-000048010000}"/>
    <cellStyle name="Percent 3 2" xfId="180" xr:uid="{00000000-0005-0000-0000-000049010000}"/>
    <cellStyle name="Percent 4" xfId="7" xr:uid="{00000000-0005-0000-0000-00004A010000}"/>
    <cellStyle name="Percent 5" xfId="347" xr:uid="{00000000-0005-0000-0000-00004B010000}"/>
    <cellStyle name="Row Name - IBM Cognos" xfId="84" xr:uid="{00000000-0005-0000-0000-00004C010000}"/>
    <cellStyle name="Row Template - IBM Cognos" xfId="85" xr:uid="{00000000-0005-0000-0000-00004D010000}"/>
    <cellStyle name="Summary Column Name - IBM Cognos" xfId="86" xr:uid="{00000000-0005-0000-0000-00004E010000}"/>
    <cellStyle name="Summary Column Name TM1 - IBM Cognos" xfId="87" xr:uid="{00000000-0005-0000-0000-00004F010000}"/>
    <cellStyle name="Summary Row Name - IBM Cognos" xfId="88" xr:uid="{00000000-0005-0000-0000-000050010000}"/>
    <cellStyle name="Summary Row Name TM1 - IBM Cognos" xfId="89" xr:uid="{00000000-0005-0000-0000-000051010000}"/>
    <cellStyle name="Title 2" xfId="175" xr:uid="{00000000-0005-0000-0000-000052010000}"/>
    <cellStyle name="Title 3" xfId="132" xr:uid="{00000000-0005-0000-0000-000053010000}"/>
    <cellStyle name="Title 4" xfId="332" xr:uid="{00000000-0005-0000-0000-000054010000}"/>
    <cellStyle name="Total" xfId="307" builtinId="25" customBuiltin="1"/>
    <cellStyle name="Total 2" xfId="176" xr:uid="{00000000-0005-0000-0000-000056010000}"/>
    <cellStyle name="Total 2 2" xfId="247" xr:uid="{00000000-0005-0000-0000-000057010000}"/>
    <cellStyle name="Total 2 2 2" xfId="277" xr:uid="{00000000-0005-0000-0000-000058010000}"/>
    <cellStyle name="Total 2 3" xfId="256" xr:uid="{00000000-0005-0000-0000-000059010000}"/>
    <cellStyle name="Total 2 3 2" xfId="285" xr:uid="{00000000-0005-0000-0000-00005A010000}"/>
    <cellStyle name="Total 2 4" xfId="259" xr:uid="{00000000-0005-0000-0000-00005B010000}"/>
    <cellStyle name="Total 2 4 2" xfId="288" xr:uid="{00000000-0005-0000-0000-00005C010000}"/>
    <cellStyle name="Total 2 5" xfId="262" xr:uid="{00000000-0005-0000-0000-00005D010000}"/>
    <cellStyle name="Total 2 5 2" xfId="291" xr:uid="{00000000-0005-0000-0000-00005E010000}"/>
    <cellStyle name="Total 2 6" xfId="265" xr:uid="{00000000-0005-0000-0000-00005F010000}"/>
    <cellStyle name="Total 3" xfId="133" xr:uid="{00000000-0005-0000-0000-000060010000}"/>
    <cellStyle name="Total 3 2" xfId="270" xr:uid="{00000000-0005-0000-0000-000061010000}"/>
    <cellStyle name="Unsaved Change - IBM Cognos" xfId="90" xr:uid="{00000000-0005-0000-0000-000062010000}"/>
    <cellStyle name="Warning Text" xfId="304" builtinId="11" customBuiltin="1"/>
    <cellStyle name="Warning Text 2" xfId="177" xr:uid="{00000000-0005-0000-0000-000064010000}"/>
    <cellStyle name="Warning Text 3" xfId="134" xr:uid="{00000000-0005-0000-0000-000065010000}"/>
  </cellStyles>
  <dxfs count="3">
    <dxf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fill>
        <patternFill patternType="solid">
          <fgColor theme="4" tint="0.79992065187536243"/>
          <bgColor theme="4" tint="0.59996337778862885"/>
        </patternFill>
      </fill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font>
        <strike val="0"/>
        <color theme="3"/>
      </font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Data Loader Tab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colors>
    <mruColors>
      <color rgb="FFA6006F"/>
      <color rgb="FF5C2D91"/>
      <color rgb="FF4287F5"/>
      <color rgb="FF107C1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1420454545454543"/>
          <c:w val="0.99973951868878941"/>
          <c:h val="0.83264228047443434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D73-4C52-B7A8-4DF0DC3283C3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D73-4C52-B7A8-4DF0DC3283C3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D73-4C52-B7A8-4DF0DC3283C3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D73-4C52-B7A8-4DF0DC3283C3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D73-4C52-B7A8-4DF0DC3283C3}"/>
              </c:ext>
            </c:extLst>
          </c:dPt>
          <c:dPt>
            <c:idx val="5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D73-4C52-B7A8-4DF0DC3283C3}"/>
              </c:ext>
            </c:extLst>
          </c:dPt>
          <c:dPt>
            <c:idx val="6"/>
            <c:bubble3D val="0"/>
            <c:spPr>
              <a:solidFill>
                <a:schemeClr val="tx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D73-4C52-B7A8-4DF0DC3283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'PP4'!$C$7:$C$13</c:f>
              <c:strCache>
                <c:ptCount val="7"/>
                <c:pt idx="0">
                  <c:v>Material</c:v>
                </c:pt>
                <c:pt idx="1">
                  <c:v>Labor and Equipment</c:v>
                </c:pt>
                <c:pt idx="2">
                  <c:v>Right of Way</c:v>
                </c:pt>
                <c:pt idx="3">
                  <c:v>Engineering, Permit, Indirect</c:v>
                </c:pt>
                <c:pt idx="4">
                  <c:v>Escalation</c:v>
                </c:pt>
                <c:pt idx="5">
                  <c:v>AFUDC</c:v>
                </c:pt>
                <c:pt idx="6">
                  <c:v>Contingency</c:v>
                </c:pt>
              </c:strCache>
            </c:strRef>
          </c:cat>
          <c:val>
            <c:numRef>
              <c:f>'PP4'!$G$7:$G$13</c:f>
              <c:numCache>
                <c:formatCode>_(* #,##0_);_(* \(#,##0\);_(* "-"??_);_(@_)</c:formatCode>
                <c:ptCount val="7"/>
                <c:pt idx="0">
                  <c:v>1279838.6393899058</c:v>
                </c:pt>
                <c:pt idx="1">
                  <c:v>381955.96824598371</c:v>
                </c:pt>
                <c:pt idx="2">
                  <c:v>3096.9630068115812</c:v>
                </c:pt>
                <c:pt idx="3">
                  <c:v>6641314.4984212993</c:v>
                </c:pt>
                <c:pt idx="4">
                  <c:v>180619.91498576757</c:v>
                </c:pt>
                <c:pt idx="5">
                  <c:v>426883.76379494998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D73-4C52-B7A8-4DF0DC328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1432009</xdr:colOff>
      <xdr:row>1</xdr:row>
      <xdr:rowOff>24912</xdr:rowOff>
    </xdr:from>
    <xdr:to>
      <xdr:col>3</xdr:col>
      <xdr:colOff>2089326</xdr:colOff>
      <xdr:row>2</xdr:row>
      <xdr:rowOff>177360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627569" y="207792"/>
          <a:ext cx="657317" cy="335328"/>
        </a:xfrm>
        <a:prstGeom prst="rect">
          <a:avLst/>
        </a:prstGeom>
      </xdr:spPr>
    </xdr:pic>
    <xdr:clientData/>
  </xdr:twoCellAnchor>
  <xdr:twoCellAnchor>
    <xdr:from>
      <xdr:col>2</xdr:col>
      <xdr:colOff>27995</xdr:colOff>
      <xdr:row>0</xdr:row>
      <xdr:rowOff>83820</xdr:rowOff>
    </xdr:from>
    <xdr:to>
      <xdr:col>3</xdr:col>
      <xdr:colOff>7620</xdr:colOff>
      <xdr:row>3</xdr:row>
      <xdr:rowOff>100182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268275" y="83820"/>
          <a:ext cx="3804865" cy="56500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800" baseline="0">
              <a:latin typeface="Arial" pitchFamily="34" charset="0"/>
              <a:cs typeface="Arial" pitchFamily="34" charset="0"/>
            </a:rPr>
            <a:t>Estimate Summary Form</a:t>
          </a:r>
          <a:endParaRPr lang="en-US" sz="1800">
            <a:latin typeface="Arial" pitchFamily="34" charset="0"/>
            <a:cs typeface="Arial" pitchFamily="34" charset="0"/>
          </a:endParaRPr>
        </a:p>
        <a:p>
          <a:r>
            <a:rPr lang="en-US" sz="1200" b="1">
              <a:solidFill>
                <a:schemeClr val="accent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Table</a:t>
          </a:r>
          <a:r>
            <a:rPr lang="en-US" sz="1200" b="1" baseline="0">
              <a:solidFill>
                <a:schemeClr val="accent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 of contents</a:t>
          </a:r>
        </a:p>
      </xdr:txBody>
    </xdr:sp>
    <xdr:clientData/>
  </xdr:twoCellAnchor>
  <xdr:twoCellAnchor editAs="oneCell">
    <xdr:from>
      <xdr:col>1</xdr:col>
      <xdr:colOff>7620</xdr:colOff>
      <xdr:row>1</xdr:row>
      <xdr:rowOff>131902</xdr:rowOff>
    </xdr:from>
    <xdr:to>
      <xdr:col>1</xdr:col>
      <xdr:colOff>1886524</xdr:colOff>
      <xdr:row>2</xdr:row>
      <xdr:rowOff>177622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" y="322402"/>
          <a:ext cx="1878904" cy="2362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60960</xdr:rowOff>
    </xdr:from>
    <xdr:to>
      <xdr:col>14</xdr:col>
      <xdr:colOff>0</xdr:colOff>
      <xdr:row>14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C">
    <tabColor theme="0"/>
    <pageSetUpPr fitToPage="1"/>
  </sheetPr>
  <dimension ref="B3:D40"/>
  <sheetViews>
    <sheetView showGridLines="0" zoomScaleNormal="100" workbookViewId="0"/>
  </sheetViews>
  <sheetFormatPr defaultColWidth="8.85546875" defaultRowHeight="15" x14ac:dyDescent="0.25"/>
  <cols>
    <col min="1" max="1" width="1.85546875" customWidth="1"/>
    <col min="2" max="2" width="30.7109375" customWidth="1"/>
    <col min="3" max="3" width="55.7109375" customWidth="1"/>
    <col min="4" max="4" width="30.7109375" customWidth="1"/>
  </cols>
  <sheetData>
    <row r="3" spans="2:4" x14ac:dyDescent="0.25">
      <c r="B3" s="202"/>
      <c r="C3" s="202"/>
      <c r="D3" s="202" t="s">
        <v>2</v>
      </c>
    </row>
    <row r="5" spans="2:4" ht="15.75" x14ac:dyDescent="0.25">
      <c r="B5" s="203"/>
      <c r="C5" s="203"/>
      <c r="D5" s="203"/>
    </row>
    <row r="6" spans="2:4" x14ac:dyDescent="0.25">
      <c r="B6" s="204"/>
      <c r="C6" s="204"/>
      <c r="D6" s="204"/>
    </row>
    <row r="7" spans="2:4" x14ac:dyDescent="0.25">
      <c r="B7" s="205" t="s">
        <v>274</v>
      </c>
      <c r="C7" s="205"/>
      <c r="D7" s="205"/>
    </row>
    <row r="8" spans="2:4" x14ac:dyDescent="0.25">
      <c r="B8" s="205" t="s">
        <v>269</v>
      </c>
      <c r="C8" s="205"/>
      <c r="D8" s="205"/>
    </row>
    <row r="9" spans="2:4" x14ac:dyDescent="0.25">
      <c r="B9" s="206" t="s">
        <v>65</v>
      </c>
      <c r="C9" s="206"/>
      <c r="D9" s="206"/>
    </row>
    <row r="10" spans="2:4" x14ac:dyDescent="0.25">
      <c r="B10" s="206" t="s">
        <v>109</v>
      </c>
      <c r="C10" s="206"/>
      <c r="D10" s="206"/>
    </row>
    <row r="11" spans="2:4" x14ac:dyDescent="0.25">
      <c r="B11" s="206" t="s">
        <v>334</v>
      </c>
      <c r="D11" s="206"/>
    </row>
    <row r="12" spans="2:4" x14ac:dyDescent="0.25">
      <c r="B12" s="206" t="s">
        <v>163</v>
      </c>
      <c r="D12" s="205"/>
    </row>
    <row r="13" spans="2:4" x14ac:dyDescent="0.25">
      <c r="B13" s="205" t="s">
        <v>307</v>
      </c>
      <c r="C13" s="207"/>
      <c r="D13" s="206"/>
    </row>
    <row r="14" spans="2:4" x14ac:dyDescent="0.25">
      <c r="B14" s="206" t="s">
        <v>308</v>
      </c>
      <c r="C14" s="208"/>
      <c r="D14" s="205"/>
    </row>
    <row r="15" spans="2:4" x14ac:dyDescent="0.25">
      <c r="B15" s="205" t="s">
        <v>309</v>
      </c>
      <c r="C15" s="205"/>
      <c r="D15" s="5"/>
    </row>
    <row r="16" spans="2:4" x14ac:dyDescent="0.25">
      <c r="B16" s="1" t="s">
        <v>0</v>
      </c>
      <c r="C16" s="208" t="s">
        <v>268</v>
      </c>
    </row>
    <row r="17" spans="2:4" x14ac:dyDescent="0.25">
      <c r="B17" s="1" t="s">
        <v>77</v>
      </c>
      <c r="C17" s="208" t="s">
        <v>268</v>
      </c>
      <c r="D17" s="5"/>
    </row>
    <row r="18" spans="2:4" x14ac:dyDescent="0.25">
      <c r="B18" s="5"/>
      <c r="C18" s="5"/>
    </row>
    <row r="19" spans="2:4" x14ac:dyDescent="0.25">
      <c r="D19" s="5"/>
    </row>
    <row r="20" spans="2:4" x14ac:dyDescent="0.25">
      <c r="B20" s="5"/>
      <c r="C20" s="5"/>
    </row>
    <row r="21" spans="2:4" x14ac:dyDescent="0.25">
      <c r="B21" s="5"/>
      <c r="C21" s="5"/>
      <c r="D21" s="5"/>
    </row>
    <row r="22" spans="2:4" x14ac:dyDescent="0.25">
      <c r="B22" s="5"/>
      <c r="C22" s="5"/>
      <c r="D22" s="5"/>
    </row>
    <row r="23" spans="2:4" x14ac:dyDescent="0.25">
      <c r="B23" s="5"/>
      <c r="C23" s="5"/>
      <c r="D23" s="5"/>
    </row>
    <row r="24" spans="2:4" x14ac:dyDescent="0.25">
      <c r="B24" s="5"/>
      <c r="C24" s="5"/>
      <c r="D24" s="5"/>
    </row>
    <row r="25" spans="2:4" x14ac:dyDescent="0.25">
      <c r="B25" s="5"/>
      <c r="C25" s="5"/>
      <c r="D25" s="5"/>
    </row>
    <row r="26" spans="2:4" x14ac:dyDescent="0.25">
      <c r="B26" s="5"/>
      <c r="C26" s="5"/>
      <c r="D26" s="5"/>
    </row>
    <row r="27" spans="2:4" x14ac:dyDescent="0.25">
      <c r="B27" s="5"/>
      <c r="C27" s="5"/>
      <c r="D27" s="5"/>
    </row>
    <row r="28" spans="2:4" x14ac:dyDescent="0.25">
      <c r="B28" s="5"/>
      <c r="C28" s="5"/>
      <c r="D28" s="5"/>
    </row>
    <row r="29" spans="2:4" x14ac:dyDescent="0.25">
      <c r="B29" s="5"/>
      <c r="C29" s="5"/>
      <c r="D29" s="5"/>
    </row>
    <row r="30" spans="2:4" x14ac:dyDescent="0.25">
      <c r="B30" s="5"/>
      <c r="C30" s="5"/>
      <c r="D30" s="5"/>
    </row>
    <row r="31" spans="2:4" x14ac:dyDescent="0.25">
      <c r="B31" s="5"/>
      <c r="C31" s="5"/>
      <c r="D31" s="5"/>
    </row>
    <row r="32" spans="2:4" x14ac:dyDescent="0.25">
      <c r="B32" s="5"/>
      <c r="C32" s="5"/>
      <c r="D32" s="5"/>
    </row>
    <row r="33" spans="2:4" x14ac:dyDescent="0.25">
      <c r="B33" s="5"/>
      <c r="C33" s="5"/>
      <c r="D33" s="5"/>
    </row>
    <row r="34" spans="2:4" x14ac:dyDescent="0.25">
      <c r="B34" s="5"/>
      <c r="C34" s="5"/>
      <c r="D34" s="5"/>
    </row>
    <row r="35" spans="2:4" x14ac:dyDescent="0.25">
      <c r="B35" s="5"/>
      <c r="C35" s="5"/>
      <c r="D35" s="5"/>
    </row>
    <row r="36" spans="2:4" x14ac:dyDescent="0.25">
      <c r="B36" s="5"/>
      <c r="C36" s="5"/>
      <c r="D36" s="5"/>
    </row>
    <row r="37" spans="2:4" x14ac:dyDescent="0.25">
      <c r="B37" s="5"/>
      <c r="C37" s="5"/>
      <c r="D37" s="5"/>
    </row>
    <row r="38" spans="2:4" x14ac:dyDescent="0.25">
      <c r="B38" s="5"/>
      <c r="C38" s="5"/>
      <c r="D38" s="5"/>
    </row>
    <row r="39" spans="2:4" x14ac:dyDescent="0.25">
      <c r="B39" s="5"/>
      <c r="C39" s="5"/>
      <c r="D39" s="5"/>
    </row>
    <row r="40" spans="2:4" x14ac:dyDescent="0.25">
      <c r="B40" s="9"/>
      <c r="C40" s="9"/>
      <c r="D40" s="9"/>
    </row>
  </sheetData>
  <sheetProtection sheet="1" objects="1" scenarios="1"/>
  <hyperlinks>
    <hyperlink ref="B9" location="Summary!A1" display="Summary" xr:uid="{00000000-0004-0000-0100-000001000000}"/>
    <hyperlink ref="B14" location="PAF!A1" display="PAF" xr:uid="{00000000-0004-0000-0100-000002000000}"/>
    <hyperlink ref="B10" location="Schedule!R1C1" display="Schedule" xr:uid="{00000000-0004-0000-0100-000003000000}"/>
    <hyperlink ref="B15" location="'PP4'!A1" display="PP4" xr:uid="{00000000-0004-0000-0100-000004000000}"/>
    <hyperlink ref="B12" location="Risk!A1" display="Risk anaysis" xr:uid="{00000000-0004-0000-0100-000005000000}"/>
    <hyperlink ref="B13" location="Item!A1" display="Item" xr:uid="{00000000-0004-0000-0100-000006000000}"/>
    <hyperlink ref="C16" location="'Table of contents'!B16" display="Click to display sheet" xr:uid="{00000000-0004-0000-0100-000007000000}"/>
    <hyperlink ref="C17" location="'Table of contents'!B17" display="Click to display sheet" xr:uid="{00000000-0004-0000-0100-000008000000}"/>
    <hyperlink ref="B8" location="Overview!A1" display="Overview" xr:uid="{00000000-0004-0000-0100-00000A000000}"/>
    <hyperlink ref="B7" location="'Scope and Clarifications'!A1" display="Scope and Clarifications" xr:uid="{00000000-0004-0000-0100-00000B000000}"/>
    <hyperlink ref="B11" location="Bid!A1" display="Bid" xr:uid="{115C9B07-AB7A-41D2-8828-34523C4EA23F}"/>
  </hyperlinks>
  <pageMargins left="0.7" right="0.7" top="0.75" bottom="0.75" header="0.3" footer="0.3"/>
  <pageSetup scale="7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copeAndClarifications">
    <tabColor theme="4" tint="-0.499984740745262"/>
    <pageSetUpPr fitToPage="1"/>
  </sheetPr>
  <dimension ref="B2:F58"/>
  <sheetViews>
    <sheetView showGridLines="0" zoomScale="73" zoomScaleNormal="73" workbookViewId="0">
      <selection activeCell="I15" sqref="I15"/>
    </sheetView>
  </sheetViews>
  <sheetFormatPr defaultColWidth="8.85546875" defaultRowHeight="15" x14ac:dyDescent="0.25"/>
  <cols>
    <col min="1" max="1" width="2.7109375" customWidth="1"/>
    <col min="2" max="2" width="16.7109375" customWidth="1"/>
    <col min="3" max="3" width="40.7109375" customWidth="1"/>
    <col min="4" max="4" width="16.7109375" customWidth="1"/>
    <col min="5" max="5" width="118.140625" customWidth="1"/>
    <col min="6" max="6" width="4.7109375" customWidth="1"/>
  </cols>
  <sheetData>
    <row r="2" spans="2:6" s="5" customFormat="1" x14ac:dyDescent="0.25">
      <c r="B2" s="219"/>
      <c r="F2" s="70" t="s">
        <v>66</v>
      </c>
    </row>
    <row r="3" spans="2:6" s="5" customFormat="1" x14ac:dyDescent="0.25">
      <c r="B3" s="219" t="s">
        <v>29</v>
      </c>
      <c r="C3" s="91" t="s">
        <v>336</v>
      </c>
      <c r="D3" s="72" t="s">
        <v>279</v>
      </c>
      <c r="E3" s="218">
        <v>46185.455172569447</v>
      </c>
    </row>
    <row r="4" spans="2:6" s="5" customFormat="1" x14ac:dyDescent="0.25">
      <c r="B4" s="219" t="s">
        <v>26</v>
      </c>
      <c r="C4" s="74" t="s">
        <v>337</v>
      </c>
      <c r="D4" s="72" t="s">
        <v>280</v>
      </c>
      <c r="E4" s="71" t="s">
        <v>135</v>
      </c>
    </row>
    <row r="5" spans="2:6" s="5" customFormat="1" x14ac:dyDescent="0.25">
      <c r="B5" s="219" t="s">
        <v>160</v>
      </c>
      <c r="C5" s="74" t="s">
        <v>338</v>
      </c>
      <c r="D5" s="72" t="s">
        <v>282</v>
      </c>
      <c r="E5" s="71" t="s">
        <v>342</v>
      </c>
    </row>
    <row r="6" spans="2:6" s="5" customFormat="1" x14ac:dyDescent="0.25">
      <c r="B6" s="219" t="s">
        <v>159</v>
      </c>
      <c r="C6" s="74" t="s">
        <v>339</v>
      </c>
      <c r="D6" s="72" t="s">
        <v>283</v>
      </c>
      <c r="E6" s="71" t="s">
        <v>342</v>
      </c>
    </row>
    <row r="7" spans="2:6" s="5" customFormat="1" x14ac:dyDescent="0.25">
      <c r="B7" s="219" t="s">
        <v>278</v>
      </c>
      <c r="C7" s="71" t="s">
        <v>341</v>
      </c>
    </row>
    <row r="8" spans="2:6" s="5" customFormat="1" ht="5.25" customHeight="1" x14ac:dyDescent="0.25">
      <c r="B8" s="72"/>
      <c r="C8" s="71"/>
    </row>
    <row r="9" spans="2:6" s="5" customFormat="1" ht="7.5" customHeight="1" x14ac:dyDescent="0.25">
      <c r="D9" s="72"/>
      <c r="E9" s="71"/>
    </row>
    <row r="10" spans="2:6" ht="6" customHeight="1" x14ac:dyDescent="0.25">
      <c r="B10" s="222"/>
    </row>
    <row r="11" spans="2:6" ht="6" customHeight="1" x14ac:dyDescent="0.25">
      <c r="B11" s="221"/>
      <c r="C11" s="77"/>
      <c r="D11" s="77"/>
      <c r="E11" s="77"/>
    </row>
    <row r="12" spans="2:6" ht="6" customHeight="1" x14ac:dyDescent="0.25">
      <c r="B12" s="222"/>
    </row>
    <row r="13" spans="2:6" ht="127.5" customHeight="1" x14ac:dyDescent="0.25">
      <c r="B13" s="219" t="s">
        <v>277</v>
      </c>
      <c r="C13" s="244" t="s">
        <v>343</v>
      </c>
      <c r="D13" s="244"/>
      <c r="E13" s="244"/>
    </row>
    <row r="14" spans="2:6" ht="6" customHeight="1" x14ac:dyDescent="0.25">
      <c r="B14" s="219"/>
      <c r="C14" s="5"/>
      <c r="D14" s="5"/>
    </row>
    <row r="15" spans="2:6" ht="72" customHeight="1" x14ac:dyDescent="0.25">
      <c r="B15" s="219" t="s">
        <v>276</v>
      </c>
      <c r="C15" s="244" t="s">
        <v>344</v>
      </c>
      <c r="D15" s="244"/>
      <c r="E15" s="244"/>
    </row>
    <row r="16" spans="2:6" ht="6" customHeight="1" x14ac:dyDescent="0.25"/>
    <row r="17" spans="2:5" s="5" customFormat="1" x14ac:dyDescent="0.25">
      <c r="B17" s="219" t="s">
        <v>29</v>
      </c>
      <c r="C17" s="71" t="s">
        <v>336</v>
      </c>
      <c r="D17" s="72" t="s">
        <v>287</v>
      </c>
      <c r="E17" s="243" t="s">
        <v>349</v>
      </c>
    </row>
    <row r="18" spans="2:5" s="5" customFormat="1" x14ac:dyDescent="0.25">
      <c r="B18" s="219" t="s">
        <v>70</v>
      </c>
      <c r="C18" s="91" t="s">
        <v>345</v>
      </c>
      <c r="D18" s="72" t="s">
        <v>289</v>
      </c>
      <c r="E18" s="243">
        <v>1</v>
      </c>
    </row>
    <row r="19" spans="2:5" s="5" customFormat="1" x14ac:dyDescent="0.25">
      <c r="B19" s="219" t="s">
        <v>284</v>
      </c>
      <c r="C19" s="243" t="s">
        <v>347</v>
      </c>
      <c r="D19" s="72" t="s">
        <v>288</v>
      </c>
      <c r="E19" s="243" t="s">
        <v>339</v>
      </c>
    </row>
    <row r="20" spans="2:5" s="5" customFormat="1" x14ac:dyDescent="0.25">
      <c r="B20" s="219" t="s">
        <v>285</v>
      </c>
      <c r="C20" s="243" t="s">
        <v>75</v>
      </c>
      <c r="D20" s="72" t="s">
        <v>27</v>
      </c>
      <c r="E20" s="218">
        <v>46387</v>
      </c>
    </row>
    <row r="21" spans="2:5" s="5" customFormat="1" x14ac:dyDescent="0.25">
      <c r="B21" s="72" t="s">
        <v>271</v>
      </c>
      <c r="C21" s="243" t="s">
        <v>346</v>
      </c>
      <c r="D21" s="72" t="s">
        <v>281</v>
      </c>
      <c r="E21" s="243" t="s">
        <v>397</v>
      </c>
    </row>
    <row r="22" spans="2:5" s="5" customFormat="1" x14ac:dyDescent="0.25">
      <c r="B22" s="72" t="s">
        <v>72</v>
      </c>
      <c r="C22" s="243" t="s">
        <v>135</v>
      </c>
    </row>
    <row r="23" spans="2:5" s="5" customFormat="1" x14ac:dyDescent="0.25">
      <c r="B23" s="72" t="s">
        <v>286</v>
      </c>
      <c r="C23" s="243" t="s">
        <v>348</v>
      </c>
    </row>
    <row r="24" spans="2:5" ht="6" customHeight="1" x14ac:dyDescent="0.25">
      <c r="B24" s="220"/>
      <c r="D24" s="72"/>
      <c r="E24" s="243"/>
    </row>
    <row r="25" spans="2:5" ht="6" customHeight="1" x14ac:dyDescent="0.25">
      <c r="B25" s="214"/>
      <c r="C25" s="214"/>
      <c r="D25" s="214"/>
      <c r="E25" s="214"/>
    </row>
    <row r="26" spans="2:5" ht="6" customHeight="1" x14ac:dyDescent="0.25"/>
    <row r="27" spans="2:5" ht="24" customHeight="1" x14ac:dyDescent="0.25">
      <c r="B27" s="219" t="s">
        <v>275</v>
      </c>
      <c r="C27" s="244" t="s">
        <v>350</v>
      </c>
      <c r="D27" s="244"/>
      <c r="E27" s="244"/>
    </row>
    <row r="28" spans="2:5" ht="6" customHeight="1" x14ac:dyDescent="0.25">
      <c r="B28" s="219"/>
      <c r="C28" s="5"/>
      <c r="D28" s="5"/>
    </row>
    <row r="29" spans="2:5" ht="39" customHeight="1" x14ac:dyDescent="0.25">
      <c r="B29" s="219" t="s">
        <v>276</v>
      </c>
      <c r="C29" s="244" t="s">
        <v>351</v>
      </c>
      <c r="D29" s="244"/>
      <c r="E29" s="244"/>
    </row>
    <row r="30" spans="2:5" ht="6" customHeight="1" x14ac:dyDescent="0.25">
      <c r="B30" s="222"/>
    </row>
    <row r="31" spans="2:5" ht="15" customHeight="1" x14ac:dyDescent="0.25"/>
    <row r="32" spans="2:5" ht="15" customHeight="1" x14ac:dyDescent="0.25"/>
    <row r="33" ht="15" customHeight="1" x14ac:dyDescent="0.25"/>
    <row r="34" s="91" customFormat="1" ht="24" customHeight="1" x14ac:dyDescent="0.25"/>
    <row r="35" ht="15" customHeight="1" x14ac:dyDescent="0.25"/>
    <row r="36" ht="15" customHeight="1" x14ac:dyDescent="0.25"/>
    <row r="37" s="91" customFormat="1" ht="24" customHeight="1" x14ac:dyDescent="0.25"/>
    <row r="38" ht="15" customHeight="1" x14ac:dyDescent="0.25"/>
    <row r="39" s="91" customFormat="1" ht="24" customHeight="1" x14ac:dyDescent="0.25"/>
    <row r="40" ht="15" customHeight="1" x14ac:dyDescent="0.25"/>
    <row r="41" s="91" customFormat="1" ht="24" customHeight="1" x14ac:dyDescent="0.25"/>
    <row r="42" ht="6" customHeight="1" x14ac:dyDescent="0.25"/>
    <row r="43" ht="6" customHeight="1" x14ac:dyDescent="0.25"/>
    <row r="44" ht="21" customHeight="1" x14ac:dyDescent="0.25"/>
    <row r="45" ht="15" customHeight="1" x14ac:dyDescent="0.25"/>
    <row r="46" ht="15" customHeight="1" x14ac:dyDescent="0.25"/>
    <row r="47" ht="21" customHeight="1" x14ac:dyDescent="0.25"/>
    <row r="48" ht="6" customHeight="1" x14ac:dyDescent="0.25"/>
    <row r="49" ht="21" customHeight="1" x14ac:dyDescent="0.25"/>
    <row r="50" ht="6" customHeight="1" x14ac:dyDescent="0.25"/>
    <row r="51" ht="21" customHeight="1" x14ac:dyDescent="0.25"/>
    <row r="53" ht="21" customHeight="1" x14ac:dyDescent="0.25"/>
    <row r="57" ht="6" customHeight="1" x14ac:dyDescent="0.25"/>
    <row r="58" ht="6" customHeight="1" x14ac:dyDescent="0.25"/>
  </sheetData>
  <mergeCells count="4">
    <mergeCell ref="C29:E29"/>
    <mergeCell ref="C13:E13"/>
    <mergeCell ref="C15:E15"/>
    <mergeCell ref="C27:E27"/>
  </mergeCells>
  <hyperlinks>
    <hyperlink ref="F2" location="'Table of contents'!A1" display="Return to TOC" xr:uid="{00000000-0004-0000-0300-000000000000}"/>
  </hyperlinks>
  <printOptions horizontalCentered="1"/>
  <pageMargins left="0.25" right="0.25" top="0.5" bottom="0.8" header="0.25" footer="0.25"/>
  <pageSetup scale="86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Overview">
    <tabColor theme="4" tint="-0.499984740745262"/>
    <pageSetUpPr fitToPage="1"/>
  </sheetPr>
  <dimension ref="B1:H45"/>
  <sheetViews>
    <sheetView showGridLines="0" tabSelected="1" workbookViewId="0">
      <pane ySplit="8" topLeftCell="A9" activePane="bottomLeft" state="frozen"/>
      <selection pane="bottomLeft"/>
    </sheetView>
  </sheetViews>
  <sheetFormatPr defaultColWidth="8.85546875" defaultRowHeight="15" x14ac:dyDescent="0.25"/>
  <cols>
    <col min="1" max="1" width="2.7109375" customWidth="1"/>
    <col min="2" max="2" width="14.7109375" customWidth="1"/>
    <col min="3" max="3" width="32.7109375" customWidth="1"/>
    <col min="4" max="4" width="17.7109375" hidden="1" customWidth="1"/>
    <col min="5" max="5" width="12.28515625" customWidth="1"/>
    <col min="6" max="6" width="10.7109375" customWidth="1"/>
    <col min="7" max="7" width="17.7109375" customWidth="1"/>
    <col min="8" max="8" width="4.7109375" customWidth="1"/>
  </cols>
  <sheetData>
    <row r="1" spans="2:8" s="5" customFormat="1" x14ac:dyDescent="0.25">
      <c r="H1" s="70" t="s">
        <v>66</v>
      </c>
    </row>
    <row r="2" spans="2:8" s="5" customFormat="1" x14ac:dyDescent="0.25">
      <c r="B2" s="72" t="s">
        <v>29</v>
      </c>
      <c r="C2" s="245" t="s">
        <v>336</v>
      </c>
      <c r="D2" s="245"/>
      <c r="E2" s="72"/>
      <c r="F2" s="71"/>
    </row>
    <row r="3" spans="2:8" s="5" customFormat="1" x14ac:dyDescent="0.25">
      <c r="B3" s="72" t="s">
        <v>26</v>
      </c>
      <c r="C3" s="74" t="s">
        <v>337</v>
      </c>
      <c r="D3" s="75"/>
      <c r="E3" s="72"/>
      <c r="F3" s="71"/>
    </row>
    <row r="4" spans="2:8" s="5" customFormat="1" x14ac:dyDescent="0.25">
      <c r="B4" s="72" t="s">
        <v>160</v>
      </c>
      <c r="C4" s="74" t="s">
        <v>338</v>
      </c>
      <c r="D4" s="75"/>
      <c r="E4" s="72" t="s">
        <v>71</v>
      </c>
      <c r="F4" s="71" t="s">
        <v>340</v>
      </c>
    </row>
    <row r="5" spans="2:8" s="5" customFormat="1" x14ac:dyDescent="0.25">
      <c r="B5" s="72" t="s">
        <v>159</v>
      </c>
      <c r="C5" s="74" t="s">
        <v>339</v>
      </c>
      <c r="D5" s="75"/>
      <c r="E5" s="72" t="s">
        <v>273</v>
      </c>
      <c r="F5" s="71" t="s">
        <v>342</v>
      </c>
    </row>
    <row r="6" spans="2:8" ht="6" customHeight="1" x14ac:dyDescent="0.25"/>
    <row r="7" spans="2:8" ht="6" customHeight="1" x14ac:dyDescent="0.25">
      <c r="B7" s="77"/>
      <c r="C7" s="77"/>
      <c r="D7" s="77"/>
      <c r="E7" s="77"/>
      <c r="F7" s="77"/>
      <c r="G7" s="77"/>
    </row>
    <row r="8" spans="2:8" x14ac:dyDescent="0.25">
      <c r="B8" s="79" t="s">
        <v>3</v>
      </c>
      <c r="C8" s="79"/>
      <c r="D8" s="80" t="s">
        <v>28</v>
      </c>
      <c r="E8" s="81" t="s">
        <v>38</v>
      </c>
      <c r="F8" s="81" t="s">
        <v>39</v>
      </c>
      <c r="G8" s="78" t="s">
        <v>345</v>
      </c>
    </row>
    <row r="9" spans="2:8" ht="15" customHeight="1" x14ac:dyDescent="0.25">
      <c r="B9" s="1" t="s">
        <v>12</v>
      </c>
      <c r="C9" s="1"/>
      <c r="D9" s="84">
        <v>3100</v>
      </c>
      <c r="E9" s="85">
        <v>5.4880855433204687E-4</v>
      </c>
      <c r="F9" s="85">
        <v>3.4778316280739544E-4</v>
      </c>
      <c r="G9" s="82">
        <v>3100</v>
      </c>
    </row>
    <row r="10" spans="2:8" ht="15" customHeight="1" x14ac:dyDescent="0.25">
      <c r="B10" s="1" t="s">
        <v>13</v>
      </c>
      <c r="C10" s="1"/>
      <c r="D10" s="84">
        <v>18000</v>
      </c>
      <c r="E10" s="85">
        <v>3.1866303154764013E-3</v>
      </c>
      <c r="F10" s="85">
        <v>2.0193861066235864E-3</v>
      </c>
      <c r="G10" s="82">
        <v>18000</v>
      </c>
    </row>
    <row r="11" spans="2:8" ht="15" customHeight="1" x14ac:dyDescent="0.25">
      <c r="B11" s="1" t="s">
        <v>306</v>
      </c>
      <c r="C11" s="1"/>
      <c r="D11" s="84">
        <v>64000</v>
      </c>
      <c r="E11" s="85">
        <v>1.1330241121693872E-2</v>
      </c>
      <c r="F11" s="85">
        <v>7.1800394902171959E-3</v>
      </c>
      <c r="G11" s="82">
        <v>64000</v>
      </c>
    </row>
    <row r="12" spans="2:8" ht="15" customHeight="1" x14ac:dyDescent="0.25">
      <c r="B12" s="1" t="s">
        <v>14</v>
      </c>
      <c r="C12" s="1"/>
      <c r="D12" s="84">
        <v>198500</v>
      </c>
      <c r="E12" s="85">
        <v>3.5141450979003647E-2</v>
      </c>
      <c r="F12" s="85">
        <v>2.2269341231376773E-2</v>
      </c>
      <c r="G12" s="82">
        <v>198500</v>
      </c>
    </row>
    <row r="13" spans="2:8" ht="15" customHeight="1" x14ac:dyDescent="0.25">
      <c r="B13" s="1" t="s">
        <v>15</v>
      </c>
      <c r="C13" s="1"/>
      <c r="D13" s="84">
        <v>2937800</v>
      </c>
      <c r="E13" s="85">
        <v>0.52009347448925403</v>
      </c>
      <c r="F13" s="85">
        <v>0.32958625022437621</v>
      </c>
      <c r="G13" s="82">
        <v>2937800</v>
      </c>
    </row>
    <row r="14" spans="2:8" ht="15" customHeight="1" x14ac:dyDescent="0.25">
      <c r="B14" s="1" t="s">
        <v>36</v>
      </c>
      <c r="C14" s="1"/>
      <c r="D14" s="84">
        <v>1154100</v>
      </c>
      <c r="E14" s="85">
        <v>0.20431611372729525</v>
      </c>
      <c r="F14" s="85">
        <v>0.12947630586968228</v>
      </c>
      <c r="G14" s="82">
        <v>1154100</v>
      </c>
    </row>
    <row r="15" spans="2:8" ht="15" customHeight="1" x14ac:dyDescent="0.25">
      <c r="B15" s="1" t="s">
        <v>37</v>
      </c>
      <c r="C15" s="1"/>
      <c r="D15" s="84">
        <v>14000</v>
      </c>
      <c r="E15" s="85">
        <v>2.4784902453705341E-3</v>
      </c>
      <c r="F15" s="85">
        <v>1.5706336384850117E-3</v>
      </c>
      <c r="G15" s="82">
        <v>14000</v>
      </c>
    </row>
    <row r="16" spans="2:8" ht="15" customHeight="1" x14ac:dyDescent="0.25">
      <c r="B16" s="1" t="s">
        <v>16</v>
      </c>
      <c r="C16" s="1"/>
      <c r="D16" s="84">
        <v>0</v>
      </c>
      <c r="E16" s="85">
        <v>0</v>
      </c>
      <c r="F16" s="85">
        <v>0</v>
      </c>
      <c r="G16" s="82">
        <v>0</v>
      </c>
    </row>
    <row r="17" spans="2:7" ht="15" customHeight="1" x14ac:dyDescent="0.25">
      <c r="B17" s="1" t="s">
        <v>17</v>
      </c>
      <c r="C17" s="1"/>
      <c r="D17" s="84">
        <v>1135100</v>
      </c>
      <c r="E17" s="85">
        <v>0.20095244839429238</v>
      </c>
      <c r="F17" s="85">
        <v>0.12734473164602406</v>
      </c>
      <c r="G17" s="82">
        <v>1135100</v>
      </c>
    </row>
    <row r="18" spans="2:7" ht="15" customHeight="1" x14ac:dyDescent="0.25">
      <c r="B18" s="1" t="s">
        <v>18</v>
      </c>
      <c r="C18" s="1"/>
      <c r="D18" s="84">
        <v>14100</v>
      </c>
      <c r="E18" s="85">
        <v>2.4961937471231809E-3</v>
      </c>
      <c r="F18" s="85">
        <v>1.581852450188476E-3</v>
      </c>
      <c r="G18" s="82">
        <v>14100</v>
      </c>
    </row>
    <row r="19" spans="2:7" ht="15" customHeight="1" x14ac:dyDescent="0.25">
      <c r="B19" s="1" t="s">
        <v>310</v>
      </c>
      <c r="C19" s="1"/>
      <c r="D19" s="84">
        <v>109900</v>
      </c>
      <c r="E19" s="85">
        <v>1.9456148426158695E-2</v>
      </c>
      <c r="F19" s="85">
        <v>1.2329474062107342E-2</v>
      </c>
      <c r="G19" s="82">
        <v>109900</v>
      </c>
    </row>
    <row r="20" spans="2:7" ht="15" customHeight="1" x14ac:dyDescent="0.25">
      <c r="B20" s="1" t="s">
        <v>20</v>
      </c>
      <c r="C20" s="1"/>
      <c r="D20" s="84">
        <v>0</v>
      </c>
      <c r="E20" s="85">
        <v>0</v>
      </c>
      <c r="F20" s="85">
        <v>0</v>
      </c>
      <c r="G20" s="82">
        <v>0</v>
      </c>
    </row>
    <row r="21" spans="2:7" s="91" customFormat="1" ht="24" customHeight="1" x14ac:dyDescent="0.25">
      <c r="B21" s="240" t="s">
        <v>40</v>
      </c>
      <c r="C21" s="240"/>
      <c r="D21" s="89">
        <v>5648600</v>
      </c>
      <c r="E21" s="90">
        <v>1</v>
      </c>
      <c r="F21" s="90">
        <v>0.63370579788188841</v>
      </c>
      <c r="G21" s="86">
        <v>5648600</v>
      </c>
    </row>
    <row r="22" spans="2:7" ht="15" customHeight="1" x14ac:dyDescent="0.25">
      <c r="B22" s="1" t="s">
        <v>21</v>
      </c>
      <c r="C22" s="1"/>
      <c r="D22" s="84">
        <v>2834800</v>
      </c>
      <c r="E22" s="85"/>
      <c r="F22" s="85">
        <v>0.31803087416980791</v>
      </c>
      <c r="G22" s="82">
        <v>2834800</v>
      </c>
    </row>
    <row r="23" spans="2:7" ht="15" customHeight="1" x14ac:dyDescent="0.25">
      <c r="B23" s="1" t="s">
        <v>22</v>
      </c>
      <c r="C23" s="1"/>
      <c r="D23" s="84">
        <v>430200</v>
      </c>
      <c r="E23" s="85"/>
      <c r="F23" s="85">
        <v>4.8263327948303715E-2</v>
      </c>
      <c r="G23" s="82">
        <v>430200</v>
      </c>
    </row>
    <row r="24" spans="2:7" s="91" customFormat="1" ht="24" customHeight="1" x14ac:dyDescent="0.25">
      <c r="B24" s="240" t="s">
        <v>23</v>
      </c>
      <c r="C24" s="240"/>
      <c r="D24" s="89">
        <v>8913600</v>
      </c>
      <c r="E24" s="90"/>
      <c r="F24" s="90">
        <v>1</v>
      </c>
      <c r="G24" s="86">
        <v>8913600</v>
      </c>
    </row>
    <row r="25" spans="2:7" ht="15" customHeight="1" x14ac:dyDescent="0.25">
      <c r="B25" s="1" t="s">
        <v>1</v>
      </c>
      <c r="C25" s="1"/>
      <c r="D25" s="84">
        <v>0</v>
      </c>
      <c r="E25" s="85"/>
      <c r="F25" s="85">
        <v>0</v>
      </c>
      <c r="G25" s="82">
        <v>0</v>
      </c>
    </row>
    <row r="26" spans="2:7" s="91" customFormat="1" ht="24" customHeight="1" x14ac:dyDescent="0.25">
      <c r="B26" s="240" t="s">
        <v>158</v>
      </c>
      <c r="C26" s="240"/>
      <c r="D26" s="89">
        <v>8913600</v>
      </c>
      <c r="E26" s="90"/>
      <c r="F26" s="90">
        <v>1</v>
      </c>
      <c r="G26" s="86">
        <v>8913600</v>
      </c>
    </row>
    <row r="27" spans="2:7" ht="15" customHeight="1" x14ac:dyDescent="0.25">
      <c r="B27" s="1" t="s">
        <v>24</v>
      </c>
      <c r="C27" s="1"/>
      <c r="D27" s="84">
        <v>0</v>
      </c>
      <c r="E27" s="85"/>
      <c r="F27" s="85">
        <v>0</v>
      </c>
      <c r="G27" s="82">
        <v>0</v>
      </c>
    </row>
    <row r="28" spans="2:7" s="91" customFormat="1" ht="24" customHeight="1" x14ac:dyDescent="0.25">
      <c r="B28" s="88" t="s">
        <v>157</v>
      </c>
      <c r="C28" s="88"/>
      <c r="D28" s="89">
        <v>8913600</v>
      </c>
      <c r="E28" s="90"/>
      <c r="F28" s="90"/>
      <c r="G28" s="86">
        <v>8913600</v>
      </c>
    </row>
    <row r="29" spans="2:7" ht="6" customHeight="1" x14ac:dyDescent="0.25">
      <c r="G29" s="92"/>
    </row>
    <row r="30" spans="2:7" ht="6" customHeight="1" x14ac:dyDescent="0.25">
      <c r="B30" s="77"/>
      <c r="C30" s="77"/>
      <c r="D30" s="77"/>
      <c r="E30" s="77"/>
      <c r="F30" s="77"/>
      <c r="G30" s="77"/>
    </row>
    <row r="31" spans="2:7" ht="21" customHeight="1" x14ac:dyDescent="0.25">
      <c r="B31" s="79" t="s">
        <v>34</v>
      </c>
      <c r="D31" s="93"/>
      <c r="G31" s="92"/>
    </row>
    <row r="32" spans="2:7" s="225" customFormat="1" ht="15" customHeight="1" x14ac:dyDescent="0.25">
      <c r="B32" s="225" t="s">
        <v>4</v>
      </c>
      <c r="D32" s="226" t="s">
        <v>342</v>
      </c>
      <c r="F32" s="227"/>
      <c r="G32" s="224" t="s">
        <v>397</v>
      </c>
    </row>
    <row r="33" spans="2:7" s="225" customFormat="1" ht="15" customHeight="1" x14ac:dyDescent="0.25">
      <c r="B33" s="225" t="s">
        <v>335</v>
      </c>
      <c r="D33" s="226" t="s">
        <v>342</v>
      </c>
      <c r="E33" s="228"/>
      <c r="F33" s="227"/>
      <c r="G33" s="224" t="s">
        <v>398</v>
      </c>
    </row>
    <row r="34" spans="2:7" ht="21" customHeight="1" x14ac:dyDescent="0.25">
      <c r="B34" s="79" t="s">
        <v>30</v>
      </c>
      <c r="D34" s="230">
        <v>180600</v>
      </c>
      <c r="E34" s="95"/>
      <c r="F34" s="95"/>
      <c r="G34" s="229">
        <v>180600</v>
      </c>
    </row>
    <row r="35" spans="2:7" ht="6" hidden="1" customHeight="1" x14ac:dyDescent="0.25">
      <c r="B35" s="1"/>
      <c r="D35" s="93"/>
      <c r="G35" s="92"/>
    </row>
    <row r="36" spans="2:7" ht="21" hidden="1" customHeight="1" x14ac:dyDescent="0.25">
      <c r="B36" s="79" t="s">
        <v>74</v>
      </c>
      <c r="D36" s="94">
        <v>0</v>
      </c>
      <c r="E36" s="95"/>
      <c r="F36" s="95"/>
      <c r="G36" s="92"/>
    </row>
    <row r="37" spans="2:7" ht="6" customHeight="1" x14ac:dyDescent="0.25">
      <c r="B37" s="1"/>
      <c r="D37" s="93"/>
      <c r="G37" s="92"/>
    </row>
    <row r="38" spans="2:7" ht="21" customHeight="1" x14ac:dyDescent="0.25">
      <c r="B38" s="79" t="s">
        <v>35</v>
      </c>
      <c r="D38" s="93"/>
      <c r="G38" s="92"/>
    </row>
    <row r="39" spans="2:7" x14ac:dyDescent="0.25">
      <c r="B39" s="223" t="s">
        <v>290</v>
      </c>
      <c r="D39" s="97">
        <v>0</v>
      </c>
      <c r="G39" s="96">
        <v>0</v>
      </c>
    </row>
    <row r="40" spans="2:7" ht="31.9" customHeight="1" x14ac:dyDescent="0.25">
      <c r="B40" s="79" t="s">
        <v>25</v>
      </c>
      <c r="D40" s="231"/>
      <c r="G40" s="232" t="s">
        <v>75</v>
      </c>
    </row>
    <row r="41" spans="2:7" x14ac:dyDescent="0.25">
      <c r="B41" s="99" t="s">
        <v>31</v>
      </c>
      <c r="C41" s="209"/>
      <c r="D41" s="100" t="e">
        <v>#N/A</v>
      </c>
      <c r="G41" s="98" t="e">
        <v>#N/A</v>
      </c>
    </row>
    <row r="42" spans="2:7" x14ac:dyDescent="0.25">
      <c r="B42" s="1" t="s">
        <v>33</v>
      </c>
      <c r="C42" s="56"/>
      <c r="D42" s="102">
        <v>8913600</v>
      </c>
      <c r="G42" s="101">
        <v>8913600</v>
      </c>
    </row>
    <row r="43" spans="2:7" x14ac:dyDescent="0.25">
      <c r="B43" s="104" t="s">
        <v>32</v>
      </c>
      <c r="C43" s="210"/>
      <c r="D43" s="100" t="e">
        <v>#N/A</v>
      </c>
      <c r="G43" s="103" t="e">
        <v>#N/A</v>
      </c>
    </row>
    <row r="44" spans="2:7" ht="6" customHeight="1" x14ac:dyDescent="0.25">
      <c r="G44" s="92"/>
    </row>
    <row r="45" spans="2:7" ht="6" customHeight="1" x14ac:dyDescent="0.25">
      <c r="B45" s="77"/>
      <c r="C45" s="77"/>
      <c r="D45" s="77"/>
      <c r="E45" s="77"/>
      <c r="F45" s="77"/>
      <c r="G45" s="77"/>
    </row>
  </sheetData>
  <mergeCells count="1">
    <mergeCell ref="C2:D2"/>
  </mergeCells>
  <hyperlinks>
    <hyperlink ref="H1" location="'Table of contents'!A1" display="Return to TOC" xr:uid="{00000000-0004-0000-0500-000000000000}"/>
  </hyperlinks>
  <pageMargins left="0.7" right="0.7" top="0.75" bottom="0.75" header="0.3" footer="0.3"/>
  <pageSetup scale="66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ummary">
    <tabColor theme="5" tint="-0.249977111117893"/>
    <pageSetUpPr fitToPage="1"/>
  </sheetPr>
  <dimension ref="B1:L100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8.85546875" defaultRowHeight="15" outlineLevelRow="4" x14ac:dyDescent="0.25"/>
  <cols>
    <col min="1" max="1" width="4.7109375" style="5" customWidth="1"/>
    <col min="2" max="2" width="18.7109375" style="5" customWidth="1"/>
    <col min="3" max="3" width="60.7109375" style="6" customWidth="1"/>
    <col min="4" max="11" width="12.7109375" style="154" customWidth="1"/>
    <col min="12" max="16384" width="8.85546875" style="5"/>
  </cols>
  <sheetData>
    <row r="1" spans="2:12" x14ac:dyDescent="0.25">
      <c r="B1" s="6"/>
      <c r="K1" s="70" t="s">
        <v>66</v>
      </c>
    </row>
    <row r="2" spans="2:12" s="79" customFormat="1" ht="36" customHeight="1" thickBot="1" x14ac:dyDescent="0.3">
      <c r="B2" s="175" t="s">
        <v>63</v>
      </c>
      <c r="C2" s="156" t="s">
        <v>3</v>
      </c>
      <c r="D2" s="157" t="s">
        <v>11</v>
      </c>
      <c r="E2" s="157" t="s">
        <v>147</v>
      </c>
      <c r="F2" s="157" t="s">
        <v>56</v>
      </c>
      <c r="G2" s="157" t="s">
        <v>6</v>
      </c>
      <c r="H2" s="157" t="s">
        <v>7</v>
      </c>
      <c r="I2" s="157" t="s">
        <v>8</v>
      </c>
      <c r="J2" s="157" t="s">
        <v>9</v>
      </c>
      <c r="K2" s="157" t="s">
        <v>10</v>
      </c>
    </row>
    <row r="3" spans="2:12" x14ac:dyDescent="0.25">
      <c r="B3" s="233" t="s">
        <v>336</v>
      </c>
      <c r="C3" s="234"/>
      <c r="D3" s="235">
        <v>8913709.7478447184</v>
      </c>
      <c r="E3" s="235">
        <v>3828338</v>
      </c>
      <c r="F3" s="235">
        <v>0</v>
      </c>
      <c r="G3" s="235">
        <v>3030203.35</v>
      </c>
      <c r="H3" s="235">
        <v>546350</v>
      </c>
      <c r="I3" s="235">
        <v>0</v>
      </c>
      <c r="J3" s="235">
        <v>0</v>
      </c>
      <c r="K3" s="235">
        <v>1508818.3978447185</v>
      </c>
      <c r="L3" s="147"/>
    </row>
    <row r="4" spans="2:12" x14ac:dyDescent="0.25">
      <c r="B4" s="211" t="s">
        <v>345</v>
      </c>
      <c r="C4" s="212"/>
      <c r="D4" s="213">
        <v>8913709.7478447184</v>
      </c>
      <c r="E4" s="213">
        <v>3828338</v>
      </c>
      <c r="F4" s="213">
        <v>0</v>
      </c>
      <c r="G4" s="213">
        <v>3030203.35</v>
      </c>
      <c r="H4" s="213">
        <v>546350</v>
      </c>
      <c r="I4" s="213">
        <v>0</v>
      </c>
      <c r="J4" s="213">
        <v>0</v>
      </c>
      <c r="K4" s="213">
        <v>1508818.3978447185</v>
      </c>
      <c r="L4" s="147"/>
    </row>
    <row r="5" spans="2:12" outlineLevel="1" x14ac:dyDescent="0.25">
      <c r="B5" s="179" t="s">
        <v>41</v>
      </c>
      <c r="C5" s="191" t="s">
        <v>12</v>
      </c>
      <c r="D5" s="192">
        <v>3072</v>
      </c>
      <c r="E5" s="192">
        <v>3072</v>
      </c>
      <c r="F5" s="192">
        <v>0</v>
      </c>
      <c r="G5" s="192">
        <v>0</v>
      </c>
      <c r="H5" s="192">
        <v>0</v>
      </c>
      <c r="I5" s="192">
        <v>0</v>
      </c>
      <c r="J5" s="192">
        <v>0</v>
      </c>
      <c r="K5" s="192">
        <v>0</v>
      </c>
      <c r="L5" s="147"/>
    </row>
    <row r="6" spans="2:12" hidden="1" outlineLevel="2" x14ac:dyDescent="0.25">
      <c r="B6" s="193" t="s">
        <v>223</v>
      </c>
      <c r="C6" s="194" t="s">
        <v>224</v>
      </c>
      <c r="D6" s="195">
        <v>3072</v>
      </c>
      <c r="E6" s="195">
        <v>3072</v>
      </c>
      <c r="F6" s="195">
        <v>0</v>
      </c>
      <c r="G6" s="195">
        <v>0</v>
      </c>
      <c r="H6" s="195">
        <v>0</v>
      </c>
      <c r="I6" s="195">
        <v>0</v>
      </c>
      <c r="J6" s="195">
        <v>0</v>
      </c>
      <c r="K6" s="195">
        <v>0</v>
      </c>
      <c r="L6" s="147"/>
    </row>
    <row r="7" spans="2:12" hidden="1" outlineLevel="3" x14ac:dyDescent="0.25">
      <c r="B7" s="196" t="s">
        <v>225</v>
      </c>
      <c r="C7" s="197" t="s">
        <v>224</v>
      </c>
      <c r="D7" s="198">
        <v>3072</v>
      </c>
      <c r="E7" s="198">
        <v>3072</v>
      </c>
      <c r="F7" s="198">
        <v>0</v>
      </c>
      <c r="G7" s="198">
        <v>0</v>
      </c>
      <c r="H7" s="198">
        <v>0</v>
      </c>
      <c r="I7" s="198">
        <v>0</v>
      </c>
      <c r="J7" s="198">
        <v>0</v>
      </c>
      <c r="K7" s="198">
        <v>0</v>
      </c>
      <c r="L7" s="147"/>
    </row>
    <row r="8" spans="2:12" hidden="1" outlineLevel="4" x14ac:dyDescent="0.25">
      <c r="B8" s="199" t="s">
        <v>226</v>
      </c>
      <c r="C8" s="200" t="s">
        <v>357</v>
      </c>
      <c r="D8" s="201">
        <v>3072</v>
      </c>
      <c r="E8" s="201">
        <v>3072</v>
      </c>
      <c r="F8" s="201"/>
      <c r="G8" s="201"/>
      <c r="H8" s="201"/>
      <c r="I8" s="201"/>
      <c r="J8" s="201"/>
      <c r="K8" s="201"/>
    </row>
    <row r="9" spans="2:12" outlineLevel="1" collapsed="1" x14ac:dyDescent="0.25">
      <c r="B9" s="179" t="s">
        <v>42</v>
      </c>
      <c r="C9" s="191" t="s">
        <v>13</v>
      </c>
      <c r="D9" s="192">
        <v>18049</v>
      </c>
      <c r="E9" s="192">
        <v>18049</v>
      </c>
      <c r="F9" s="192">
        <v>0</v>
      </c>
      <c r="G9" s="192">
        <v>0</v>
      </c>
      <c r="H9" s="192">
        <v>0</v>
      </c>
      <c r="I9" s="192">
        <v>0</v>
      </c>
      <c r="J9" s="192">
        <v>0</v>
      </c>
      <c r="K9" s="192">
        <v>0</v>
      </c>
      <c r="L9" s="147"/>
    </row>
    <row r="10" spans="2:12" hidden="1" outlineLevel="2" x14ac:dyDescent="0.25">
      <c r="B10" s="193" t="s">
        <v>170</v>
      </c>
      <c r="C10" s="194" t="s">
        <v>173</v>
      </c>
      <c r="D10" s="195">
        <v>16855</v>
      </c>
      <c r="E10" s="195">
        <v>16855</v>
      </c>
      <c r="F10" s="195">
        <v>0</v>
      </c>
      <c r="G10" s="195">
        <v>0</v>
      </c>
      <c r="H10" s="195">
        <v>0</v>
      </c>
      <c r="I10" s="195">
        <v>0</v>
      </c>
      <c r="J10" s="195">
        <v>0</v>
      </c>
      <c r="K10" s="195">
        <v>0</v>
      </c>
      <c r="L10" s="147"/>
    </row>
    <row r="11" spans="2:12" hidden="1" outlineLevel="3" x14ac:dyDescent="0.25">
      <c r="B11" s="196" t="s">
        <v>171</v>
      </c>
      <c r="C11" s="197" t="s">
        <v>173</v>
      </c>
      <c r="D11" s="198">
        <v>16855</v>
      </c>
      <c r="E11" s="198">
        <v>16855</v>
      </c>
      <c r="F11" s="198">
        <v>0</v>
      </c>
      <c r="G11" s="198">
        <v>0</v>
      </c>
      <c r="H11" s="198">
        <v>0</v>
      </c>
      <c r="I11" s="198">
        <v>0</v>
      </c>
      <c r="J11" s="198">
        <v>0</v>
      </c>
      <c r="K11" s="198">
        <v>0</v>
      </c>
      <c r="L11" s="147"/>
    </row>
    <row r="12" spans="2:12" hidden="1" outlineLevel="4" x14ac:dyDescent="0.25">
      <c r="B12" s="199" t="s">
        <v>172</v>
      </c>
      <c r="C12" s="200" t="s">
        <v>358</v>
      </c>
      <c r="D12" s="201">
        <v>16855</v>
      </c>
      <c r="E12" s="201">
        <v>16855</v>
      </c>
      <c r="F12" s="201"/>
      <c r="G12" s="201"/>
      <c r="H12" s="201"/>
      <c r="I12" s="201"/>
      <c r="J12" s="201"/>
      <c r="K12" s="201"/>
    </row>
    <row r="13" spans="2:12" hidden="1" outlineLevel="2" x14ac:dyDescent="0.25">
      <c r="B13" s="193" t="s">
        <v>174</v>
      </c>
      <c r="C13" s="194" t="s">
        <v>177</v>
      </c>
      <c r="D13" s="195">
        <v>1194</v>
      </c>
      <c r="E13" s="195">
        <v>1194</v>
      </c>
      <c r="F13" s="195">
        <v>0</v>
      </c>
      <c r="G13" s="195">
        <v>0</v>
      </c>
      <c r="H13" s="195">
        <v>0</v>
      </c>
      <c r="I13" s="195">
        <v>0</v>
      </c>
      <c r="J13" s="195">
        <v>0</v>
      </c>
      <c r="K13" s="195">
        <v>0</v>
      </c>
      <c r="L13" s="147"/>
    </row>
    <row r="14" spans="2:12" hidden="1" outlineLevel="3" x14ac:dyDescent="0.25">
      <c r="B14" s="196" t="s">
        <v>175</v>
      </c>
      <c r="C14" s="197" t="s">
        <v>177</v>
      </c>
      <c r="D14" s="198">
        <v>1194</v>
      </c>
      <c r="E14" s="198">
        <v>1194</v>
      </c>
      <c r="F14" s="198">
        <v>0</v>
      </c>
      <c r="G14" s="198">
        <v>0</v>
      </c>
      <c r="H14" s="198">
        <v>0</v>
      </c>
      <c r="I14" s="198">
        <v>0</v>
      </c>
      <c r="J14" s="198">
        <v>0</v>
      </c>
      <c r="K14" s="198">
        <v>0</v>
      </c>
      <c r="L14" s="147"/>
    </row>
    <row r="15" spans="2:12" hidden="1" outlineLevel="4" x14ac:dyDescent="0.25">
      <c r="B15" s="199" t="s">
        <v>176</v>
      </c>
      <c r="C15" s="200" t="s">
        <v>359</v>
      </c>
      <c r="D15" s="201">
        <v>1194</v>
      </c>
      <c r="E15" s="201">
        <v>1194</v>
      </c>
      <c r="F15" s="201"/>
      <c r="G15" s="201"/>
      <c r="H15" s="201"/>
      <c r="I15" s="201"/>
      <c r="J15" s="201"/>
      <c r="K15" s="201"/>
    </row>
    <row r="16" spans="2:12" outlineLevel="1" collapsed="1" x14ac:dyDescent="0.25">
      <c r="B16" s="179" t="s">
        <v>43</v>
      </c>
      <c r="C16" s="191" t="s">
        <v>178</v>
      </c>
      <c r="D16" s="192">
        <v>63973</v>
      </c>
      <c r="E16" s="192">
        <v>63973</v>
      </c>
      <c r="F16" s="192">
        <v>0</v>
      </c>
      <c r="G16" s="192">
        <v>0</v>
      </c>
      <c r="H16" s="192">
        <v>0</v>
      </c>
      <c r="I16" s="192">
        <v>0</v>
      </c>
      <c r="J16" s="192">
        <v>0</v>
      </c>
      <c r="K16" s="192">
        <v>0</v>
      </c>
      <c r="L16" s="147"/>
    </row>
    <row r="17" spans="2:12" hidden="1" outlineLevel="2" x14ac:dyDescent="0.25">
      <c r="B17" s="193" t="s">
        <v>179</v>
      </c>
      <c r="C17" s="194" t="s">
        <v>182</v>
      </c>
      <c r="D17" s="195">
        <v>56600</v>
      </c>
      <c r="E17" s="195">
        <v>56600</v>
      </c>
      <c r="F17" s="195">
        <v>0</v>
      </c>
      <c r="G17" s="195">
        <v>0</v>
      </c>
      <c r="H17" s="195">
        <v>0</v>
      </c>
      <c r="I17" s="195">
        <v>0</v>
      </c>
      <c r="J17" s="195">
        <v>0</v>
      </c>
      <c r="K17" s="195">
        <v>0</v>
      </c>
      <c r="L17" s="147"/>
    </row>
    <row r="18" spans="2:12" hidden="1" outlineLevel="3" x14ac:dyDescent="0.25">
      <c r="B18" s="196" t="s">
        <v>180</v>
      </c>
      <c r="C18" s="197" t="s">
        <v>182</v>
      </c>
      <c r="D18" s="198">
        <v>56600</v>
      </c>
      <c r="E18" s="198">
        <v>56600</v>
      </c>
      <c r="F18" s="198">
        <v>0</v>
      </c>
      <c r="G18" s="198">
        <v>0</v>
      </c>
      <c r="H18" s="198">
        <v>0</v>
      </c>
      <c r="I18" s="198">
        <v>0</v>
      </c>
      <c r="J18" s="198">
        <v>0</v>
      </c>
      <c r="K18" s="198">
        <v>0</v>
      </c>
      <c r="L18" s="147"/>
    </row>
    <row r="19" spans="2:12" hidden="1" outlineLevel="4" x14ac:dyDescent="0.25">
      <c r="B19" s="199" t="s">
        <v>181</v>
      </c>
      <c r="C19" s="200" t="s">
        <v>360</v>
      </c>
      <c r="D19" s="201">
        <v>56600</v>
      </c>
      <c r="E19" s="201">
        <v>56600</v>
      </c>
      <c r="F19" s="201"/>
      <c r="G19" s="201"/>
      <c r="H19" s="201"/>
      <c r="I19" s="201"/>
      <c r="J19" s="201"/>
      <c r="K19" s="201"/>
    </row>
    <row r="20" spans="2:12" hidden="1" outlineLevel="2" x14ac:dyDescent="0.25">
      <c r="B20" s="193" t="s">
        <v>183</v>
      </c>
      <c r="C20" s="194" t="s">
        <v>186</v>
      </c>
      <c r="D20" s="195">
        <v>7373</v>
      </c>
      <c r="E20" s="195">
        <v>7373</v>
      </c>
      <c r="F20" s="195">
        <v>0</v>
      </c>
      <c r="G20" s="195">
        <v>0</v>
      </c>
      <c r="H20" s="195">
        <v>0</v>
      </c>
      <c r="I20" s="195">
        <v>0</v>
      </c>
      <c r="J20" s="195">
        <v>0</v>
      </c>
      <c r="K20" s="195">
        <v>0</v>
      </c>
      <c r="L20" s="147"/>
    </row>
    <row r="21" spans="2:12" hidden="1" outlineLevel="3" x14ac:dyDescent="0.25">
      <c r="B21" s="196" t="s">
        <v>184</v>
      </c>
      <c r="C21" s="197" t="s">
        <v>186</v>
      </c>
      <c r="D21" s="198">
        <v>7373</v>
      </c>
      <c r="E21" s="198">
        <v>7373</v>
      </c>
      <c r="F21" s="198">
        <v>0</v>
      </c>
      <c r="G21" s="198">
        <v>0</v>
      </c>
      <c r="H21" s="198">
        <v>0</v>
      </c>
      <c r="I21" s="198">
        <v>0</v>
      </c>
      <c r="J21" s="198">
        <v>0</v>
      </c>
      <c r="K21" s="198">
        <v>0</v>
      </c>
      <c r="L21" s="147"/>
    </row>
    <row r="22" spans="2:12" hidden="1" outlineLevel="4" x14ac:dyDescent="0.25">
      <c r="B22" s="199" t="s">
        <v>185</v>
      </c>
      <c r="C22" s="200" t="s">
        <v>361</v>
      </c>
      <c r="D22" s="201">
        <v>7373</v>
      </c>
      <c r="E22" s="201">
        <v>7373</v>
      </c>
      <c r="F22" s="201"/>
      <c r="G22" s="201"/>
      <c r="H22" s="201"/>
      <c r="I22" s="201"/>
      <c r="J22" s="201"/>
      <c r="K22" s="201"/>
    </row>
    <row r="23" spans="2:12" outlineLevel="1" collapsed="1" x14ac:dyDescent="0.25">
      <c r="B23" s="179" t="s">
        <v>44</v>
      </c>
      <c r="C23" s="191" t="s">
        <v>14</v>
      </c>
      <c r="D23" s="192">
        <v>198532</v>
      </c>
      <c r="E23" s="192">
        <v>69782</v>
      </c>
      <c r="F23" s="192">
        <v>0</v>
      </c>
      <c r="G23" s="192">
        <v>128750</v>
      </c>
      <c r="H23" s="192">
        <v>0</v>
      </c>
      <c r="I23" s="192">
        <v>0</v>
      </c>
      <c r="J23" s="192">
        <v>0</v>
      </c>
      <c r="K23" s="192">
        <v>0</v>
      </c>
      <c r="L23" s="147"/>
    </row>
    <row r="24" spans="2:12" hidden="1" outlineLevel="2" x14ac:dyDescent="0.25">
      <c r="B24" s="193" t="s">
        <v>187</v>
      </c>
      <c r="C24" s="194" t="s">
        <v>227</v>
      </c>
      <c r="D24" s="195">
        <v>67800</v>
      </c>
      <c r="E24" s="195">
        <v>42050</v>
      </c>
      <c r="F24" s="195">
        <v>0</v>
      </c>
      <c r="G24" s="195">
        <v>25750</v>
      </c>
      <c r="H24" s="195">
        <v>0</v>
      </c>
      <c r="I24" s="195">
        <v>0</v>
      </c>
      <c r="J24" s="195">
        <v>0</v>
      </c>
      <c r="K24" s="195">
        <v>0</v>
      </c>
      <c r="L24" s="147"/>
    </row>
    <row r="25" spans="2:12" hidden="1" outlineLevel="3" x14ac:dyDescent="0.25">
      <c r="B25" s="196" t="s">
        <v>188</v>
      </c>
      <c r="C25" s="197" t="s">
        <v>190</v>
      </c>
      <c r="D25" s="198">
        <v>67800</v>
      </c>
      <c r="E25" s="198">
        <v>42050</v>
      </c>
      <c r="F25" s="198">
        <v>0</v>
      </c>
      <c r="G25" s="198">
        <v>25750</v>
      </c>
      <c r="H25" s="198">
        <v>0</v>
      </c>
      <c r="I25" s="198">
        <v>0</v>
      </c>
      <c r="J25" s="198">
        <v>0</v>
      </c>
      <c r="K25" s="198">
        <v>0</v>
      </c>
      <c r="L25" s="147"/>
    </row>
    <row r="26" spans="2:12" hidden="1" outlineLevel="4" x14ac:dyDescent="0.25">
      <c r="B26" s="199" t="s">
        <v>189</v>
      </c>
      <c r="C26" s="200" t="s">
        <v>363</v>
      </c>
      <c r="D26" s="201">
        <v>67800</v>
      </c>
      <c r="E26" s="201">
        <v>42050</v>
      </c>
      <c r="F26" s="201">
        <v>0</v>
      </c>
      <c r="G26" s="201">
        <v>25750</v>
      </c>
      <c r="H26" s="201"/>
      <c r="I26" s="201"/>
      <c r="J26" s="201"/>
      <c r="K26" s="201"/>
    </row>
    <row r="27" spans="2:12" hidden="1" outlineLevel="2" x14ac:dyDescent="0.25">
      <c r="B27" s="193" t="s">
        <v>191</v>
      </c>
      <c r="C27" s="194" t="s">
        <v>228</v>
      </c>
      <c r="D27" s="195">
        <v>130732</v>
      </c>
      <c r="E27" s="195">
        <v>27732</v>
      </c>
      <c r="F27" s="195">
        <v>0</v>
      </c>
      <c r="G27" s="195">
        <v>103000</v>
      </c>
      <c r="H27" s="195">
        <v>0</v>
      </c>
      <c r="I27" s="195">
        <v>0</v>
      </c>
      <c r="J27" s="195">
        <v>0</v>
      </c>
      <c r="K27" s="195">
        <v>0</v>
      </c>
      <c r="L27" s="147"/>
    </row>
    <row r="28" spans="2:12" hidden="1" outlineLevel="3" x14ac:dyDescent="0.25">
      <c r="B28" s="196" t="s">
        <v>192</v>
      </c>
      <c r="C28" s="197" t="s">
        <v>194</v>
      </c>
      <c r="D28" s="198">
        <v>130732</v>
      </c>
      <c r="E28" s="198">
        <v>27732</v>
      </c>
      <c r="F28" s="198">
        <v>0</v>
      </c>
      <c r="G28" s="198">
        <v>103000</v>
      </c>
      <c r="H28" s="198">
        <v>0</v>
      </c>
      <c r="I28" s="198">
        <v>0</v>
      </c>
      <c r="J28" s="198">
        <v>0</v>
      </c>
      <c r="K28" s="198">
        <v>0</v>
      </c>
      <c r="L28" s="147"/>
    </row>
    <row r="29" spans="2:12" hidden="1" outlineLevel="4" x14ac:dyDescent="0.25">
      <c r="B29" s="199" t="s">
        <v>193</v>
      </c>
      <c r="C29" s="200" t="s">
        <v>365</v>
      </c>
      <c r="D29" s="201">
        <v>130732</v>
      </c>
      <c r="E29" s="201">
        <v>27732</v>
      </c>
      <c r="F29" s="201">
        <v>0</v>
      </c>
      <c r="G29" s="201">
        <v>103000</v>
      </c>
      <c r="H29" s="201"/>
      <c r="I29" s="201"/>
      <c r="J29" s="201"/>
      <c r="K29" s="201"/>
    </row>
    <row r="30" spans="2:12" outlineLevel="1" collapsed="1" x14ac:dyDescent="0.25">
      <c r="B30" s="179" t="s">
        <v>45</v>
      </c>
      <c r="C30" s="191" t="s">
        <v>15</v>
      </c>
      <c r="D30" s="192">
        <v>2937833.35</v>
      </c>
      <c r="E30" s="192">
        <v>291820</v>
      </c>
      <c r="F30" s="192">
        <v>0</v>
      </c>
      <c r="G30" s="192">
        <v>2646013.35</v>
      </c>
      <c r="H30" s="192">
        <v>0</v>
      </c>
      <c r="I30" s="192">
        <v>0</v>
      </c>
      <c r="J30" s="192">
        <v>0</v>
      </c>
      <c r="K30" s="192">
        <v>0</v>
      </c>
      <c r="L30" s="147"/>
    </row>
    <row r="31" spans="2:12" hidden="1" outlineLevel="2" x14ac:dyDescent="0.25">
      <c r="B31" s="193" t="s">
        <v>195</v>
      </c>
      <c r="C31" s="194" t="s">
        <v>229</v>
      </c>
      <c r="D31" s="195">
        <v>2781209.49</v>
      </c>
      <c r="E31" s="195">
        <v>291820</v>
      </c>
      <c r="F31" s="195">
        <v>0</v>
      </c>
      <c r="G31" s="195">
        <v>2489389.4900000002</v>
      </c>
      <c r="H31" s="195">
        <v>0</v>
      </c>
      <c r="I31" s="195">
        <v>0</v>
      </c>
      <c r="J31" s="195">
        <v>0</v>
      </c>
      <c r="K31" s="195">
        <v>0</v>
      </c>
      <c r="L31" s="147"/>
    </row>
    <row r="32" spans="2:12" hidden="1" outlineLevel="3" x14ac:dyDescent="0.25">
      <c r="B32" s="196" t="s">
        <v>196</v>
      </c>
      <c r="C32" s="197" t="s">
        <v>198</v>
      </c>
      <c r="D32" s="198">
        <v>455787</v>
      </c>
      <c r="E32" s="198">
        <v>198287</v>
      </c>
      <c r="F32" s="198">
        <v>0</v>
      </c>
      <c r="G32" s="198">
        <v>257500</v>
      </c>
      <c r="H32" s="198">
        <v>0</v>
      </c>
      <c r="I32" s="198">
        <v>0</v>
      </c>
      <c r="J32" s="198">
        <v>0</v>
      </c>
      <c r="K32" s="198">
        <v>0</v>
      </c>
      <c r="L32" s="147"/>
    </row>
    <row r="33" spans="2:12" hidden="1" outlineLevel="4" x14ac:dyDescent="0.25">
      <c r="B33" s="199" t="s">
        <v>197</v>
      </c>
      <c r="C33" s="200" t="s">
        <v>366</v>
      </c>
      <c r="D33" s="201">
        <v>455787</v>
      </c>
      <c r="E33" s="201">
        <v>198287</v>
      </c>
      <c r="F33" s="201">
        <v>0</v>
      </c>
      <c r="G33" s="201">
        <v>257500</v>
      </c>
      <c r="H33" s="201"/>
      <c r="I33" s="201"/>
      <c r="J33" s="201"/>
      <c r="K33" s="201"/>
    </row>
    <row r="34" spans="2:12" hidden="1" outlineLevel="3" x14ac:dyDescent="0.25">
      <c r="B34" s="196" t="s">
        <v>199</v>
      </c>
      <c r="C34" s="197" t="s">
        <v>201</v>
      </c>
      <c r="D34" s="198">
        <v>2325422.4900000002</v>
      </c>
      <c r="E34" s="198">
        <v>93533</v>
      </c>
      <c r="F34" s="198">
        <v>0</v>
      </c>
      <c r="G34" s="198">
        <v>2231889.4900000002</v>
      </c>
      <c r="H34" s="198">
        <v>0</v>
      </c>
      <c r="I34" s="198">
        <v>0</v>
      </c>
      <c r="J34" s="198">
        <v>0</v>
      </c>
      <c r="K34" s="198">
        <v>0</v>
      </c>
      <c r="L34" s="147"/>
    </row>
    <row r="35" spans="2:12" hidden="1" outlineLevel="4" x14ac:dyDescent="0.25">
      <c r="B35" s="199" t="s">
        <v>200</v>
      </c>
      <c r="C35" s="200" t="s">
        <v>367</v>
      </c>
      <c r="D35" s="201">
        <v>2325422.4900000002</v>
      </c>
      <c r="E35" s="201">
        <v>93533</v>
      </c>
      <c r="F35" s="201">
        <v>0</v>
      </c>
      <c r="G35" s="201">
        <v>2231889.4900000002</v>
      </c>
      <c r="H35" s="201"/>
      <c r="I35" s="201"/>
      <c r="J35" s="201"/>
      <c r="K35" s="201"/>
    </row>
    <row r="36" spans="2:12" hidden="1" outlineLevel="2" x14ac:dyDescent="0.25">
      <c r="B36" s="193" t="s">
        <v>202</v>
      </c>
      <c r="C36" s="194" t="s">
        <v>230</v>
      </c>
      <c r="D36" s="195">
        <v>103000</v>
      </c>
      <c r="E36" s="195">
        <v>0</v>
      </c>
      <c r="F36" s="195">
        <v>0</v>
      </c>
      <c r="G36" s="195">
        <v>103000</v>
      </c>
      <c r="H36" s="195">
        <v>0</v>
      </c>
      <c r="I36" s="195">
        <v>0</v>
      </c>
      <c r="J36" s="195">
        <v>0</v>
      </c>
      <c r="K36" s="195">
        <v>0</v>
      </c>
      <c r="L36" s="147"/>
    </row>
    <row r="37" spans="2:12" hidden="1" outlineLevel="3" x14ac:dyDescent="0.25">
      <c r="B37" s="196" t="s">
        <v>232</v>
      </c>
      <c r="C37" s="197" t="s">
        <v>203</v>
      </c>
      <c r="D37" s="198">
        <v>103000</v>
      </c>
      <c r="E37" s="198">
        <v>0</v>
      </c>
      <c r="F37" s="198">
        <v>0</v>
      </c>
      <c r="G37" s="198">
        <v>103000</v>
      </c>
      <c r="H37" s="198">
        <v>0</v>
      </c>
      <c r="I37" s="198">
        <v>0</v>
      </c>
      <c r="J37" s="198">
        <v>0</v>
      </c>
      <c r="K37" s="198">
        <v>0</v>
      </c>
      <c r="L37" s="147"/>
    </row>
    <row r="38" spans="2:12" hidden="1" outlineLevel="4" x14ac:dyDescent="0.25">
      <c r="B38" s="199" t="s">
        <v>233</v>
      </c>
      <c r="C38" s="200" t="s">
        <v>368</v>
      </c>
      <c r="D38" s="201">
        <v>103000</v>
      </c>
      <c r="E38" s="201"/>
      <c r="F38" s="201">
        <v>0</v>
      </c>
      <c r="G38" s="201">
        <v>103000</v>
      </c>
      <c r="H38" s="201"/>
      <c r="I38" s="201"/>
      <c r="J38" s="201"/>
      <c r="K38" s="201"/>
    </row>
    <row r="39" spans="2:12" hidden="1" outlineLevel="2" x14ac:dyDescent="0.25">
      <c r="B39" s="193" t="s">
        <v>204</v>
      </c>
      <c r="C39" s="194" t="s">
        <v>231</v>
      </c>
      <c r="D39" s="195">
        <v>53623.86</v>
      </c>
      <c r="E39" s="195">
        <v>0</v>
      </c>
      <c r="F39" s="195">
        <v>0</v>
      </c>
      <c r="G39" s="195">
        <v>53623.86</v>
      </c>
      <c r="H39" s="195">
        <v>0</v>
      </c>
      <c r="I39" s="195">
        <v>0</v>
      </c>
      <c r="J39" s="195">
        <v>0</v>
      </c>
      <c r="K39" s="195">
        <v>0</v>
      </c>
      <c r="L39" s="147"/>
    </row>
    <row r="40" spans="2:12" hidden="1" outlineLevel="3" x14ac:dyDescent="0.25">
      <c r="B40" s="196" t="s">
        <v>205</v>
      </c>
      <c r="C40" s="197" t="s">
        <v>207</v>
      </c>
      <c r="D40" s="198">
        <v>53623.86</v>
      </c>
      <c r="E40" s="198">
        <v>0</v>
      </c>
      <c r="F40" s="198">
        <v>0</v>
      </c>
      <c r="G40" s="198">
        <v>53623.86</v>
      </c>
      <c r="H40" s="198">
        <v>0</v>
      </c>
      <c r="I40" s="198">
        <v>0</v>
      </c>
      <c r="J40" s="198">
        <v>0</v>
      </c>
      <c r="K40" s="198">
        <v>0</v>
      </c>
      <c r="L40" s="147"/>
    </row>
    <row r="41" spans="2:12" hidden="1" outlineLevel="4" x14ac:dyDescent="0.25">
      <c r="B41" s="199" t="s">
        <v>206</v>
      </c>
      <c r="C41" s="200" t="s">
        <v>369</v>
      </c>
      <c r="D41" s="201">
        <v>53623.86</v>
      </c>
      <c r="E41" s="201"/>
      <c r="F41" s="201">
        <v>0</v>
      </c>
      <c r="G41" s="201">
        <v>53623.86</v>
      </c>
      <c r="H41" s="201"/>
      <c r="I41" s="201"/>
      <c r="J41" s="201"/>
      <c r="K41" s="201"/>
    </row>
    <row r="42" spans="2:12" outlineLevel="1" collapsed="1" x14ac:dyDescent="0.25">
      <c r="B42" s="179" t="s">
        <v>46</v>
      </c>
      <c r="C42" s="191" t="s">
        <v>208</v>
      </c>
      <c r="D42" s="192">
        <v>1154050</v>
      </c>
      <c r="E42" s="192">
        <v>607700</v>
      </c>
      <c r="F42" s="192">
        <v>0</v>
      </c>
      <c r="G42" s="192">
        <v>0</v>
      </c>
      <c r="H42" s="192">
        <v>546350</v>
      </c>
      <c r="I42" s="192">
        <v>0</v>
      </c>
      <c r="J42" s="192">
        <v>0</v>
      </c>
      <c r="K42" s="192">
        <v>0</v>
      </c>
      <c r="L42" s="147"/>
    </row>
    <row r="43" spans="2:12" hidden="1" outlineLevel="2" x14ac:dyDescent="0.25">
      <c r="B43" s="193" t="s">
        <v>209</v>
      </c>
      <c r="C43" s="194" t="s">
        <v>234</v>
      </c>
      <c r="D43" s="195">
        <v>1154050</v>
      </c>
      <c r="E43" s="195">
        <v>607700</v>
      </c>
      <c r="F43" s="195">
        <v>0</v>
      </c>
      <c r="G43" s="195">
        <v>0</v>
      </c>
      <c r="H43" s="195">
        <v>546350</v>
      </c>
      <c r="I43" s="195">
        <v>0</v>
      </c>
      <c r="J43" s="195">
        <v>0</v>
      </c>
      <c r="K43" s="195">
        <v>0</v>
      </c>
      <c r="L43" s="147"/>
    </row>
    <row r="44" spans="2:12" hidden="1" outlineLevel="3" x14ac:dyDescent="0.25">
      <c r="B44" s="196" t="s">
        <v>238</v>
      </c>
      <c r="C44" s="197" t="s">
        <v>239</v>
      </c>
      <c r="D44" s="198">
        <v>1154050</v>
      </c>
      <c r="E44" s="198">
        <v>607700</v>
      </c>
      <c r="F44" s="198">
        <v>0</v>
      </c>
      <c r="G44" s="198">
        <v>0</v>
      </c>
      <c r="H44" s="198">
        <v>546350</v>
      </c>
      <c r="I44" s="198">
        <v>0</v>
      </c>
      <c r="J44" s="198">
        <v>0</v>
      </c>
      <c r="K44" s="198">
        <v>0</v>
      </c>
      <c r="L44" s="147"/>
    </row>
    <row r="45" spans="2:12" hidden="1" outlineLevel="4" x14ac:dyDescent="0.25">
      <c r="B45" s="199" t="s">
        <v>240</v>
      </c>
      <c r="C45" s="200" t="s">
        <v>371</v>
      </c>
      <c r="D45" s="201">
        <v>1154050</v>
      </c>
      <c r="E45" s="201">
        <v>607700</v>
      </c>
      <c r="F45" s="201"/>
      <c r="G45" s="201"/>
      <c r="H45" s="201">
        <v>546350</v>
      </c>
      <c r="I45" s="201"/>
      <c r="J45" s="201"/>
      <c r="K45" s="201"/>
    </row>
    <row r="46" spans="2:12" outlineLevel="1" collapsed="1" x14ac:dyDescent="0.25">
      <c r="B46" s="179" t="s">
        <v>47</v>
      </c>
      <c r="C46" s="191" t="s">
        <v>210</v>
      </c>
      <c r="D46" s="192">
        <v>14044</v>
      </c>
      <c r="E46" s="192">
        <v>14044</v>
      </c>
      <c r="F46" s="192">
        <v>0</v>
      </c>
      <c r="G46" s="192">
        <v>0</v>
      </c>
      <c r="H46" s="192">
        <v>0</v>
      </c>
      <c r="I46" s="192">
        <v>0</v>
      </c>
      <c r="J46" s="192">
        <v>0</v>
      </c>
      <c r="K46" s="192">
        <v>0</v>
      </c>
      <c r="L46" s="147"/>
    </row>
    <row r="47" spans="2:12" hidden="1" outlineLevel="2" x14ac:dyDescent="0.25">
      <c r="B47" s="193" t="s">
        <v>211</v>
      </c>
      <c r="C47" s="194" t="s">
        <v>235</v>
      </c>
      <c r="D47" s="195">
        <v>14044</v>
      </c>
      <c r="E47" s="195">
        <v>14044</v>
      </c>
      <c r="F47" s="195">
        <v>0</v>
      </c>
      <c r="G47" s="195">
        <v>0</v>
      </c>
      <c r="H47" s="195">
        <v>0</v>
      </c>
      <c r="I47" s="195">
        <v>0</v>
      </c>
      <c r="J47" s="195">
        <v>0</v>
      </c>
      <c r="K47" s="195">
        <v>0</v>
      </c>
      <c r="L47" s="147"/>
    </row>
    <row r="48" spans="2:12" hidden="1" outlineLevel="3" x14ac:dyDescent="0.25">
      <c r="B48" s="196" t="s">
        <v>242</v>
      </c>
      <c r="C48" s="197" t="s">
        <v>243</v>
      </c>
      <c r="D48" s="198">
        <v>14044</v>
      </c>
      <c r="E48" s="198">
        <v>14044</v>
      </c>
      <c r="F48" s="198">
        <v>0</v>
      </c>
      <c r="G48" s="198">
        <v>0</v>
      </c>
      <c r="H48" s="198">
        <v>0</v>
      </c>
      <c r="I48" s="198">
        <v>0</v>
      </c>
      <c r="J48" s="198">
        <v>0</v>
      </c>
      <c r="K48" s="198">
        <v>0</v>
      </c>
      <c r="L48" s="147"/>
    </row>
    <row r="49" spans="2:12" hidden="1" outlineLevel="4" x14ac:dyDescent="0.25">
      <c r="B49" s="199" t="s">
        <v>244</v>
      </c>
      <c r="C49" s="200" t="s">
        <v>372</v>
      </c>
      <c r="D49" s="201">
        <v>14044</v>
      </c>
      <c r="E49" s="201">
        <v>14044</v>
      </c>
      <c r="F49" s="201"/>
      <c r="G49" s="201"/>
      <c r="H49" s="201"/>
      <c r="I49" s="201"/>
      <c r="J49" s="201"/>
      <c r="K49" s="201"/>
    </row>
    <row r="50" spans="2:12" outlineLevel="1" collapsed="1" x14ac:dyDescent="0.25">
      <c r="B50" s="179" t="s">
        <v>49</v>
      </c>
      <c r="C50" s="191" t="s">
        <v>17</v>
      </c>
      <c r="D50" s="192">
        <v>1135145</v>
      </c>
      <c r="E50" s="192">
        <v>879705</v>
      </c>
      <c r="F50" s="192">
        <v>0</v>
      </c>
      <c r="G50" s="192">
        <v>255440</v>
      </c>
      <c r="H50" s="192">
        <v>0</v>
      </c>
      <c r="I50" s="192">
        <v>0</v>
      </c>
      <c r="J50" s="192">
        <v>0</v>
      </c>
      <c r="K50" s="192">
        <v>0</v>
      </c>
      <c r="L50" s="147"/>
    </row>
    <row r="51" spans="2:12" hidden="1" outlineLevel="2" x14ac:dyDescent="0.25">
      <c r="B51" s="193" t="s">
        <v>212</v>
      </c>
      <c r="C51" s="194" t="s">
        <v>236</v>
      </c>
      <c r="D51" s="195">
        <v>1023123</v>
      </c>
      <c r="E51" s="195">
        <v>767683</v>
      </c>
      <c r="F51" s="195">
        <v>0</v>
      </c>
      <c r="G51" s="195">
        <v>255440</v>
      </c>
      <c r="H51" s="195">
        <v>0</v>
      </c>
      <c r="I51" s="195">
        <v>0</v>
      </c>
      <c r="J51" s="195">
        <v>0</v>
      </c>
      <c r="K51" s="195">
        <v>0</v>
      </c>
      <c r="L51" s="147"/>
    </row>
    <row r="52" spans="2:12" hidden="1" outlineLevel="3" x14ac:dyDescent="0.25">
      <c r="B52" s="196" t="s">
        <v>213</v>
      </c>
      <c r="C52" s="197" t="s">
        <v>215</v>
      </c>
      <c r="D52" s="198">
        <v>826888</v>
      </c>
      <c r="E52" s="198">
        <v>571448</v>
      </c>
      <c r="F52" s="198">
        <v>0</v>
      </c>
      <c r="G52" s="198">
        <v>255440</v>
      </c>
      <c r="H52" s="198">
        <v>0</v>
      </c>
      <c r="I52" s="198">
        <v>0</v>
      </c>
      <c r="J52" s="198">
        <v>0</v>
      </c>
      <c r="K52" s="198">
        <v>0</v>
      </c>
      <c r="L52" s="147"/>
    </row>
    <row r="53" spans="2:12" hidden="1" outlineLevel="4" x14ac:dyDescent="0.25">
      <c r="B53" s="199" t="s">
        <v>214</v>
      </c>
      <c r="C53" s="200" t="s">
        <v>373</v>
      </c>
      <c r="D53" s="201">
        <v>826888</v>
      </c>
      <c r="E53" s="201">
        <v>571448</v>
      </c>
      <c r="F53" s="201">
        <v>0</v>
      </c>
      <c r="G53" s="201">
        <v>255440</v>
      </c>
      <c r="H53" s="201"/>
      <c r="I53" s="201"/>
      <c r="J53" s="201"/>
      <c r="K53" s="201"/>
    </row>
    <row r="54" spans="2:12" hidden="1" outlineLevel="3" x14ac:dyDescent="0.25">
      <c r="B54" s="196" t="s">
        <v>216</v>
      </c>
      <c r="C54" s="197" t="s">
        <v>218</v>
      </c>
      <c r="D54" s="198">
        <v>196235</v>
      </c>
      <c r="E54" s="198">
        <v>196235</v>
      </c>
      <c r="F54" s="198">
        <v>0</v>
      </c>
      <c r="G54" s="198">
        <v>0</v>
      </c>
      <c r="H54" s="198">
        <v>0</v>
      </c>
      <c r="I54" s="198">
        <v>0</v>
      </c>
      <c r="J54" s="198">
        <v>0</v>
      </c>
      <c r="K54" s="198">
        <v>0</v>
      </c>
      <c r="L54" s="147"/>
    </row>
    <row r="55" spans="2:12" hidden="1" outlineLevel="4" x14ac:dyDescent="0.25">
      <c r="B55" s="199" t="s">
        <v>217</v>
      </c>
      <c r="C55" s="200" t="s">
        <v>374</v>
      </c>
      <c r="D55" s="201">
        <v>196235</v>
      </c>
      <c r="E55" s="201">
        <v>196235</v>
      </c>
      <c r="F55" s="201"/>
      <c r="G55" s="201"/>
      <c r="H55" s="201"/>
      <c r="I55" s="201"/>
      <c r="J55" s="201"/>
      <c r="K55" s="201"/>
    </row>
    <row r="56" spans="2:12" hidden="1" outlineLevel="2" x14ac:dyDescent="0.25">
      <c r="B56" s="193" t="s">
        <v>219</v>
      </c>
      <c r="C56" s="194" t="s">
        <v>237</v>
      </c>
      <c r="D56" s="195">
        <v>112022</v>
      </c>
      <c r="E56" s="195">
        <v>112022</v>
      </c>
      <c r="F56" s="195">
        <v>0</v>
      </c>
      <c r="G56" s="195">
        <v>0</v>
      </c>
      <c r="H56" s="195">
        <v>0</v>
      </c>
      <c r="I56" s="195">
        <v>0</v>
      </c>
      <c r="J56" s="195">
        <v>0</v>
      </c>
      <c r="K56" s="195">
        <v>0</v>
      </c>
      <c r="L56" s="147"/>
    </row>
    <row r="57" spans="2:12" hidden="1" outlineLevel="3" x14ac:dyDescent="0.25">
      <c r="B57" s="196" t="s">
        <v>220</v>
      </c>
      <c r="C57" s="197" t="s">
        <v>222</v>
      </c>
      <c r="D57" s="198">
        <v>112022</v>
      </c>
      <c r="E57" s="198">
        <v>112022</v>
      </c>
      <c r="F57" s="198">
        <v>0</v>
      </c>
      <c r="G57" s="198">
        <v>0</v>
      </c>
      <c r="H57" s="198">
        <v>0</v>
      </c>
      <c r="I57" s="198">
        <v>0</v>
      </c>
      <c r="J57" s="198">
        <v>0</v>
      </c>
      <c r="K57" s="198">
        <v>0</v>
      </c>
      <c r="L57" s="147"/>
    </row>
    <row r="58" spans="2:12" hidden="1" outlineLevel="4" x14ac:dyDescent="0.25">
      <c r="B58" s="199" t="s">
        <v>221</v>
      </c>
      <c r="C58" s="200" t="s">
        <v>375</v>
      </c>
      <c r="D58" s="201">
        <v>112022</v>
      </c>
      <c r="E58" s="201">
        <v>112022</v>
      </c>
      <c r="F58" s="201"/>
      <c r="G58" s="201"/>
      <c r="H58" s="201"/>
      <c r="I58" s="201"/>
      <c r="J58" s="201"/>
      <c r="K58" s="201"/>
    </row>
    <row r="59" spans="2:12" outlineLevel="1" collapsed="1" x14ac:dyDescent="0.25">
      <c r="B59" s="179" t="s">
        <v>50</v>
      </c>
      <c r="C59" s="191" t="s">
        <v>18</v>
      </c>
      <c r="D59" s="192">
        <v>14138</v>
      </c>
      <c r="E59" s="192">
        <v>14138</v>
      </c>
      <c r="F59" s="192">
        <v>0</v>
      </c>
      <c r="G59" s="192">
        <v>0</v>
      </c>
      <c r="H59" s="192">
        <v>0</v>
      </c>
      <c r="I59" s="192">
        <v>0</v>
      </c>
      <c r="J59" s="192">
        <v>0</v>
      </c>
      <c r="K59" s="192">
        <v>0</v>
      </c>
      <c r="L59" s="147"/>
    </row>
    <row r="60" spans="2:12" hidden="1" outlineLevel="2" x14ac:dyDescent="0.25">
      <c r="B60" s="193" t="s">
        <v>241</v>
      </c>
      <c r="C60" s="194" t="s">
        <v>18</v>
      </c>
      <c r="D60" s="195">
        <v>14138</v>
      </c>
      <c r="E60" s="195">
        <v>14138</v>
      </c>
      <c r="F60" s="195">
        <v>0</v>
      </c>
      <c r="G60" s="195">
        <v>0</v>
      </c>
      <c r="H60" s="195">
        <v>0</v>
      </c>
      <c r="I60" s="195">
        <v>0</v>
      </c>
      <c r="J60" s="195">
        <v>0</v>
      </c>
      <c r="K60" s="195">
        <v>0</v>
      </c>
      <c r="L60" s="147"/>
    </row>
    <row r="61" spans="2:12" hidden="1" outlineLevel="3" x14ac:dyDescent="0.25">
      <c r="B61" s="196" t="s">
        <v>255</v>
      </c>
      <c r="C61" s="197" t="s">
        <v>18</v>
      </c>
      <c r="D61" s="198">
        <v>14138</v>
      </c>
      <c r="E61" s="198">
        <v>14138</v>
      </c>
      <c r="F61" s="198">
        <v>0</v>
      </c>
      <c r="G61" s="198">
        <v>0</v>
      </c>
      <c r="H61" s="198">
        <v>0</v>
      </c>
      <c r="I61" s="198">
        <v>0</v>
      </c>
      <c r="J61" s="198">
        <v>0</v>
      </c>
      <c r="K61" s="198">
        <v>0</v>
      </c>
      <c r="L61" s="147"/>
    </row>
    <row r="62" spans="2:12" hidden="1" outlineLevel="4" x14ac:dyDescent="0.25">
      <c r="B62" s="199" t="s">
        <v>266</v>
      </c>
      <c r="C62" s="200" t="s">
        <v>376</v>
      </c>
      <c r="D62" s="201">
        <v>14138</v>
      </c>
      <c r="E62" s="201">
        <v>14138</v>
      </c>
      <c r="F62" s="201"/>
      <c r="G62" s="201"/>
      <c r="H62" s="201"/>
      <c r="I62" s="201"/>
      <c r="J62" s="201"/>
      <c r="K62" s="201"/>
    </row>
    <row r="63" spans="2:12" outlineLevel="1" collapsed="1" x14ac:dyDescent="0.25">
      <c r="B63" s="179" t="s">
        <v>51</v>
      </c>
      <c r="C63" s="191" t="s">
        <v>19</v>
      </c>
      <c r="D63" s="192">
        <v>109879.06700000001</v>
      </c>
      <c r="E63" s="192">
        <v>38348</v>
      </c>
      <c r="F63" s="192">
        <v>0</v>
      </c>
      <c r="G63" s="192">
        <v>0</v>
      </c>
      <c r="H63" s="192">
        <v>0</v>
      </c>
      <c r="I63" s="192">
        <v>0</v>
      </c>
      <c r="J63" s="192">
        <v>0</v>
      </c>
      <c r="K63" s="192">
        <v>71531.06700000001</v>
      </c>
      <c r="L63" s="147"/>
    </row>
    <row r="64" spans="2:12" hidden="1" outlineLevel="2" x14ac:dyDescent="0.25">
      <c r="B64" s="193" t="s">
        <v>168</v>
      </c>
      <c r="C64" s="194" t="s">
        <v>272</v>
      </c>
      <c r="D64" s="195">
        <v>109879.06700000001</v>
      </c>
      <c r="E64" s="195">
        <v>38348</v>
      </c>
      <c r="F64" s="195">
        <v>0</v>
      </c>
      <c r="G64" s="195">
        <v>0</v>
      </c>
      <c r="H64" s="195">
        <v>0</v>
      </c>
      <c r="I64" s="195">
        <v>0</v>
      </c>
      <c r="J64" s="195">
        <v>0</v>
      </c>
      <c r="K64" s="195">
        <v>71531.06700000001</v>
      </c>
      <c r="L64" s="147"/>
    </row>
    <row r="65" spans="2:12" hidden="1" outlineLevel="3" x14ac:dyDescent="0.25">
      <c r="B65" s="196" t="s">
        <v>164</v>
      </c>
      <c r="C65" s="197" t="s">
        <v>272</v>
      </c>
      <c r="D65" s="198">
        <v>109879.06700000001</v>
      </c>
      <c r="E65" s="198">
        <v>38348</v>
      </c>
      <c r="F65" s="198">
        <v>0</v>
      </c>
      <c r="G65" s="198">
        <v>0</v>
      </c>
      <c r="H65" s="198">
        <v>0</v>
      </c>
      <c r="I65" s="198">
        <v>0</v>
      </c>
      <c r="J65" s="198">
        <v>0</v>
      </c>
      <c r="K65" s="198">
        <v>71531.06700000001</v>
      </c>
      <c r="L65" s="147"/>
    </row>
    <row r="66" spans="2:12" hidden="1" outlineLevel="4" x14ac:dyDescent="0.25">
      <c r="B66" s="199" t="s">
        <v>166</v>
      </c>
      <c r="C66" s="200" t="s">
        <v>377</v>
      </c>
      <c r="D66" s="201">
        <v>38348</v>
      </c>
      <c r="E66" s="201">
        <v>38348</v>
      </c>
      <c r="F66" s="201"/>
      <c r="G66" s="201"/>
      <c r="H66" s="201"/>
      <c r="I66" s="201"/>
      <c r="J66" s="201"/>
      <c r="K66" s="201"/>
    </row>
    <row r="67" spans="2:12" hidden="1" outlineLevel="4" x14ac:dyDescent="0.25">
      <c r="B67" s="199" t="s">
        <v>167</v>
      </c>
      <c r="C67" s="200" t="s">
        <v>378</v>
      </c>
      <c r="D67" s="201">
        <v>71531.06700000001</v>
      </c>
      <c r="E67" s="201"/>
      <c r="F67" s="201"/>
      <c r="G67" s="201"/>
      <c r="H67" s="201"/>
      <c r="I67" s="201"/>
      <c r="J67" s="201"/>
      <c r="K67" s="201">
        <v>71531.06700000001</v>
      </c>
    </row>
    <row r="68" spans="2:12" outlineLevel="1" collapsed="1" x14ac:dyDescent="0.25">
      <c r="B68" s="179" t="s">
        <v>57</v>
      </c>
      <c r="C68" s="191" t="s">
        <v>21</v>
      </c>
      <c r="D68" s="192">
        <v>2834786.2741359202</v>
      </c>
      <c r="E68" s="192">
        <v>1556507</v>
      </c>
      <c r="F68" s="192">
        <v>0</v>
      </c>
      <c r="G68" s="192">
        <v>0</v>
      </c>
      <c r="H68" s="192">
        <v>0</v>
      </c>
      <c r="I68" s="192">
        <v>0</v>
      </c>
      <c r="J68" s="192">
        <v>0</v>
      </c>
      <c r="K68" s="192">
        <v>1278279.27413592</v>
      </c>
      <c r="L68" s="147"/>
    </row>
    <row r="69" spans="2:12" hidden="1" outlineLevel="2" x14ac:dyDescent="0.25">
      <c r="B69" s="193" t="s">
        <v>245</v>
      </c>
      <c r="C69" s="194" t="s">
        <v>148</v>
      </c>
      <c r="D69" s="195">
        <v>280563.63339999999</v>
      </c>
      <c r="E69" s="195">
        <v>148454</v>
      </c>
      <c r="F69" s="195">
        <v>0</v>
      </c>
      <c r="G69" s="195">
        <v>0</v>
      </c>
      <c r="H69" s="195">
        <v>0</v>
      </c>
      <c r="I69" s="195">
        <v>0</v>
      </c>
      <c r="J69" s="195">
        <v>0</v>
      </c>
      <c r="K69" s="195">
        <v>132109.63339999999</v>
      </c>
      <c r="L69" s="147"/>
    </row>
    <row r="70" spans="2:12" hidden="1" outlineLevel="3" x14ac:dyDescent="0.25">
      <c r="B70" s="196" t="s">
        <v>256</v>
      </c>
      <c r="C70" s="197" t="s">
        <v>148</v>
      </c>
      <c r="D70" s="198">
        <v>280563.63339999999</v>
      </c>
      <c r="E70" s="198">
        <v>148454</v>
      </c>
      <c r="F70" s="198">
        <v>0</v>
      </c>
      <c r="G70" s="198">
        <v>0</v>
      </c>
      <c r="H70" s="198">
        <v>0</v>
      </c>
      <c r="I70" s="198">
        <v>0</v>
      </c>
      <c r="J70" s="198">
        <v>0</v>
      </c>
      <c r="K70" s="198">
        <v>132109.63339999999</v>
      </c>
      <c r="L70" s="147"/>
    </row>
    <row r="71" spans="2:12" hidden="1" outlineLevel="4" x14ac:dyDescent="0.25">
      <c r="B71" s="199" t="s">
        <v>138</v>
      </c>
      <c r="C71" s="200" t="s">
        <v>380</v>
      </c>
      <c r="D71" s="201">
        <v>280563.63339999999</v>
      </c>
      <c r="E71" s="201">
        <v>148454</v>
      </c>
      <c r="F71" s="201"/>
      <c r="G71" s="201"/>
      <c r="H71" s="201"/>
      <c r="I71" s="201"/>
      <c r="J71" s="201"/>
      <c r="K71" s="201">
        <v>132109.63339999999</v>
      </c>
    </row>
    <row r="72" spans="2:12" hidden="1" outlineLevel="2" x14ac:dyDescent="0.25">
      <c r="B72" s="193" t="s">
        <v>246</v>
      </c>
      <c r="C72" s="194" t="s">
        <v>149</v>
      </c>
      <c r="D72" s="195">
        <v>79097.10901</v>
      </c>
      <c r="E72" s="195">
        <v>5176</v>
      </c>
      <c r="F72" s="195">
        <v>0</v>
      </c>
      <c r="G72" s="195">
        <v>0</v>
      </c>
      <c r="H72" s="195">
        <v>0</v>
      </c>
      <c r="I72" s="195">
        <v>0</v>
      </c>
      <c r="J72" s="195">
        <v>0</v>
      </c>
      <c r="K72" s="195">
        <v>73921.10901</v>
      </c>
      <c r="L72" s="147"/>
    </row>
    <row r="73" spans="2:12" hidden="1" outlineLevel="3" x14ac:dyDescent="0.25">
      <c r="B73" s="196" t="s">
        <v>257</v>
      </c>
      <c r="C73" s="197" t="s">
        <v>149</v>
      </c>
      <c r="D73" s="198">
        <v>79097.10901</v>
      </c>
      <c r="E73" s="198">
        <v>5176</v>
      </c>
      <c r="F73" s="198">
        <v>0</v>
      </c>
      <c r="G73" s="198">
        <v>0</v>
      </c>
      <c r="H73" s="198">
        <v>0</v>
      </c>
      <c r="I73" s="198">
        <v>0</v>
      </c>
      <c r="J73" s="198">
        <v>0</v>
      </c>
      <c r="K73" s="198">
        <v>73921.10901</v>
      </c>
      <c r="L73" s="147"/>
    </row>
    <row r="74" spans="2:12" hidden="1" outlineLevel="4" x14ac:dyDescent="0.25">
      <c r="B74" s="199" t="s">
        <v>139</v>
      </c>
      <c r="C74" s="200" t="s">
        <v>382</v>
      </c>
      <c r="D74" s="201">
        <v>79097.10901</v>
      </c>
      <c r="E74" s="201">
        <v>5176</v>
      </c>
      <c r="F74" s="201"/>
      <c r="G74" s="201"/>
      <c r="H74" s="201"/>
      <c r="I74" s="201"/>
      <c r="J74" s="201"/>
      <c r="K74" s="201">
        <v>73921.10901</v>
      </c>
    </row>
    <row r="75" spans="2:12" hidden="1" outlineLevel="2" x14ac:dyDescent="0.25">
      <c r="B75" s="193" t="s">
        <v>247</v>
      </c>
      <c r="C75" s="194" t="s">
        <v>150</v>
      </c>
      <c r="D75" s="195">
        <v>851723.27</v>
      </c>
      <c r="E75" s="195">
        <v>617492</v>
      </c>
      <c r="F75" s="195">
        <v>0</v>
      </c>
      <c r="G75" s="195">
        <v>0</v>
      </c>
      <c r="H75" s="195">
        <v>0</v>
      </c>
      <c r="I75" s="195">
        <v>0</v>
      </c>
      <c r="J75" s="195">
        <v>0</v>
      </c>
      <c r="K75" s="195">
        <v>234231.26999999996</v>
      </c>
      <c r="L75" s="147"/>
    </row>
    <row r="76" spans="2:12" hidden="1" outlineLevel="3" x14ac:dyDescent="0.25">
      <c r="B76" s="196" t="s">
        <v>258</v>
      </c>
      <c r="C76" s="197" t="s">
        <v>150</v>
      </c>
      <c r="D76" s="198">
        <v>851723.27</v>
      </c>
      <c r="E76" s="198">
        <v>617492</v>
      </c>
      <c r="F76" s="198">
        <v>0</v>
      </c>
      <c r="G76" s="198">
        <v>0</v>
      </c>
      <c r="H76" s="198">
        <v>0</v>
      </c>
      <c r="I76" s="198">
        <v>0</v>
      </c>
      <c r="J76" s="198">
        <v>0</v>
      </c>
      <c r="K76" s="198">
        <v>234231.26999999996</v>
      </c>
      <c r="L76" s="147"/>
    </row>
    <row r="77" spans="2:12" hidden="1" outlineLevel="4" x14ac:dyDescent="0.25">
      <c r="B77" s="199" t="s">
        <v>140</v>
      </c>
      <c r="C77" s="200" t="s">
        <v>384</v>
      </c>
      <c r="D77" s="201">
        <v>851723.27</v>
      </c>
      <c r="E77" s="201">
        <v>617492</v>
      </c>
      <c r="F77" s="201"/>
      <c r="G77" s="201"/>
      <c r="H77" s="201"/>
      <c r="I77" s="201"/>
      <c r="J77" s="201"/>
      <c r="K77" s="201">
        <v>234231.26999999996</v>
      </c>
    </row>
    <row r="78" spans="2:12" hidden="1" outlineLevel="2" x14ac:dyDescent="0.25">
      <c r="B78" s="193" t="s">
        <v>248</v>
      </c>
      <c r="C78" s="194" t="s">
        <v>151</v>
      </c>
      <c r="D78" s="195">
        <v>694093.07248200011</v>
      </c>
      <c r="E78" s="195">
        <v>0</v>
      </c>
      <c r="F78" s="195">
        <v>0</v>
      </c>
      <c r="G78" s="195">
        <v>0</v>
      </c>
      <c r="H78" s="195">
        <v>0</v>
      </c>
      <c r="I78" s="195">
        <v>0</v>
      </c>
      <c r="J78" s="195">
        <v>0</v>
      </c>
      <c r="K78" s="195">
        <v>694093.07248200011</v>
      </c>
      <c r="L78" s="147"/>
    </row>
    <row r="79" spans="2:12" hidden="1" outlineLevel="3" x14ac:dyDescent="0.25">
      <c r="B79" s="196" t="s">
        <v>259</v>
      </c>
      <c r="C79" s="197" t="s">
        <v>151</v>
      </c>
      <c r="D79" s="198">
        <v>694093.07248200011</v>
      </c>
      <c r="E79" s="198">
        <v>0</v>
      </c>
      <c r="F79" s="198">
        <v>0</v>
      </c>
      <c r="G79" s="198">
        <v>0</v>
      </c>
      <c r="H79" s="198">
        <v>0</v>
      </c>
      <c r="I79" s="198">
        <v>0</v>
      </c>
      <c r="J79" s="198">
        <v>0</v>
      </c>
      <c r="K79" s="198">
        <v>694093.07248200011</v>
      </c>
      <c r="L79" s="147"/>
    </row>
    <row r="80" spans="2:12" hidden="1" outlineLevel="4" x14ac:dyDescent="0.25">
      <c r="B80" s="199" t="s">
        <v>141</v>
      </c>
      <c r="C80" s="200" t="s">
        <v>385</v>
      </c>
      <c r="D80" s="201">
        <v>694093.07248200011</v>
      </c>
      <c r="E80" s="201"/>
      <c r="F80" s="201"/>
      <c r="G80" s="201"/>
      <c r="H80" s="201"/>
      <c r="I80" s="201"/>
      <c r="J80" s="201"/>
      <c r="K80" s="201">
        <v>694093.07248200011</v>
      </c>
    </row>
    <row r="81" spans="2:12" hidden="1" outlineLevel="2" x14ac:dyDescent="0.25">
      <c r="B81" s="193" t="s">
        <v>249</v>
      </c>
      <c r="C81" s="194" t="s">
        <v>152</v>
      </c>
      <c r="D81" s="195">
        <v>72693.649743920003</v>
      </c>
      <c r="E81" s="195">
        <v>24626</v>
      </c>
      <c r="F81" s="195">
        <v>0</v>
      </c>
      <c r="G81" s="195">
        <v>0</v>
      </c>
      <c r="H81" s="195">
        <v>0</v>
      </c>
      <c r="I81" s="195">
        <v>0</v>
      </c>
      <c r="J81" s="195">
        <v>0</v>
      </c>
      <c r="K81" s="195">
        <v>48067.649743920003</v>
      </c>
      <c r="L81" s="147"/>
    </row>
    <row r="82" spans="2:12" hidden="1" outlineLevel="3" x14ac:dyDescent="0.25">
      <c r="B82" s="196" t="s">
        <v>260</v>
      </c>
      <c r="C82" s="197" t="s">
        <v>152</v>
      </c>
      <c r="D82" s="198">
        <v>72693.649743920003</v>
      </c>
      <c r="E82" s="198">
        <v>24626</v>
      </c>
      <c r="F82" s="198">
        <v>0</v>
      </c>
      <c r="G82" s="198">
        <v>0</v>
      </c>
      <c r="H82" s="198">
        <v>0</v>
      </c>
      <c r="I82" s="198">
        <v>0</v>
      </c>
      <c r="J82" s="198">
        <v>0</v>
      </c>
      <c r="K82" s="198">
        <v>48067.649743920003</v>
      </c>
      <c r="L82" s="147"/>
    </row>
    <row r="83" spans="2:12" hidden="1" outlineLevel="4" x14ac:dyDescent="0.25">
      <c r="B83" s="199" t="s">
        <v>142</v>
      </c>
      <c r="C83" s="200" t="s">
        <v>387</v>
      </c>
      <c r="D83" s="201">
        <v>72693.649743920003</v>
      </c>
      <c r="E83" s="201">
        <v>24626</v>
      </c>
      <c r="F83" s="201"/>
      <c r="G83" s="201"/>
      <c r="H83" s="201"/>
      <c r="I83" s="201"/>
      <c r="J83" s="201"/>
      <c r="K83" s="201">
        <v>48067.649743920003</v>
      </c>
    </row>
    <row r="84" spans="2:12" hidden="1" outlineLevel="2" x14ac:dyDescent="0.25">
      <c r="B84" s="193" t="s">
        <v>250</v>
      </c>
      <c r="C84" s="194" t="s">
        <v>153</v>
      </c>
      <c r="D84" s="195">
        <v>43708</v>
      </c>
      <c r="E84" s="195">
        <v>0</v>
      </c>
      <c r="F84" s="195">
        <v>0</v>
      </c>
      <c r="G84" s="195">
        <v>0</v>
      </c>
      <c r="H84" s="195">
        <v>0</v>
      </c>
      <c r="I84" s="195">
        <v>0</v>
      </c>
      <c r="J84" s="195">
        <v>0</v>
      </c>
      <c r="K84" s="195">
        <v>43708</v>
      </c>
      <c r="L84" s="147"/>
    </row>
    <row r="85" spans="2:12" hidden="1" outlineLevel="3" x14ac:dyDescent="0.25">
      <c r="B85" s="196" t="s">
        <v>261</v>
      </c>
      <c r="C85" s="197" t="s">
        <v>153</v>
      </c>
      <c r="D85" s="198">
        <v>43708</v>
      </c>
      <c r="E85" s="198">
        <v>0</v>
      </c>
      <c r="F85" s="198">
        <v>0</v>
      </c>
      <c r="G85" s="198">
        <v>0</v>
      </c>
      <c r="H85" s="198">
        <v>0</v>
      </c>
      <c r="I85" s="198">
        <v>0</v>
      </c>
      <c r="J85" s="198">
        <v>0</v>
      </c>
      <c r="K85" s="198">
        <v>43708</v>
      </c>
      <c r="L85" s="147"/>
    </row>
    <row r="86" spans="2:12" hidden="1" outlineLevel="4" x14ac:dyDescent="0.25">
      <c r="B86" s="199" t="s">
        <v>143</v>
      </c>
      <c r="C86" s="200" t="s">
        <v>388</v>
      </c>
      <c r="D86" s="201">
        <v>43708</v>
      </c>
      <c r="E86" s="201"/>
      <c r="F86" s="201"/>
      <c r="G86" s="201"/>
      <c r="H86" s="201"/>
      <c r="I86" s="201"/>
      <c r="J86" s="201"/>
      <c r="K86" s="201">
        <v>43708</v>
      </c>
    </row>
    <row r="87" spans="2:12" hidden="1" outlineLevel="2" x14ac:dyDescent="0.25">
      <c r="B87" s="193" t="s">
        <v>251</v>
      </c>
      <c r="C87" s="194" t="s">
        <v>154</v>
      </c>
      <c r="D87" s="195">
        <v>76177</v>
      </c>
      <c r="E87" s="195">
        <v>76177</v>
      </c>
      <c r="F87" s="195">
        <v>0</v>
      </c>
      <c r="G87" s="195">
        <v>0</v>
      </c>
      <c r="H87" s="195">
        <v>0</v>
      </c>
      <c r="I87" s="195">
        <v>0</v>
      </c>
      <c r="J87" s="195">
        <v>0</v>
      </c>
      <c r="K87" s="195">
        <v>0</v>
      </c>
      <c r="L87" s="147"/>
    </row>
    <row r="88" spans="2:12" hidden="1" outlineLevel="3" x14ac:dyDescent="0.25">
      <c r="B88" s="196" t="s">
        <v>262</v>
      </c>
      <c r="C88" s="197" t="s">
        <v>154</v>
      </c>
      <c r="D88" s="198">
        <v>76177</v>
      </c>
      <c r="E88" s="198">
        <v>76177</v>
      </c>
      <c r="F88" s="198">
        <v>0</v>
      </c>
      <c r="G88" s="198">
        <v>0</v>
      </c>
      <c r="H88" s="198">
        <v>0</v>
      </c>
      <c r="I88" s="198">
        <v>0</v>
      </c>
      <c r="J88" s="198">
        <v>0</v>
      </c>
      <c r="K88" s="198">
        <v>0</v>
      </c>
      <c r="L88" s="147"/>
    </row>
    <row r="89" spans="2:12" hidden="1" outlineLevel="4" x14ac:dyDescent="0.25">
      <c r="B89" s="199" t="s">
        <v>144</v>
      </c>
      <c r="C89" s="200" t="s">
        <v>389</v>
      </c>
      <c r="D89" s="201">
        <v>76177</v>
      </c>
      <c r="E89" s="201">
        <v>76177</v>
      </c>
      <c r="F89" s="201"/>
      <c r="G89" s="201"/>
      <c r="H89" s="201"/>
      <c r="I89" s="201"/>
      <c r="J89" s="201"/>
      <c r="K89" s="201"/>
    </row>
    <row r="90" spans="2:12" hidden="1" outlineLevel="2" x14ac:dyDescent="0.25">
      <c r="B90" s="193" t="s">
        <v>252</v>
      </c>
      <c r="C90" s="194" t="s">
        <v>155</v>
      </c>
      <c r="D90" s="195">
        <v>53417.539499999999</v>
      </c>
      <c r="E90" s="195">
        <v>1269</v>
      </c>
      <c r="F90" s="195">
        <v>0</v>
      </c>
      <c r="G90" s="195">
        <v>0</v>
      </c>
      <c r="H90" s="195">
        <v>0</v>
      </c>
      <c r="I90" s="195">
        <v>0</v>
      </c>
      <c r="J90" s="195">
        <v>0</v>
      </c>
      <c r="K90" s="195">
        <v>52148.539499999999</v>
      </c>
      <c r="L90" s="147"/>
    </row>
    <row r="91" spans="2:12" hidden="1" outlineLevel="3" x14ac:dyDescent="0.25">
      <c r="B91" s="196" t="s">
        <v>263</v>
      </c>
      <c r="C91" s="197" t="s">
        <v>155</v>
      </c>
      <c r="D91" s="198">
        <v>53417.539499999999</v>
      </c>
      <c r="E91" s="198">
        <v>1269</v>
      </c>
      <c r="F91" s="198">
        <v>0</v>
      </c>
      <c r="G91" s="198">
        <v>0</v>
      </c>
      <c r="H91" s="198">
        <v>0</v>
      </c>
      <c r="I91" s="198">
        <v>0</v>
      </c>
      <c r="J91" s="198">
        <v>0</v>
      </c>
      <c r="K91" s="198">
        <v>52148.539499999999</v>
      </c>
      <c r="L91" s="147"/>
    </row>
    <row r="92" spans="2:12" hidden="1" outlineLevel="4" x14ac:dyDescent="0.25">
      <c r="B92" s="199" t="s">
        <v>145</v>
      </c>
      <c r="C92" s="200" t="s">
        <v>391</v>
      </c>
      <c r="D92" s="201">
        <v>53417.539499999999</v>
      </c>
      <c r="E92" s="201">
        <v>1269</v>
      </c>
      <c r="F92" s="201"/>
      <c r="G92" s="201"/>
      <c r="H92" s="201"/>
      <c r="I92" s="201"/>
      <c r="J92" s="201"/>
      <c r="K92" s="201">
        <v>52148.539499999999</v>
      </c>
    </row>
    <row r="93" spans="2:12" hidden="1" outlineLevel="2" x14ac:dyDescent="0.25">
      <c r="B93" s="193" t="s">
        <v>253</v>
      </c>
      <c r="C93" s="194" t="s">
        <v>156</v>
      </c>
      <c r="D93" s="195">
        <v>683313</v>
      </c>
      <c r="E93" s="195">
        <v>683313</v>
      </c>
      <c r="F93" s="195">
        <v>0</v>
      </c>
      <c r="G93" s="195">
        <v>0</v>
      </c>
      <c r="H93" s="195">
        <v>0</v>
      </c>
      <c r="I93" s="195">
        <v>0</v>
      </c>
      <c r="J93" s="195">
        <v>0</v>
      </c>
      <c r="K93" s="195">
        <v>0</v>
      </c>
      <c r="L93" s="147"/>
    </row>
    <row r="94" spans="2:12" hidden="1" outlineLevel="3" x14ac:dyDescent="0.25">
      <c r="B94" s="196" t="s">
        <v>264</v>
      </c>
      <c r="C94" s="197" t="s">
        <v>156</v>
      </c>
      <c r="D94" s="198">
        <v>683313</v>
      </c>
      <c r="E94" s="198">
        <v>683313</v>
      </c>
      <c r="F94" s="198">
        <v>0</v>
      </c>
      <c r="G94" s="198">
        <v>0</v>
      </c>
      <c r="H94" s="198">
        <v>0</v>
      </c>
      <c r="I94" s="198">
        <v>0</v>
      </c>
      <c r="J94" s="198">
        <v>0</v>
      </c>
      <c r="K94" s="198">
        <v>0</v>
      </c>
      <c r="L94" s="147"/>
    </row>
    <row r="95" spans="2:12" hidden="1" outlineLevel="4" x14ac:dyDescent="0.25">
      <c r="B95" s="199" t="s">
        <v>146</v>
      </c>
      <c r="C95" s="200" t="s">
        <v>392</v>
      </c>
      <c r="D95" s="201">
        <v>683313</v>
      </c>
      <c r="E95" s="201">
        <v>683313</v>
      </c>
      <c r="F95" s="201"/>
      <c r="G95" s="201"/>
      <c r="H95" s="201"/>
      <c r="I95" s="201"/>
      <c r="J95" s="201"/>
      <c r="K95" s="201"/>
    </row>
    <row r="96" spans="2:12" ht="15.75" outlineLevel="1" collapsed="1" thickBot="1" x14ac:dyDescent="0.3">
      <c r="B96" s="179" t="s">
        <v>58</v>
      </c>
      <c r="C96" s="191" t="s">
        <v>22</v>
      </c>
      <c r="D96" s="192">
        <v>430208.05670879851</v>
      </c>
      <c r="E96" s="192">
        <v>271200</v>
      </c>
      <c r="F96" s="192">
        <v>0</v>
      </c>
      <c r="G96" s="192">
        <v>0</v>
      </c>
      <c r="H96" s="192">
        <v>0</v>
      </c>
      <c r="I96" s="192">
        <v>0</v>
      </c>
      <c r="J96" s="192">
        <v>0</v>
      </c>
      <c r="K96" s="192">
        <v>159008.05670879851</v>
      </c>
      <c r="L96" s="147"/>
    </row>
    <row r="97" spans="2:12" ht="15.75" hidden="1" outlineLevel="2" thickBot="1" x14ac:dyDescent="0.3">
      <c r="B97" s="193" t="s">
        <v>254</v>
      </c>
      <c r="C97" s="194" t="s">
        <v>22</v>
      </c>
      <c r="D97" s="195">
        <v>430208.05670879851</v>
      </c>
      <c r="E97" s="195">
        <v>271200</v>
      </c>
      <c r="F97" s="195">
        <v>0</v>
      </c>
      <c r="G97" s="195">
        <v>0</v>
      </c>
      <c r="H97" s="195">
        <v>0</v>
      </c>
      <c r="I97" s="195">
        <v>0</v>
      </c>
      <c r="J97" s="195">
        <v>0</v>
      </c>
      <c r="K97" s="195">
        <v>159008.05670879851</v>
      </c>
      <c r="L97" s="147"/>
    </row>
    <row r="98" spans="2:12" ht="15.75" hidden="1" outlineLevel="3" thickBot="1" x14ac:dyDescent="0.3">
      <c r="B98" s="196" t="s">
        <v>265</v>
      </c>
      <c r="C98" s="197" t="s">
        <v>22</v>
      </c>
      <c r="D98" s="198">
        <v>430208.05670879851</v>
      </c>
      <c r="E98" s="198">
        <v>271200</v>
      </c>
      <c r="F98" s="198">
        <v>0</v>
      </c>
      <c r="G98" s="198">
        <v>0</v>
      </c>
      <c r="H98" s="198">
        <v>0</v>
      </c>
      <c r="I98" s="198">
        <v>0</v>
      </c>
      <c r="J98" s="198">
        <v>0</v>
      </c>
      <c r="K98" s="198">
        <v>159008.05670879851</v>
      </c>
      <c r="L98" s="147"/>
    </row>
    <row r="99" spans="2:12" ht="15.75" hidden="1" outlineLevel="4" thickBot="1" x14ac:dyDescent="0.3">
      <c r="B99" s="199" t="s">
        <v>267</v>
      </c>
      <c r="C99" s="200" t="s">
        <v>22</v>
      </c>
      <c r="D99" s="201">
        <v>430208.05670879851</v>
      </c>
      <c r="E99" s="201">
        <v>271200</v>
      </c>
      <c r="F99" s="201"/>
      <c r="G99" s="201"/>
      <c r="H99" s="201"/>
      <c r="I99" s="201"/>
      <c r="J99" s="201"/>
      <c r="K99" s="201">
        <v>159008.05670879851</v>
      </c>
    </row>
    <row r="100" spans="2:12" s="91" customFormat="1" x14ac:dyDescent="0.25">
      <c r="B100" s="160" t="s">
        <v>61</v>
      </c>
      <c r="C100" s="161"/>
      <c r="D100" s="162">
        <v>8913709.7478447184</v>
      </c>
      <c r="E100" s="162">
        <v>3828338</v>
      </c>
      <c r="F100" s="162">
        <v>0</v>
      </c>
      <c r="G100" s="162">
        <v>3030203.35</v>
      </c>
      <c r="H100" s="162">
        <v>546350</v>
      </c>
      <c r="I100" s="162">
        <v>0</v>
      </c>
      <c r="J100" s="162">
        <v>0</v>
      </c>
      <c r="K100" s="162">
        <v>1508818.3978447185</v>
      </c>
    </row>
  </sheetData>
  <sheetProtection sheet="1" objects="1" scenarios="1"/>
  <hyperlinks>
    <hyperlink ref="K1" location="'Table of contents'!A1" display="Return to TOC" xr:uid="{00000000-0004-0000-06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chedule">
    <tabColor theme="5" tint="-0.249977111117893"/>
    <pageSetUpPr fitToPage="1"/>
  </sheetPr>
  <dimension ref="B1:G100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8.85546875" defaultRowHeight="15" outlineLevelRow="4" x14ac:dyDescent="0.25"/>
  <cols>
    <col min="1" max="1" width="4.7109375" style="5" customWidth="1"/>
    <col min="2" max="2" width="18.7109375" style="5" customWidth="1"/>
    <col min="3" max="3" width="60.7109375" style="6" customWidth="1"/>
    <col min="4" max="6" width="12.7109375" style="154" customWidth="1"/>
    <col min="7" max="7" width="4.7109375" style="5" customWidth="1"/>
    <col min="8" max="16384" width="8.85546875" style="5"/>
  </cols>
  <sheetData>
    <row r="1" spans="2:7" x14ac:dyDescent="0.25">
      <c r="B1" s="174"/>
      <c r="G1" s="70" t="s">
        <v>66</v>
      </c>
    </row>
    <row r="2" spans="2:7" s="79" customFormat="1" ht="36" customHeight="1" thickBot="1" x14ac:dyDescent="0.3">
      <c r="B2" s="189" t="s">
        <v>63</v>
      </c>
      <c r="C2" s="156" t="s">
        <v>3</v>
      </c>
      <c r="D2" s="157" t="s">
        <v>64</v>
      </c>
      <c r="E2" s="157" t="s">
        <v>76</v>
      </c>
      <c r="F2" s="188" t="s">
        <v>396</v>
      </c>
    </row>
    <row r="3" spans="2:7" x14ac:dyDescent="0.25">
      <c r="B3" s="233" t="s">
        <v>336</v>
      </c>
      <c r="C3" s="234"/>
      <c r="D3" s="236">
        <v>8913709.7478447184</v>
      </c>
      <c r="E3" s="236">
        <v>3828338</v>
      </c>
      <c r="F3" s="236">
        <v>5085371.7478447193</v>
      </c>
    </row>
    <row r="4" spans="2:7" x14ac:dyDescent="0.25">
      <c r="B4" s="211" t="s">
        <v>345</v>
      </c>
      <c r="C4" s="212"/>
      <c r="D4" s="214">
        <v>8913709.7478447184</v>
      </c>
      <c r="E4" s="214">
        <v>3828338</v>
      </c>
      <c r="F4" s="214">
        <v>5085371.7478447193</v>
      </c>
    </row>
    <row r="5" spans="2:7" outlineLevel="1" x14ac:dyDescent="0.25">
      <c r="B5" s="179" t="s">
        <v>41</v>
      </c>
      <c r="C5" s="191" t="s">
        <v>12</v>
      </c>
      <c r="D5" s="178">
        <v>3072</v>
      </c>
      <c r="E5" s="178">
        <v>3072</v>
      </c>
      <c r="F5" s="178">
        <v>0</v>
      </c>
    </row>
    <row r="6" spans="2:7" hidden="1" outlineLevel="2" x14ac:dyDescent="0.25">
      <c r="B6" s="181" t="s">
        <v>223</v>
      </c>
      <c r="C6" s="194" t="s">
        <v>224</v>
      </c>
      <c r="D6" s="182">
        <v>3072</v>
      </c>
      <c r="E6" s="182">
        <v>3072</v>
      </c>
      <c r="F6" s="180">
        <v>0</v>
      </c>
    </row>
    <row r="7" spans="2:7" hidden="1" outlineLevel="3" x14ac:dyDescent="0.25">
      <c r="B7" s="181" t="s">
        <v>225</v>
      </c>
      <c r="C7" s="197" t="s">
        <v>224</v>
      </c>
      <c r="D7" s="184">
        <v>3072</v>
      </c>
      <c r="E7" s="184">
        <v>3072</v>
      </c>
      <c r="F7" s="183">
        <v>0</v>
      </c>
    </row>
    <row r="8" spans="2:7" hidden="1" outlineLevel="4" x14ac:dyDescent="0.25">
      <c r="B8" s="186" t="s">
        <v>226</v>
      </c>
      <c r="C8" s="241"/>
      <c r="D8" s="187">
        <v>3072</v>
      </c>
      <c r="E8" s="187">
        <v>3072</v>
      </c>
      <c r="F8" s="185"/>
    </row>
    <row r="9" spans="2:7" outlineLevel="1" collapsed="1" x14ac:dyDescent="0.25">
      <c r="B9" s="179" t="s">
        <v>42</v>
      </c>
      <c r="C9" s="191" t="s">
        <v>13</v>
      </c>
      <c r="D9" s="178">
        <v>18049</v>
      </c>
      <c r="E9" s="178">
        <v>18049</v>
      </c>
      <c r="F9" s="178">
        <v>0</v>
      </c>
    </row>
    <row r="10" spans="2:7" hidden="1" outlineLevel="2" x14ac:dyDescent="0.25">
      <c r="B10" s="181" t="s">
        <v>170</v>
      </c>
      <c r="C10" s="194" t="s">
        <v>173</v>
      </c>
      <c r="D10" s="182">
        <v>16855</v>
      </c>
      <c r="E10" s="182">
        <v>16855</v>
      </c>
      <c r="F10" s="180">
        <v>0</v>
      </c>
    </row>
    <row r="11" spans="2:7" hidden="1" outlineLevel="3" x14ac:dyDescent="0.25">
      <c r="B11" s="181" t="s">
        <v>171</v>
      </c>
      <c r="C11" s="197" t="s">
        <v>173</v>
      </c>
      <c r="D11" s="184">
        <v>16855</v>
      </c>
      <c r="E11" s="184">
        <v>16855</v>
      </c>
      <c r="F11" s="183">
        <v>0</v>
      </c>
    </row>
    <row r="12" spans="2:7" hidden="1" outlineLevel="4" x14ac:dyDescent="0.25">
      <c r="B12" s="186" t="s">
        <v>172</v>
      </c>
      <c r="C12" s="241"/>
      <c r="D12" s="187">
        <v>16855</v>
      </c>
      <c r="E12" s="187">
        <v>16855</v>
      </c>
      <c r="F12" s="185"/>
    </row>
    <row r="13" spans="2:7" hidden="1" outlineLevel="2" x14ac:dyDescent="0.25">
      <c r="B13" s="181" t="s">
        <v>174</v>
      </c>
      <c r="C13" s="194" t="s">
        <v>177</v>
      </c>
      <c r="D13" s="182">
        <v>1194</v>
      </c>
      <c r="E13" s="182">
        <v>1194</v>
      </c>
      <c r="F13" s="180">
        <v>0</v>
      </c>
    </row>
    <row r="14" spans="2:7" hidden="1" outlineLevel="3" x14ac:dyDescent="0.25">
      <c r="B14" s="181" t="s">
        <v>175</v>
      </c>
      <c r="C14" s="197" t="s">
        <v>177</v>
      </c>
      <c r="D14" s="184">
        <v>1194</v>
      </c>
      <c r="E14" s="184">
        <v>1194</v>
      </c>
      <c r="F14" s="183">
        <v>0</v>
      </c>
    </row>
    <row r="15" spans="2:7" hidden="1" outlineLevel="4" x14ac:dyDescent="0.25">
      <c r="B15" s="186" t="s">
        <v>176</v>
      </c>
      <c r="C15" s="241"/>
      <c r="D15" s="187">
        <v>1194</v>
      </c>
      <c r="E15" s="187">
        <v>1194</v>
      </c>
      <c r="F15" s="185"/>
    </row>
    <row r="16" spans="2:7" outlineLevel="1" collapsed="1" x14ac:dyDescent="0.25">
      <c r="B16" s="179" t="s">
        <v>43</v>
      </c>
      <c r="C16" s="191" t="s">
        <v>178</v>
      </c>
      <c r="D16" s="178">
        <v>63973</v>
      </c>
      <c r="E16" s="178">
        <v>63973</v>
      </c>
      <c r="F16" s="178">
        <v>0</v>
      </c>
    </row>
    <row r="17" spans="2:6" hidden="1" outlineLevel="2" x14ac:dyDescent="0.25">
      <c r="B17" s="181" t="s">
        <v>179</v>
      </c>
      <c r="C17" s="194" t="s">
        <v>182</v>
      </c>
      <c r="D17" s="182">
        <v>56600</v>
      </c>
      <c r="E17" s="182">
        <v>56600</v>
      </c>
      <c r="F17" s="180">
        <v>0</v>
      </c>
    </row>
    <row r="18" spans="2:6" hidden="1" outlineLevel="3" x14ac:dyDescent="0.25">
      <c r="B18" s="181" t="s">
        <v>180</v>
      </c>
      <c r="C18" s="197" t="s">
        <v>182</v>
      </c>
      <c r="D18" s="184">
        <v>56600</v>
      </c>
      <c r="E18" s="184">
        <v>56600</v>
      </c>
      <c r="F18" s="183">
        <v>0</v>
      </c>
    </row>
    <row r="19" spans="2:6" hidden="1" outlineLevel="4" x14ac:dyDescent="0.25">
      <c r="B19" s="186" t="s">
        <v>181</v>
      </c>
      <c r="C19" s="241"/>
      <c r="D19" s="187">
        <v>56600</v>
      </c>
      <c r="E19" s="187">
        <v>56600</v>
      </c>
      <c r="F19" s="185"/>
    </row>
    <row r="20" spans="2:6" hidden="1" outlineLevel="2" x14ac:dyDescent="0.25">
      <c r="B20" s="181" t="s">
        <v>183</v>
      </c>
      <c r="C20" s="194" t="s">
        <v>186</v>
      </c>
      <c r="D20" s="182">
        <v>7373</v>
      </c>
      <c r="E20" s="182">
        <v>7373</v>
      </c>
      <c r="F20" s="180">
        <v>0</v>
      </c>
    </row>
    <row r="21" spans="2:6" hidden="1" outlineLevel="3" x14ac:dyDescent="0.25">
      <c r="B21" s="181" t="s">
        <v>184</v>
      </c>
      <c r="C21" s="197" t="s">
        <v>186</v>
      </c>
      <c r="D21" s="184">
        <v>7373</v>
      </c>
      <c r="E21" s="184">
        <v>7373</v>
      </c>
      <c r="F21" s="183">
        <v>0</v>
      </c>
    </row>
    <row r="22" spans="2:6" hidden="1" outlineLevel="4" x14ac:dyDescent="0.25">
      <c r="B22" s="186" t="s">
        <v>185</v>
      </c>
      <c r="C22" s="241"/>
      <c r="D22" s="187">
        <v>7373</v>
      </c>
      <c r="E22" s="187">
        <v>7373</v>
      </c>
      <c r="F22" s="185"/>
    </row>
    <row r="23" spans="2:6" outlineLevel="1" collapsed="1" x14ac:dyDescent="0.25">
      <c r="B23" s="179" t="s">
        <v>44</v>
      </c>
      <c r="C23" s="191" t="s">
        <v>14</v>
      </c>
      <c r="D23" s="178">
        <v>198532</v>
      </c>
      <c r="E23" s="178">
        <v>69782</v>
      </c>
      <c r="F23" s="178">
        <v>128750</v>
      </c>
    </row>
    <row r="24" spans="2:6" hidden="1" outlineLevel="2" x14ac:dyDescent="0.25">
      <c r="B24" s="181" t="s">
        <v>187</v>
      </c>
      <c r="C24" s="194" t="s">
        <v>227</v>
      </c>
      <c r="D24" s="182">
        <v>67800</v>
      </c>
      <c r="E24" s="182">
        <v>42050</v>
      </c>
      <c r="F24" s="180">
        <v>25750</v>
      </c>
    </row>
    <row r="25" spans="2:6" hidden="1" outlineLevel="3" x14ac:dyDescent="0.25">
      <c r="B25" s="181" t="s">
        <v>188</v>
      </c>
      <c r="C25" s="197" t="s">
        <v>190</v>
      </c>
      <c r="D25" s="184">
        <v>67800</v>
      </c>
      <c r="E25" s="184">
        <v>42050</v>
      </c>
      <c r="F25" s="183">
        <v>25750</v>
      </c>
    </row>
    <row r="26" spans="2:6" hidden="1" outlineLevel="4" x14ac:dyDescent="0.25">
      <c r="B26" s="186" t="s">
        <v>189</v>
      </c>
      <c r="C26" s="241"/>
      <c r="D26" s="187">
        <v>67800</v>
      </c>
      <c r="E26" s="187">
        <v>42050</v>
      </c>
      <c r="F26" s="185">
        <v>25750</v>
      </c>
    </row>
    <row r="27" spans="2:6" hidden="1" outlineLevel="2" x14ac:dyDescent="0.25">
      <c r="B27" s="181" t="s">
        <v>191</v>
      </c>
      <c r="C27" s="194" t="s">
        <v>228</v>
      </c>
      <c r="D27" s="182">
        <v>130732</v>
      </c>
      <c r="E27" s="182">
        <v>27732</v>
      </c>
      <c r="F27" s="180">
        <v>103000</v>
      </c>
    </row>
    <row r="28" spans="2:6" hidden="1" outlineLevel="3" x14ac:dyDescent="0.25">
      <c r="B28" s="181" t="s">
        <v>192</v>
      </c>
      <c r="C28" s="197" t="s">
        <v>194</v>
      </c>
      <c r="D28" s="184">
        <v>130732</v>
      </c>
      <c r="E28" s="184">
        <v>27732</v>
      </c>
      <c r="F28" s="183">
        <v>103000</v>
      </c>
    </row>
    <row r="29" spans="2:6" hidden="1" outlineLevel="4" x14ac:dyDescent="0.25">
      <c r="B29" s="186" t="s">
        <v>193</v>
      </c>
      <c r="C29" s="241"/>
      <c r="D29" s="187">
        <v>130732</v>
      </c>
      <c r="E29" s="187">
        <v>27732</v>
      </c>
      <c r="F29" s="185">
        <v>103000</v>
      </c>
    </row>
    <row r="30" spans="2:6" outlineLevel="1" collapsed="1" x14ac:dyDescent="0.25">
      <c r="B30" s="179" t="s">
        <v>45</v>
      </c>
      <c r="C30" s="191" t="s">
        <v>15</v>
      </c>
      <c r="D30" s="178">
        <v>2937833.35</v>
      </c>
      <c r="E30" s="178">
        <v>291820</v>
      </c>
      <c r="F30" s="178">
        <v>2646013.35</v>
      </c>
    </row>
    <row r="31" spans="2:6" hidden="1" outlineLevel="2" x14ac:dyDescent="0.25">
      <c r="B31" s="181" t="s">
        <v>195</v>
      </c>
      <c r="C31" s="194" t="s">
        <v>229</v>
      </c>
      <c r="D31" s="182">
        <v>2781209.49</v>
      </c>
      <c r="E31" s="182">
        <v>291820</v>
      </c>
      <c r="F31" s="180">
        <v>2489389.4900000002</v>
      </c>
    </row>
    <row r="32" spans="2:6" hidden="1" outlineLevel="3" x14ac:dyDescent="0.25">
      <c r="B32" s="181" t="s">
        <v>196</v>
      </c>
      <c r="C32" s="197" t="s">
        <v>198</v>
      </c>
      <c r="D32" s="184">
        <v>455787</v>
      </c>
      <c r="E32" s="184">
        <v>198287</v>
      </c>
      <c r="F32" s="183">
        <v>257500</v>
      </c>
    </row>
    <row r="33" spans="2:6" hidden="1" outlineLevel="4" x14ac:dyDescent="0.25">
      <c r="B33" s="186" t="s">
        <v>197</v>
      </c>
      <c r="C33" s="241"/>
      <c r="D33" s="187">
        <v>455787</v>
      </c>
      <c r="E33" s="187">
        <v>198287</v>
      </c>
      <c r="F33" s="185">
        <v>257500</v>
      </c>
    </row>
    <row r="34" spans="2:6" hidden="1" outlineLevel="3" x14ac:dyDescent="0.25">
      <c r="B34" s="181" t="s">
        <v>199</v>
      </c>
      <c r="C34" s="197" t="s">
        <v>201</v>
      </c>
      <c r="D34" s="184">
        <v>2325422.4900000002</v>
      </c>
      <c r="E34" s="184">
        <v>93533</v>
      </c>
      <c r="F34" s="183">
        <v>2231889.4900000002</v>
      </c>
    </row>
    <row r="35" spans="2:6" hidden="1" outlineLevel="4" x14ac:dyDescent="0.25">
      <c r="B35" s="186" t="s">
        <v>200</v>
      </c>
      <c r="C35" s="241"/>
      <c r="D35" s="187">
        <v>2325422.4900000002</v>
      </c>
      <c r="E35" s="187">
        <v>93533</v>
      </c>
      <c r="F35" s="185">
        <v>2231889.4900000002</v>
      </c>
    </row>
    <row r="36" spans="2:6" hidden="1" outlineLevel="2" x14ac:dyDescent="0.25">
      <c r="B36" s="181" t="s">
        <v>202</v>
      </c>
      <c r="C36" s="194" t="s">
        <v>230</v>
      </c>
      <c r="D36" s="182">
        <v>103000</v>
      </c>
      <c r="E36" s="182">
        <v>0</v>
      </c>
      <c r="F36" s="180">
        <v>103000</v>
      </c>
    </row>
    <row r="37" spans="2:6" hidden="1" outlineLevel="3" x14ac:dyDescent="0.25">
      <c r="B37" s="181" t="s">
        <v>232</v>
      </c>
      <c r="C37" s="197" t="s">
        <v>203</v>
      </c>
      <c r="D37" s="184">
        <v>103000</v>
      </c>
      <c r="E37" s="184">
        <v>0</v>
      </c>
      <c r="F37" s="183">
        <v>103000</v>
      </c>
    </row>
    <row r="38" spans="2:6" hidden="1" outlineLevel="4" x14ac:dyDescent="0.25">
      <c r="B38" s="186" t="s">
        <v>233</v>
      </c>
      <c r="C38" s="241"/>
      <c r="D38" s="187">
        <v>103000</v>
      </c>
      <c r="E38" s="187"/>
      <c r="F38" s="185">
        <v>103000</v>
      </c>
    </row>
    <row r="39" spans="2:6" hidden="1" outlineLevel="2" x14ac:dyDescent="0.25">
      <c r="B39" s="181" t="s">
        <v>204</v>
      </c>
      <c r="C39" s="194" t="s">
        <v>231</v>
      </c>
      <c r="D39" s="182">
        <v>53623.86</v>
      </c>
      <c r="E39" s="182">
        <v>0</v>
      </c>
      <c r="F39" s="180">
        <v>53623.86</v>
      </c>
    </row>
    <row r="40" spans="2:6" hidden="1" outlineLevel="3" x14ac:dyDescent="0.25">
      <c r="B40" s="181" t="s">
        <v>205</v>
      </c>
      <c r="C40" s="197" t="s">
        <v>207</v>
      </c>
      <c r="D40" s="184">
        <v>53623.86</v>
      </c>
      <c r="E40" s="184">
        <v>0</v>
      </c>
      <c r="F40" s="183">
        <v>53623.86</v>
      </c>
    </row>
    <row r="41" spans="2:6" hidden="1" outlineLevel="4" x14ac:dyDescent="0.25">
      <c r="B41" s="186" t="s">
        <v>206</v>
      </c>
      <c r="C41" s="241"/>
      <c r="D41" s="187">
        <v>53623.86</v>
      </c>
      <c r="E41" s="187"/>
      <c r="F41" s="185">
        <v>53623.86</v>
      </c>
    </row>
    <row r="42" spans="2:6" outlineLevel="1" collapsed="1" x14ac:dyDescent="0.25">
      <c r="B42" s="179" t="s">
        <v>46</v>
      </c>
      <c r="C42" s="191" t="s">
        <v>208</v>
      </c>
      <c r="D42" s="178">
        <v>1154050</v>
      </c>
      <c r="E42" s="178">
        <v>607700</v>
      </c>
      <c r="F42" s="178">
        <v>546350</v>
      </c>
    </row>
    <row r="43" spans="2:6" hidden="1" outlineLevel="2" x14ac:dyDescent="0.25">
      <c r="B43" s="181" t="s">
        <v>209</v>
      </c>
      <c r="C43" s="194" t="s">
        <v>234</v>
      </c>
      <c r="D43" s="182">
        <v>1154050</v>
      </c>
      <c r="E43" s="182">
        <v>607700</v>
      </c>
      <c r="F43" s="180">
        <v>546350</v>
      </c>
    </row>
    <row r="44" spans="2:6" hidden="1" outlineLevel="3" x14ac:dyDescent="0.25">
      <c r="B44" s="181" t="s">
        <v>238</v>
      </c>
      <c r="C44" s="197" t="s">
        <v>239</v>
      </c>
      <c r="D44" s="184">
        <v>1154050</v>
      </c>
      <c r="E44" s="184">
        <v>607700</v>
      </c>
      <c r="F44" s="183">
        <v>546350</v>
      </c>
    </row>
    <row r="45" spans="2:6" hidden="1" outlineLevel="4" x14ac:dyDescent="0.25">
      <c r="B45" s="186" t="s">
        <v>240</v>
      </c>
      <c r="C45" s="241"/>
      <c r="D45" s="187">
        <v>1154050</v>
      </c>
      <c r="E45" s="187">
        <v>607700</v>
      </c>
      <c r="F45" s="185">
        <v>546350</v>
      </c>
    </row>
    <row r="46" spans="2:6" outlineLevel="1" collapsed="1" x14ac:dyDescent="0.25">
      <c r="B46" s="179" t="s">
        <v>47</v>
      </c>
      <c r="C46" s="191" t="s">
        <v>210</v>
      </c>
      <c r="D46" s="178">
        <v>14044</v>
      </c>
      <c r="E46" s="178">
        <v>14044</v>
      </c>
      <c r="F46" s="178">
        <v>0</v>
      </c>
    </row>
    <row r="47" spans="2:6" hidden="1" outlineLevel="2" x14ac:dyDescent="0.25">
      <c r="B47" s="181" t="s">
        <v>211</v>
      </c>
      <c r="C47" s="194" t="s">
        <v>235</v>
      </c>
      <c r="D47" s="182">
        <v>14044</v>
      </c>
      <c r="E47" s="182">
        <v>14044</v>
      </c>
      <c r="F47" s="180">
        <v>0</v>
      </c>
    </row>
    <row r="48" spans="2:6" hidden="1" outlineLevel="3" x14ac:dyDescent="0.25">
      <c r="B48" s="181" t="s">
        <v>242</v>
      </c>
      <c r="C48" s="197" t="s">
        <v>243</v>
      </c>
      <c r="D48" s="184">
        <v>14044</v>
      </c>
      <c r="E48" s="184">
        <v>14044</v>
      </c>
      <c r="F48" s="183">
        <v>0</v>
      </c>
    </row>
    <row r="49" spans="2:6" hidden="1" outlineLevel="4" x14ac:dyDescent="0.25">
      <c r="B49" s="186" t="s">
        <v>244</v>
      </c>
      <c r="C49" s="241"/>
      <c r="D49" s="187">
        <v>14044</v>
      </c>
      <c r="E49" s="187">
        <v>14044</v>
      </c>
      <c r="F49" s="185"/>
    </row>
    <row r="50" spans="2:6" outlineLevel="1" collapsed="1" x14ac:dyDescent="0.25">
      <c r="B50" s="179" t="s">
        <v>49</v>
      </c>
      <c r="C50" s="191" t="s">
        <v>17</v>
      </c>
      <c r="D50" s="178">
        <v>1135145</v>
      </c>
      <c r="E50" s="178">
        <v>879705</v>
      </c>
      <c r="F50" s="178">
        <v>255440</v>
      </c>
    </row>
    <row r="51" spans="2:6" hidden="1" outlineLevel="2" x14ac:dyDescent="0.25">
      <c r="B51" s="181" t="s">
        <v>212</v>
      </c>
      <c r="C51" s="194" t="s">
        <v>236</v>
      </c>
      <c r="D51" s="182">
        <v>1023123</v>
      </c>
      <c r="E51" s="182">
        <v>767683</v>
      </c>
      <c r="F51" s="180">
        <v>255440</v>
      </c>
    </row>
    <row r="52" spans="2:6" hidden="1" outlineLevel="3" x14ac:dyDescent="0.25">
      <c r="B52" s="181" t="s">
        <v>213</v>
      </c>
      <c r="C52" s="197" t="s">
        <v>215</v>
      </c>
      <c r="D52" s="184">
        <v>826888</v>
      </c>
      <c r="E52" s="184">
        <v>571448</v>
      </c>
      <c r="F52" s="183">
        <v>255440</v>
      </c>
    </row>
    <row r="53" spans="2:6" hidden="1" outlineLevel="4" x14ac:dyDescent="0.25">
      <c r="B53" s="186" t="s">
        <v>214</v>
      </c>
      <c r="C53" s="241"/>
      <c r="D53" s="187">
        <v>826888</v>
      </c>
      <c r="E53" s="187">
        <v>571448</v>
      </c>
      <c r="F53" s="185">
        <v>255440</v>
      </c>
    </row>
    <row r="54" spans="2:6" hidden="1" outlineLevel="3" x14ac:dyDescent="0.25">
      <c r="B54" s="181" t="s">
        <v>216</v>
      </c>
      <c r="C54" s="197" t="s">
        <v>218</v>
      </c>
      <c r="D54" s="184">
        <v>196235</v>
      </c>
      <c r="E54" s="184">
        <v>196235</v>
      </c>
      <c r="F54" s="183">
        <v>0</v>
      </c>
    </row>
    <row r="55" spans="2:6" hidden="1" outlineLevel="4" x14ac:dyDescent="0.25">
      <c r="B55" s="186" t="s">
        <v>217</v>
      </c>
      <c r="C55" s="241"/>
      <c r="D55" s="187">
        <v>196235</v>
      </c>
      <c r="E55" s="187">
        <v>196235</v>
      </c>
      <c r="F55" s="185"/>
    </row>
    <row r="56" spans="2:6" hidden="1" outlineLevel="2" x14ac:dyDescent="0.25">
      <c r="B56" s="181" t="s">
        <v>219</v>
      </c>
      <c r="C56" s="194" t="s">
        <v>237</v>
      </c>
      <c r="D56" s="182">
        <v>112022</v>
      </c>
      <c r="E56" s="182">
        <v>112022</v>
      </c>
      <c r="F56" s="180">
        <v>0</v>
      </c>
    </row>
    <row r="57" spans="2:6" hidden="1" outlineLevel="3" x14ac:dyDescent="0.25">
      <c r="B57" s="181" t="s">
        <v>220</v>
      </c>
      <c r="C57" s="197" t="s">
        <v>222</v>
      </c>
      <c r="D57" s="184">
        <v>112022</v>
      </c>
      <c r="E57" s="184">
        <v>112022</v>
      </c>
      <c r="F57" s="183">
        <v>0</v>
      </c>
    </row>
    <row r="58" spans="2:6" hidden="1" outlineLevel="4" x14ac:dyDescent="0.25">
      <c r="B58" s="186" t="s">
        <v>221</v>
      </c>
      <c r="C58" s="241"/>
      <c r="D58" s="187">
        <v>112022</v>
      </c>
      <c r="E58" s="187">
        <v>112022</v>
      </c>
      <c r="F58" s="185"/>
    </row>
    <row r="59" spans="2:6" outlineLevel="1" collapsed="1" x14ac:dyDescent="0.25">
      <c r="B59" s="179" t="s">
        <v>50</v>
      </c>
      <c r="C59" s="191" t="s">
        <v>18</v>
      </c>
      <c r="D59" s="178">
        <v>14138</v>
      </c>
      <c r="E59" s="178">
        <v>14138</v>
      </c>
      <c r="F59" s="178">
        <v>0</v>
      </c>
    </row>
    <row r="60" spans="2:6" hidden="1" outlineLevel="2" x14ac:dyDescent="0.25">
      <c r="B60" s="181" t="s">
        <v>241</v>
      </c>
      <c r="C60" s="194" t="s">
        <v>18</v>
      </c>
      <c r="D60" s="182">
        <v>14138</v>
      </c>
      <c r="E60" s="182">
        <v>14138</v>
      </c>
      <c r="F60" s="180">
        <v>0</v>
      </c>
    </row>
    <row r="61" spans="2:6" hidden="1" outlineLevel="3" x14ac:dyDescent="0.25">
      <c r="B61" s="181" t="s">
        <v>255</v>
      </c>
      <c r="C61" s="197" t="s">
        <v>18</v>
      </c>
      <c r="D61" s="184">
        <v>14138</v>
      </c>
      <c r="E61" s="184">
        <v>14138</v>
      </c>
      <c r="F61" s="183">
        <v>0</v>
      </c>
    </row>
    <row r="62" spans="2:6" hidden="1" outlineLevel="4" x14ac:dyDescent="0.25">
      <c r="B62" s="186" t="s">
        <v>266</v>
      </c>
      <c r="C62" s="241"/>
      <c r="D62" s="187">
        <v>14138</v>
      </c>
      <c r="E62" s="187">
        <v>14138</v>
      </c>
      <c r="F62" s="185"/>
    </row>
    <row r="63" spans="2:6" outlineLevel="1" collapsed="1" x14ac:dyDescent="0.25">
      <c r="B63" s="179" t="s">
        <v>51</v>
      </c>
      <c r="C63" s="191" t="s">
        <v>19</v>
      </c>
      <c r="D63" s="178">
        <v>109879.06700000001</v>
      </c>
      <c r="E63" s="178">
        <v>38348</v>
      </c>
      <c r="F63" s="178">
        <v>71531.06700000001</v>
      </c>
    </row>
    <row r="64" spans="2:6" hidden="1" outlineLevel="2" x14ac:dyDescent="0.25">
      <c r="B64" s="181" t="s">
        <v>168</v>
      </c>
      <c r="C64" s="194" t="s">
        <v>272</v>
      </c>
      <c r="D64" s="182">
        <v>109879.06700000001</v>
      </c>
      <c r="E64" s="182">
        <v>38348</v>
      </c>
      <c r="F64" s="180">
        <v>71531.06700000001</v>
      </c>
    </row>
    <row r="65" spans="2:6" hidden="1" outlineLevel="3" x14ac:dyDescent="0.25">
      <c r="B65" s="181" t="s">
        <v>164</v>
      </c>
      <c r="C65" s="197" t="s">
        <v>272</v>
      </c>
      <c r="D65" s="184">
        <v>109879.06700000001</v>
      </c>
      <c r="E65" s="184">
        <v>38348</v>
      </c>
      <c r="F65" s="183">
        <v>71531.06700000001</v>
      </c>
    </row>
    <row r="66" spans="2:6" hidden="1" outlineLevel="4" x14ac:dyDescent="0.25">
      <c r="B66" s="186" t="s">
        <v>166</v>
      </c>
      <c r="C66" s="241"/>
      <c r="D66" s="187">
        <v>38348</v>
      </c>
      <c r="E66" s="187">
        <v>38348</v>
      </c>
      <c r="F66" s="185"/>
    </row>
    <row r="67" spans="2:6" hidden="1" outlineLevel="4" x14ac:dyDescent="0.25">
      <c r="B67" s="186" t="s">
        <v>167</v>
      </c>
      <c r="C67" s="241"/>
      <c r="D67" s="187">
        <v>71531.06700000001</v>
      </c>
      <c r="E67" s="187"/>
      <c r="F67" s="185">
        <v>71531.06700000001</v>
      </c>
    </row>
    <row r="68" spans="2:6" outlineLevel="1" collapsed="1" x14ac:dyDescent="0.25">
      <c r="B68" s="179" t="s">
        <v>57</v>
      </c>
      <c r="C68" s="191" t="s">
        <v>21</v>
      </c>
      <c r="D68" s="178">
        <v>2834786.2741359202</v>
      </c>
      <c r="E68" s="178">
        <v>1556507</v>
      </c>
      <c r="F68" s="178">
        <v>1278279.27413592</v>
      </c>
    </row>
    <row r="69" spans="2:6" hidden="1" outlineLevel="2" x14ac:dyDescent="0.25">
      <c r="B69" s="181" t="s">
        <v>245</v>
      </c>
      <c r="C69" s="194" t="s">
        <v>148</v>
      </c>
      <c r="D69" s="182">
        <v>280563.63339999999</v>
      </c>
      <c r="E69" s="182">
        <v>148454</v>
      </c>
      <c r="F69" s="180">
        <v>132109.63339999999</v>
      </c>
    </row>
    <row r="70" spans="2:6" hidden="1" outlineLevel="3" x14ac:dyDescent="0.25">
      <c r="B70" s="181" t="s">
        <v>256</v>
      </c>
      <c r="C70" s="197" t="s">
        <v>148</v>
      </c>
      <c r="D70" s="184">
        <v>280563.63339999999</v>
      </c>
      <c r="E70" s="184">
        <v>148454</v>
      </c>
      <c r="F70" s="183">
        <v>132109.63339999999</v>
      </c>
    </row>
    <row r="71" spans="2:6" hidden="1" outlineLevel="4" x14ac:dyDescent="0.25">
      <c r="B71" s="186" t="s">
        <v>138</v>
      </c>
      <c r="C71" s="241"/>
      <c r="D71" s="187">
        <v>280563.63339999999</v>
      </c>
      <c r="E71" s="187">
        <v>148454</v>
      </c>
      <c r="F71" s="185">
        <v>132109.63339999999</v>
      </c>
    </row>
    <row r="72" spans="2:6" hidden="1" outlineLevel="2" x14ac:dyDescent="0.25">
      <c r="B72" s="181" t="s">
        <v>246</v>
      </c>
      <c r="C72" s="194" t="s">
        <v>149</v>
      </c>
      <c r="D72" s="182">
        <v>79097.10901</v>
      </c>
      <c r="E72" s="182">
        <v>5176</v>
      </c>
      <c r="F72" s="180">
        <v>73921.10901</v>
      </c>
    </row>
    <row r="73" spans="2:6" hidden="1" outlineLevel="3" x14ac:dyDescent="0.25">
      <c r="B73" s="181" t="s">
        <v>257</v>
      </c>
      <c r="C73" s="197" t="s">
        <v>149</v>
      </c>
      <c r="D73" s="184">
        <v>79097.10901</v>
      </c>
      <c r="E73" s="184">
        <v>5176</v>
      </c>
      <c r="F73" s="183">
        <v>73921.10901</v>
      </c>
    </row>
    <row r="74" spans="2:6" hidden="1" outlineLevel="4" x14ac:dyDescent="0.25">
      <c r="B74" s="186" t="s">
        <v>139</v>
      </c>
      <c r="C74" s="241"/>
      <c r="D74" s="187">
        <v>79097.10901</v>
      </c>
      <c r="E74" s="187">
        <v>5176</v>
      </c>
      <c r="F74" s="185">
        <v>73921.10901</v>
      </c>
    </row>
    <row r="75" spans="2:6" hidden="1" outlineLevel="2" x14ac:dyDescent="0.25">
      <c r="B75" s="181" t="s">
        <v>247</v>
      </c>
      <c r="C75" s="194" t="s">
        <v>150</v>
      </c>
      <c r="D75" s="182">
        <v>851723.27</v>
      </c>
      <c r="E75" s="182">
        <v>617492</v>
      </c>
      <c r="F75" s="180">
        <v>234231.26999999996</v>
      </c>
    </row>
    <row r="76" spans="2:6" hidden="1" outlineLevel="3" x14ac:dyDescent="0.25">
      <c r="B76" s="181" t="s">
        <v>258</v>
      </c>
      <c r="C76" s="197" t="s">
        <v>150</v>
      </c>
      <c r="D76" s="184">
        <v>851723.27</v>
      </c>
      <c r="E76" s="184">
        <v>617492</v>
      </c>
      <c r="F76" s="183">
        <v>234231.26999999996</v>
      </c>
    </row>
    <row r="77" spans="2:6" hidden="1" outlineLevel="4" x14ac:dyDescent="0.25">
      <c r="B77" s="186" t="s">
        <v>140</v>
      </c>
      <c r="C77" s="241"/>
      <c r="D77" s="187">
        <v>851723.27</v>
      </c>
      <c r="E77" s="187">
        <v>617492</v>
      </c>
      <c r="F77" s="185">
        <v>234231.26999999996</v>
      </c>
    </row>
    <row r="78" spans="2:6" hidden="1" outlineLevel="2" x14ac:dyDescent="0.25">
      <c r="B78" s="181" t="s">
        <v>248</v>
      </c>
      <c r="C78" s="194" t="s">
        <v>151</v>
      </c>
      <c r="D78" s="182">
        <v>694093.07248200011</v>
      </c>
      <c r="E78" s="182">
        <v>0</v>
      </c>
      <c r="F78" s="180">
        <v>694093.07248200011</v>
      </c>
    </row>
    <row r="79" spans="2:6" hidden="1" outlineLevel="3" x14ac:dyDescent="0.25">
      <c r="B79" s="181" t="s">
        <v>259</v>
      </c>
      <c r="C79" s="197" t="s">
        <v>151</v>
      </c>
      <c r="D79" s="184">
        <v>694093.07248200011</v>
      </c>
      <c r="E79" s="184">
        <v>0</v>
      </c>
      <c r="F79" s="183">
        <v>694093.07248200011</v>
      </c>
    </row>
    <row r="80" spans="2:6" hidden="1" outlineLevel="4" x14ac:dyDescent="0.25">
      <c r="B80" s="186" t="s">
        <v>141</v>
      </c>
      <c r="C80" s="241"/>
      <c r="D80" s="187">
        <v>694093.07248200011</v>
      </c>
      <c r="E80" s="187"/>
      <c r="F80" s="185">
        <v>694093.07248200011</v>
      </c>
    </row>
    <row r="81" spans="2:6" hidden="1" outlineLevel="2" x14ac:dyDescent="0.25">
      <c r="B81" s="181" t="s">
        <v>249</v>
      </c>
      <c r="C81" s="194" t="s">
        <v>152</v>
      </c>
      <c r="D81" s="182">
        <v>72693.649743920003</v>
      </c>
      <c r="E81" s="182">
        <v>24626</v>
      </c>
      <c r="F81" s="180">
        <v>48067.649743920003</v>
      </c>
    </row>
    <row r="82" spans="2:6" hidden="1" outlineLevel="3" x14ac:dyDescent="0.25">
      <c r="B82" s="181" t="s">
        <v>260</v>
      </c>
      <c r="C82" s="197" t="s">
        <v>152</v>
      </c>
      <c r="D82" s="184">
        <v>72693.649743920003</v>
      </c>
      <c r="E82" s="184">
        <v>24626</v>
      </c>
      <c r="F82" s="183">
        <v>48067.649743920003</v>
      </c>
    </row>
    <row r="83" spans="2:6" hidden="1" outlineLevel="4" x14ac:dyDescent="0.25">
      <c r="B83" s="186" t="s">
        <v>142</v>
      </c>
      <c r="C83" s="241"/>
      <c r="D83" s="187">
        <v>72693.649743920003</v>
      </c>
      <c r="E83" s="187">
        <v>24626</v>
      </c>
      <c r="F83" s="185">
        <v>48067.649743920003</v>
      </c>
    </row>
    <row r="84" spans="2:6" hidden="1" outlineLevel="2" x14ac:dyDescent="0.25">
      <c r="B84" s="181" t="s">
        <v>250</v>
      </c>
      <c r="C84" s="194" t="s">
        <v>153</v>
      </c>
      <c r="D84" s="182">
        <v>43708</v>
      </c>
      <c r="E84" s="182">
        <v>0</v>
      </c>
      <c r="F84" s="180">
        <v>43708</v>
      </c>
    </row>
    <row r="85" spans="2:6" hidden="1" outlineLevel="3" x14ac:dyDescent="0.25">
      <c r="B85" s="181" t="s">
        <v>261</v>
      </c>
      <c r="C85" s="197" t="s">
        <v>153</v>
      </c>
      <c r="D85" s="184">
        <v>43708</v>
      </c>
      <c r="E85" s="184">
        <v>0</v>
      </c>
      <c r="F85" s="183">
        <v>43708</v>
      </c>
    </row>
    <row r="86" spans="2:6" hidden="1" outlineLevel="4" x14ac:dyDescent="0.25">
      <c r="B86" s="186" t="s">
        <v>143</v>
      </c>
      <c r="C86" s="241"/>
      <c r="D86" s="187">
        <v>43708</v>
      </c>
      <c r="E86" s="187"/>
      <c r="F86" s="185">
        <v>43708</v>
      </c>
    </row>
    <row r="87" spans="2:6" hidden="1" outlineLevel="2" x14ac:dyDescent="0.25">
      <c r="B87" s="181" t="s">
        <v>251</v>
      </c>
      <c r="C87" s="194" t="s">
        <v>154</v>
      </c>
      <c r="D87" s="182">
        <v>76177</v>
      </c>
      <c r="E87" s="182">
        <v>76177</v>
      </c>
      <c r="F87" s="180">
        <v>0</v>
      </c>
    </row>
    <row r="88" spans="2:6" hidden="1" outlineLevel="3" x14ac:dyDescent="0.25">
      <c r="B88" s="181" t="s">
        <v>262</v>
      </c>
      <c r="C88" s="197" t="s">
        <v>154</v>
      </c>
      <c r="D88" s="184">
        <v>76177</v>
      </c>
      <c r="E88" s="184">
        <v>76177</v>
      </c>
      <c r="F88" s="183">
        <v>0</v>
      </c>
    </row>
    <row r="89" spans="2:6" hidden="1" outlineLevel="4" x14ac:dyDescent="0.25">
      <c r="B89" s="186" t="s">
        <v>144</v>
      </c>
      <c r="C89" s="241"/>
      <c r="D89" s="187">
        <v>76177</v>
      </c>
      <c r="E89" s="187">
        <v>76177</v>
      </c>
      <c r="F89" s="185"/>
    </row>
    <row r="90" spans="2:6" hidden="1" outlineLevel="2" x14ac:dyDescent="0.25">
      <c r="B90" s="181" t="s">
        <v>252</v>
      </c>
      <c r="C90" s="194" t="s">
        <v>155</v>
      </c>
      <c r="D90" s="182">
        <v>53417.539499999999</v>
      </c>
      <c r="E90" s="182">
        <v>1269</v>
      </c>
      <c r="F90" s="180">
        <v>52148.539499999999</v>
      </c>
    </row>
    <row r="91" spans="2:6" hidden="1" outlineLevel="3" x14ac:dyDescent="0.25">
      <c r="B91" s="181" t="s">
        <v>263</v>
      </c>
      <c r="C91" s="197" t="s">
        <v>155</v>
      </c>
      <c r="D91" s="184">
        <v>53417.539499999999</v>
      </c>
      <c r="E91" s="184">
        <v>1269</v>
      </c>
      <c r="F91" s="183">
        <v>52148.539499999999</v>
      </c>
    </row>
    <row r="92" spans="2:6" hidden="1" outlineLevel="4" x14ac:dyDescent="0.25">
      <c r="B92" s="186" t="s">
        <v>145</v>
      </c>
      <c r="C92" s="241"/>
      <c r="D92" s="187">
        <v>53417.539499999999</v>
      </c>
      <c r="E92" s="187">
        <v>1269</v>
      </c>
      <c r="F92" s="185">
        <v>52148.539499999999</v>
      </c>
    </row>
    <row r="93" spans="2:6" hidden="1" outlineLevel="2" x14ac:dyDescent="0.25">
      <c r="B93" s="181" t="s">
        <v>253</v>
      </c>
      <c r="C93" s="194" t="s">
        <v>156</v>
      </c>
      <c r="D93" s="182">
        <v>683313</v>
      </c>
      <c r="E93" s="182">
        <v>683313</v>
      </c>
      <c r="F93" s="180">
        <v>0</v>
      </c>
    </row>
    <row r="94" spans="2:6" hidden="1" outlineLevel="3" x14ac:dyDescent="0.25">
      <c r="B94" s="181" t="s">
        <v>264</v>
      </c>
      <c r="C94" s="197" t="s">
        <v>156</v>
      </c>
      <c r="D94" s="184">
        <v>683313</v>
      </c>
      <c r="E94" s="184">
        <v>683313</v>
      </c>
      <c r="F94" s="183">
        <v>0</v>
      </c>
    </row>
    <row r="95" spans="2:6" hidden="1" outlineLevel="4" x14ac:dyDescent="0.25">
      <c r="B95" s="186" t="s">
        <v>146</v>
      </c>
      <c r="C95" s="241"/>
      <c r="D95" s="187">
        <v>683313</v>
      </c>
      <c r="E95" s="187">
        <v>683313</v>
      </c>
      <c r="F95" s="185"/>
    </row>
    <row r="96" spans="2:6" ht="15.75" outlineLevel="1" collapsed="1" thickBot="1" x14ac:dyDescent="0.3">
      <c r="B96" s="179" t="s">
        <v>58</v>
      </c>
      <c r="C96" s="191" t="s">
        <v>22</v>
      </c>
      <c r="D96" s="178">
        <v>430208.05670879851</v>
      </c>
      <c r="E96" s="178">
        <v>271200</v>
      </c>
      <c r="F96" s="178">
        <v>159008.05670879851</v>
      </c>
    </row>
    <row r="97" spans="2:6" ht="15.75" hidden="1" outlineLevel="2" thickBot="1" x14ac:dyDescent="0.3">
      <c r="B97" s="181" t="s">
        <v>254</v>
      </c>
      <c r="C97" s="194" t="s">
        <v>22</v>
      </c>
      <c r="D97" s="182">
        <v>430208.05670879851</v>
      </c>
      <c r="E97" s="182">
        <v>271200</v>
      </c>
      <c r="F97" s="180">
        <v>159008.05670879851</v>
      </c>
    </row>
    <row r="98" spans="2:6" ht="15.75" hidden="1" outlineLevel="3" thickBot="1" x14ac:dyDescent="0.3">
      <c r="B98" s="181" t="s">
        <v>265</v>
      </c>
      <c r="C98" s="197" t="s">
        <v>22</v>
      </c>
      <c r="D98" s="184">
        <v>430208.05670879851</v>
      </c>
      <c r="E98" s="184">
        <v>271200</v>
      </c>
      <c r="F98" s="183">
        <v>159008.05670879851</v>
      </c>
    </row>
    <row r="99" spans="2:6" ht="15.75" hidden="1" outlineLevel="4" thickBot="1" x14ac:dyDescent="0.3">
      <c r="B99" s="186" t="s">
        <v>267</v>
      </c>
      <c r="C99" s="241"/>
      <c r="D99" s="187">
        <v>430208.05670879851</v>
      </c>
      <c r="E99" s="187">
        <v>271200</v>
      </c>
      <c r="F99" s="185">
        <v>159008.05670879851</v>
      </c>
    </row>
    <row r="100" spans="2:6" s="91" customFormat="1" x14ac:dyDescent="0.25">
      <c r="B100" s="160" t="s">
        <v>61</v>
      </c>
      <c r="C100" s="161"/>
      <c r="D100" s="190">
        <v>8913709.7478447184</v>
      </c>
      <c r="E100" s="190">
        <v>3828338</v>
      </c>
      <c r="F100" s="190">
        <v>5085371.7478447193</v>
      </c>
    </row>
  </sheetData>
  <sheetProtection sheet="1" objects="1" scenarios="1"/>
  <hyperlinks>
    <hyperlink ref="G1" location="'Table of contents'!A1" display="Return to TOC" xr:uid="{00000000-0004-0000-0700-000000000000}"/>
  </hyperlinks>
  <printOptions horizontalCentered="1"/>
  <pageMargins left="0.25" right="0.25" top="0.5" bottom="0.5" header="0.25" footer="0.25"/>
  <pageSetup scale="46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D57CC-20CC-43DD-9804-3C38F66B18D7}">
  <sheetPr codeName="Bid">
    <tabColor theme="5" tint="-0.249977111117893"/>
    <pageSetUpPr fitToPage="1"/>
  </sheetPr>
  <dimension ref="B1:G15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8.85546875" defaultRowHeight="15" outlineLevelRow="1" x14ac:dyDescent="0.25"/>
  <cols>
    <col min="1" max="1" width="4.7109375" style="5" customWidth="1"/>
    <col min="2" max="2" width="8.7109375" style="5" customWidth="1"/>
    <col min="3" max="3" width="60.7109375" style="6" customWidth="1"/>
    <col min="4" max="4" width="18.85546875" style="154" customWidth="1"/>
    <col min="5" max="5" width="15.5703125" style="154" customWidth="1"/>
    <col min="6" max="6" width="16.140625" style="154" customWidth="1"/>
    <col min="7" max="7" width="4.7109375" style="5" customWidth="1"/>
    <col min="8" max="16384" width="8.85546875" style="5"/>
  </cols>
  <sheetData>
    <row r="1" spans="2:7" x14ac:dyDescent="0.25">
      <c r="B1" s="174"/>
      <c r="G1" s="70" t="s">
        <v>66</v>
      </c>
    </row>
    <row r="2" spans="2:7" s="79" customFormat="1" ht="36" customHeight="1" thickBot="1" x14ac:dyDescent="0.3">
      <c r="B2" s="189" t="s">
        <v>317</v>
      </c>
      <c r="C2" s="156" t="s">
        <v>3</v>
      </c>
      <c r="D2" s="157" t="s">
        <v>64</v>
      </c>
      <c r="E2" s="157" t="s">
        <v>76</v>
      </c>
      <c r="F2" s="188" t="s">
        <v>396</v>
      </c>
    </row>
    <row r="3" spans="2:7" x14ac:dyDescent="0.25">
      <c r="B3" s="233" t="s">
        <v>336</v>
      </c>
      <c r="C3" s="234"/>
      <c r="D3" s="236">
        <v>8913709.7478447165</v>
      </c>
      <c r="E3" s="236">
        <v>3828338</v>
      </c>
      <c r="F3" s="236">
        <v>5085371.7478447184</v>
      </c>
    </row>
    <row r="4" spans="2:7" x14ac:dyDescent="0.25">
      <c r="B4" s="211" t="s">
        <v>345</v>
      </c>
      <c r="C4" s="212"/>
      <c r="D4" s="214">
        <v>8913709.7478447165</v>
      </c>
      <c r="E4" s="214">
        <v>3828338</v>
      </c>
      <c r="F4" s="214">
        <v>5085371.7478447184</v>
      </c>
    </row>
    <row r="5" spans="2:7" outlineLevel="1" x14ac:dyDescent="0.25">
      <c r="B5" s="148" t="s">
        <v>356</v>
      </c>
      <c r="C5" s="242" t="e">
        <v>#N/A</v>
      </c>
      <c r="D5" s="164">
        <v>363208</v>
      </c>
      <c r="E5" s="164">
        <v>260208</v>
      </c>
      <c r="F5" s="164">
        <v>103000</v>
      </c>
    </row>
    <row r="6" spans="2:7" outlineLevel="1" x14ac:dyDescent="0.25">
      <c r="B6" s="148" t="s">
        <v>355</v>
      </c>
      <c r="C6" s="242" t="e">
        <v>#N/A</v>
      </c>
      <c r="D6" s="164">
        <v>3072</v>
      </c>
      <c r="E6" s="164">
        <v>3072</v>
      </c>
      <c r="F6" s="164"/>
    </row>
    <row r="7" spans="2:7" outlineLevel="1" x14ac:dyDescent="0.25">
      <c r="B7" s="148" t="s">
        <v>318</v>
      </c>
      <c r="C7" s="242" t="s">
        <v>319</v>
      </c>
      <c r="D7" s="164">
        <v>14138</v>
      </c>
      <c r="E7" s="164">
        <v>14138</v>
      </c>
      <c r="F7" s="164"/>
    </row>
    <row r="8" spans="2:7" outlineLevel="1" x14ac:dyDescent="0.25">
      <c r="B8" s="148" t="s">
        <v>320</v>
      </c>
      <c r="C8" s="242" t="s">
        <v>321</v>
      </c>
      <c r="D8" s="164">
        <v>3033365.35</v>
      </c>
      <c r="E8" s="164">
        <v>361602</v>
      </c>
      <c r="F8" s="164">
        <v>2671763.35</v>
      </c>
    </row>
    <row r="9" spans="2:7" outlineLevel="1" x14ac:dyDescent="0.25">
      <c r="B9" s="148" t="s">
        <v>322</v>
      </c>
      <c r="C9" s="242" t="s">
        <v>323</v>
      </c>
      <c r="D9" s="164">
        <v>1154050</v>
      </c>
      <c r="E9" s="164">
        <v>607700</v>
      </c>
      <c r="F9" s="164">
        <v>546350</v>
      </c>
    </row>
    <row r="10" spans="2:7" outlineLevel="1" x14ac:dyDescent="0.25">
      <c r="B10" s="148" t="s">
        <v>324</v>
      </c>
      <c r="C10" s="242" t="s">
        <v>325</v>
      </c>
      <c r="D10" s="164">
        <v>14044</v>
      </c>
      <c r="E10" s="164">
        <v>14044</v>
      </c>
      <c r="F10" s="164"/>
    </row>
    <row r="11" spans="2:7" outlineLevel="1" x14ac:dyDescent="0.25">
      <c r="B11" s="148" t="s">
        <v>326</v>
      </c>
      <c r="C11" s="242" t="s">
        <v>327</v>
      </c>
      <c r="D11" s="164">
        <v>938910</v>
      </c>
      <c r="E11" s="164">
        <v>683470</v>
      </c>
      <c r="F11" s="164">
        <v>255440</v>
      </c>
    </row>
    <row r="12" spans="2:7" outlineLevel="1" x14ac:dyDescent="0.25">
      <c r="B12" s="148" t="s">
        <v>328</v>
      </c>
      <c r="C12" s="242" t="s">
        <v>329</v>
      </c>
      <c r="D12" s="164">
        <v>56397</v>
      </c>
      <c r="E12" s="164">
        <v>56397</v>
      </c>
      <c r="F12" s="164"/>
    </row>
    <row r="13" spans="2:7" outlineLevel="1" x14ac:dyDescent="0.25">
      <c r="B13" s="148" t="s">
        <v>330</v>
      </c>
      <c r="C13" s="242" t="s">
        <v>333</v>
      </c>
      <c r="D13" s="164">
        <v>3105986.2741359202</v>
      </c>
      <c r="E13" s="164">
        <v>1827707</v>
      </c>
      <c r="F13" s="164">
        <v>1278279.27413592</v>
      </c>
    </row>
    <row r="14" spans="2:7" ht="15.75" outlineLevel="1" thickBot="1" x14ac:dyDescent="0.3">
      <c r="B14" s="148" t="s">
        <v>332</v>
      </c>
      <c r="C14" s="242" t="s">
        <v>331</v>
      </c>
      <c r="D14" s="164">
        <v>230539.12370879852</v>
      </c>
      <c r="E14" s="164"/>
      <c r="F14" s="164">
        <v>230539.12370879852</v>
      </c>
    </row>
    <row r="15" spans="2:7" s="91" customFormat="1" x14ac:dyDescent="0.25">
      <c r="B15" s="160" t="s">
        <v>61</v>
      </c>
      <c r="C15" s="161"/>
      <c r="D15" s="190">
        <v>8913709.7478447165</v>
      </c>
      <c r="E15" s="190">
        <v>3828338</v>
      </c>
      <c r="F15" s="190">
        <v>5085371.7478447184</v>
      </c>
    </row>
  </sheetData>
  <sheetProtection sheet="1" objects="1" scenarios="1"/>
  <hyperlinks>
    <hyperlink ref="G1" location="'Table of contents'!A1" display="Return to TOC" xr:uid="{D6F65241-58D5-4728-B948-25AA3B802EEE}"/>
  </hyperlinks>
  <printOptions horizontalCentered="1"/>
  <pageMargins left="0.25" right="0.25" top="0.5" bottom="0.5" header="0.25" footer="0.25"/>
  <pageSetup scale="46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Risk">
    <tabColor theme="3" tint="0.39997558519241921"/>
    <pageSetUpPr fitToPage="1"/>
  </sheetPr>
  <dimension ref="B1:E3"/>
  <sheetViews>
    <sheetView showGridLines="0" zoomScale="90" zoomScaleNormal="9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ColWidth="8.85546875" defaultRowHeight="15" x14ac:dyDescent="0.25"/>
  <cols>
    <col min="1" max="1" width="4.7109375" style="5" customWidth="1"/>
    <col min="2" max="2" width="8.7109375" style="5" customWidth="1"/>
    <col min="3" max="3" width="50.7109375" style="6" customWidth="1"/>
    <col min="4" max="4" width="10.7109375" style="154" customWidth="1"/>
    <col min="5" max="5" width="60.7109375" style="154" customWidth="1"/>
    <col min="6" max="16384" width="8.85546875" style="5"/>
  </cols>
  <sheetData>
    <row r="1" spans="2:5" x14ac:dyDescent="0.25">
      <c r="B1" s="153"/>
      <c r="E1" s="70" t="s">
        <v>66</v>
      </c>
    </row>
    <row r="2" spans="2:5" s="79" customFormat="1" ht="36" customHeight="1" thickBot="1" x14ac:dyDescent="0.3">
      <c r="B2" s="155" t="s">
        <v>54</v>
      </c>
      <c r="C2" s="156" t="s">
        <v>3</v>
      </c>
      <c r="D2" s="157" t="s">
        <v>162</v>
      </c>
      <c r="E2" s="158" t="s">
        <v>69</v>
      </c>
    </row>
    <row r="3" spans="2:5" s="91" customFormat="1" x14ac:dyDescent="0.25">
      <c r="B3" s="160" t="s">
        <v>61</v>
      </c>
      <c r="C3" s="161"/>
      <c r="D3" s="162" t="e">
        <v>#REF!</v>
      </c>
      <c r="E3" s="162"/>
    </row>
  </sheetData>
  <sheetProtection sheet="1" objects="1" scenarios="1"/>
  <hyperlinks>
    <hyperlink ref="E1" location="'Table of contents'!A1" display="Return to TOC" xr:uid="{00000000-0004-0000-08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Item">
    <tabColor theme="3" tint="0.39997558519241921"/>
    <pageSetUpPr fitToPage="1"/>
  </sheetPr>
  <dimension ref="B1:K42"/>
  <sheetViews>
    <sheetView showGridLines="0" zoomScale="90" zoomScaleNormal="90" workbookViewId="0">
      <pane xSplit="5" ySplit="2" topLeftCell="F3" activePane="bottomRight" state="frozen"/>
      <selection pane="topRight"/>
      <selection pane="bottomLeft"/>
      <selection pane="bottomRight"/>
    </sheetView>
  </sheetViews>
  <sheetFormatPr defaultColWidth="8.85546875" defaultRowHeight="15" outlineLevelRow="1" x14ac:dyDescent="0.25"/>
  <cols>
    <col min="1" max="1" width="4.7109375" style="5" customWidth="1"/>
    <col min="2" max="2" width="8.7109375" style="5" customWidth="1"/>
    <col min="3" max="3" width="14.7109375" style="5" customWidth="1"/>
    <col min="4" max="4" width="15.42578125" style="5" hidden="1" customWidth="1"/>
    <col min="5" max="5" width="60.7109375" style="6" customWidth="1"/>
    <col min="6" max="6" width="10.7109375" style="154" customWidth="1"/>
    <col min="7" max="7" width="8.7109375" style="154" customWidth="1"/>
    <col min="8" max="8" width="18.7109375" style="154" customWidth="1"/>
    <col min="9" max="9" width="12" style="154" customWidth="1"/>
    <col min="10" max="10" width="60.7109375" style="154" customWidth="1"/>
    <col min="11" max="16384" width="8.85546875" style="5"/>
  </cols>
  <sheetData>
    <row r="1" spans="2:11" x14ac:dyDescent="0.25">
      <c r="B1" s="153"/>
      <c r="C1" s="153"/>
      <c r="D1" s="153"/>
      <c r="J1" s="70" t="s">
        <v>66</v>
      </c>
    </row>
    <row r="2" spans="2:11" s="79" customFormat="1" ht="36" customHeight="1" thickBot="1" x14ac:dyDescent="0.3">
      <c r="B2" s="155" t="s">
        <v>53</v>
      </c>
      <c r="C2" s="155" t="s">
        <v>55</v>
      </c>
      <c r="D2" s="155" t="s">
        <v>169</v>
      </c>
      <c r="E2" s="156" t="s">
        <v>3</v>
      </c>
      <c r="F2" s="157" t="s">
        <v>4</v>
      </c>
      <c r="G2" s="158" t="s">
        <v>5</v>
      </c>
      <c r="H2" s="157" t="s">
        <v>165</v>
      </c>
      <c r="I2" s="157" t="s">
        <v>315</v>
      </c>
      <c r="J2" s="158" t="s">
        <v>69</v>
      </c>
    </row>
    <row r="3" spans="2:11" x14ac:dyDescent="0.25">
      <c r="B3" s="237" t="s">
        <v>336</v>
      </c>
      <c r="C3" s="237"/>
      <c r="D3" s="237"/>
      <c r="E3" s="238"/>
      <c r="F3" s="239"/>
      <c r="G3" s="239"/>
      <c r="H3" s="239">
        <v>8913709.7478447165</v>
      </c>
      <c r="I3" s="239"/>
      <c r="J3" s="239"/>
      <c r="K3" s="147"/>
    </row>
    <row r="4" spans="2:11" x14ac:dyDescent="0.25">
      <c r="B4" s="215" t="s">
        <v>345</v>
      </c>
      <c r="C4" s="215"/>
      <c r="D4" s="215"/>
      <c r="E4" s="216"/>
      <c r="F4" s="217"/>
      <c r="G4" s="217"/>
      <c r="H4" s="217">
        <v>8913709.7478447165</v>
      </c>
      <c r="I4" s="217"/>
      <c r="J4" s="217"/>
      <c r="K4" s="147"/>
    </row>
    <row r="5" spans="2:11" outlineLevel="1" x14ac:dyDescent="0.25">
      <c r="B5" s="148" t="s">
        <v>41</v>
      </c>
      <c r="C5" s="148" t="s">
        <v>226</v>
      </c>
      <c r="D5" s="148">
        <v>85</v>
      </c>
      <c r="E5" s="149" t="s">
        <v>357</v>
      </c>
      <c r="F5" s="150">
        <v>1</v>
      </c>
      <c r="G5" s="151" t="s">
        <v>393</v>
      </c>
      <c r="H5" s="150">
        <v>3072</v>
      </c>
      <c r="I5" s="150">
        <v>0</v>
      </c>
      <c r="J5" s="252" t="s">
        <v>352</v>
      </c>
      <c r="K5" s="147"/>
    </row>
    <row r="6" spans="2:11" outlineLevel="1" x14ac:dyDescent="0.25">
      <c r="B6" s="148" t="s">
        <v>42</v>
      </c>
      <c r="C6" s="148" t="s">
        <v>172</v>
      </c>
      <c r="D6" s="148">
        <v>93</v>
      </c>
      <c r="E6" s="149" t="s">
        <v>358</v>
      </c>
      <c r="F6" s="150">
        <v>1</v>
      </c>
      <c r="G6" s="151" t="s">
        <v>394</v>
      </c>
      <c r="H6" s="150">
        <v>16855</v>
      </c>
      <c r="I6" s="150">
        <v>0</v>
      </c>
      <c r="J6" s="252" t="s">
        <v>352</v>
      </c>
      <c r="K6" s="147"/>
    </row>
    <row r="7" spans="2:11" outlineLevel="1" x14ac:dyDescent="0.25">
      <c r="B7" s="148" t="s">
        <v>42</v>
      </c>
      <c r="C7" s="148" t="s">
        <v>176</v>
      </c>
      <c r="D7" s="148">
        <v>94</v>
      </c>
      <c r="E7" s="149" t="s">
        <v>359</v>
      </c>
      <c r="F7" s="150">
        <v>1</v>
      </c>
      <c r="G7" s="151" t="s">
        <v>393</v>
      </c>
      <c r="H7" s="150">
        <v>1194</v>
      </c>
      <c r="I7" s="150">
        <v>0</v>
      </c>
      <c r="J7" s="252" t="s">
        <v>352</v>
      </c>
      <c r="K7" s="147"/>
    </row>
    <row r="8" spans="2:11" outlineLevel="1" x14ac:dyDescent="0.25">
      <c r="B8" s="148" t="s">
        <v>43</v>
      </c>
      <c r="C8" s="148" t="s">
        <v>181</v>
      </c>
      <c r="D8" s="148">
        <v>201</v>
      </c>
      <c r="E8" s="149" t="s">
        <v>360</v>
      </c>
      <c r="F8" s="150">
        <v>1</v>
      </c>
      <c r="G8" s="151" t="s">
        <v>393</v>
      </c>
      <c r="H8" s="150">
        <v>56600</v>
      </c>
      <c r="I8" s="150">
        <v>0</v>
      </c>
      <c r="J8" s="252" t="s">
        <v>352</v>
      </c>
      <c r="K8" s="147"/>
    </row>
    <row r="9" spans="2:11" outlineLevel="1" x14ac:dyDescent="0.25">
      <c r="B9" s="148" t="s">
        <v>43</v>
      </c>
      <c r="C9" s="148" t="s">
        <v>185</v>
      </c>
      <c r="D9" s="148">
        <v>202</v>
      </c>
      <c r="E9" s="149" t="s">
        <v>361</v>
      </c>
      <c r="F9" s="150">
        <v>1</v>
      </c>
      <c r="G9" s="151" t="s">
        <v>393</v>
      </c>
      <c r="H9" s="150">
        <v>7373</v>
      </c>
      <c r="I9" s="150">
        <v>0</v>
      </c>
      <c r="J9" s="252" t="s">
        <v>352</v>
      </c>
      <c r="K9" s="147"/>
    </row>
    <row r="10" spans="2:11" outlineLevel="1" x14ac:dyDescent="0.25">
      <c r="B10" s="148" t="s">
        <v>44</v>
      </c>
      <c r="C10" s="148" t="s">
        <v>189</v>
      </c>
      <c r="D10" s="148">
        <v>197</v>
      </c>
      <c r="E10" s="149" t="s">
        <v>362</v>
      </c>
      <c r="F10" s="150">
        <v>1</v>
      </c>
      <c r="G10" s="151" t="s">
        <v>393</v>
      </c>
      <c r="H10" s="150">
        <v>42050</v>
      </c>
      <c r="I10" s="150">
        <v>0</v>
      </c>
      <c r="J10" s="252" t="s">
        <v>352</v>
      </c>
      <c r="K10" s="147"/>
    </row>
    <row r="11" spans="2:11" outlineLevel="1" x14ac:dyDescent="0.25">
      <c r="B11" s="148" t="s">
        <v>44</v>
      </c>
      <c r="C11" s="148" t="s">
        <v>189</v>
      </c>
      <c r="D11" s="148">
        <v>193</v>
      </c>
      <c r="E11" s="149" t="s">
        <v>363</v>
      </c>
      <c r="F11" s="150">
        <v>1</v>
      </c>
      <c r="G11" s="151" t="s">
        <v>393</v>
      </c>
      <c r="H11" s="150">
        <v>25750</v>
      </c>
      <c r="I11" s="150">
        <v>0</v>
      </c>
      <c r="J11" s="252" t="s">
        <v>342</v>
      </c>
      <c r="K11" s="147"/>
    </row>
    <row r="12" spans="2:11" outlineLevel="1" x14ac:dyDescent="0.25">
      <c r="B12" s="148" t="s">
        <v>44</v>
      </c>
      <c r="C12" s="148" t="s">
        <v>193</v>
      </c>
      <c r="D12" s="148">
        <v>198</v>
      </c>
      <c r="E12" s="149" t="s">
        <v>364</v>
      </c>
      <c r="F12" s="150">
        <v>1</v>
      </c>
      <c r="G12" s="151" t="s">
        <v>393</v>
      </c>
      <c r="H12" s="150">
        <v>27732</v>
      </c>
      <c r="I12" s="150">
        <v>0</v>
      </c>
      <c r="J12" s="252" t="s">
        <v>352</v>
      </c>
      <c r="K12" s="147"/>
    </row>
    <row r="13" spans="2:11" outlineLevel="1" x14ac:dyDescent="0.25">
      <c r="B13" s="148" t="s">
        <v>44</v>
      </c>
      <c r="C13" s="148" t="s">
        <v>193</v>
      </c>
      <c r="D13" s="148">
        <v>267</v>
      </c>
      <c r="E13" s="149" t="s">
        <v>365</v>
      </c>
      <c r="F13" s="150">
        <v>1</v>
      </c>
      <c r="G13" s="151" t="s">
        <v>393</v>
      </c>
      <c r="H13" s="150">
        <v>103000</v>
      </c>
      <c r="I13" s="150">
        <v>0</v>
      </c>
      <c r="J13" s="252" t="s">
        <v>342</v>
      </c>
      <c r="K13" s="147"/>
    </row>
    <row r="14" spans="2:11" outlineLevel="1" x14ac:dyDescent="0.25">
      <c r="B14" s="148" t="s">
        <v>45</v>
      </c>
      <c r="C14" s="148" t="s">
        <v>197</v>
      </c>
      <c r="D14" s="148">
        <v>259</v>
      </c>
      <c r="E14" s="149" t="s">
        <v>366</v>
      </c>
      <c r="F14" s="150">
        <v>1</v>
      </c>
      <c r="G14" s="151" t="s">
        <v>393</v>
      </c>
      <c r="H14" s="150">
        <v>455787</v>
      </c>
      <c r="I14" s="150">
        <v>0</v>
      </c>
      <c r="J14" s="252" t="s">
        <v>352</v>
      </c>
      <c r="K14" s="147"/>
    </row>
    <row r="15" spans="2:11" outlineLevel="1" x14ac:dyDescent="0.25">
      <c r="B15" s="148" t="s">
        <v>45</v>
      </c>
      <c r="C15" s="148" t="s">
        <v>200</v>
      </c>
      <c r="D15" s="148">
        <v>260</v>
      </c>
      <c r="E15" s="149" t="s">
        <v>367</v>
      </c>
      <c r="F15" s="150">
        <v>1</v>
      </c>
      <c r="G15" s="151" t="s">
        <v>393</v>
      </c>
      <c r="H15" s="150">
        <v>2325422.4900000002</v>
      </c>
      <c r="I15" s="150">
        <v>0</v>
      </c>
      <c r="J15" s="252" t="s">
        <v>352</v>
      </c>
      <c r="K15" s="147"/>
    </row>
    <row r="16" spans="2:11" outlineLevel="1" x14ac:dyDescent="0.25">
      <c r="B16" s="148" t="s">
        <v>45</v>
      </c>
      <c r="C16" s="148" t="s">
        <v>233</v>
      </c>
      <c r="D16" s="148">
        <v>242</v>
      </c>
      <c r="E16" s="149" t="s">
        <v>368</v>
      </c>
      <c r="F16" s="150">
        <v>1</v>
      </c>
      <c r="G16" s="151" t="s">
        <v>393</v>
      </c>
      <c r="H16" s="150">
        <v>103000</v>
      </c>
      <c r="I16" s="150">
        <v>0</v>
      </c>
      <c r="J16" s="252" t="s">
        <v>342</v>
      </c>
      <c r="K16" s="147"/>
    </row>
    <row r="17" spans="2:11" outlineLevel="1" x14ac:dyDescent="0.25">
      <c r="B17" s="148" t="s">
        <v>45</v>
      </c>
      <c r="C17" s="148" t="s">
        <v>206</v>
      </c>
      <c r="D17" s="148">
        <v>128</v>
      </c>
      <c r="E17" s="149" t="s">
        <v>369</v>
      </c>
      <c r="F17" s="150">
        <v>1</v>
      </c>
      <c r="G17" s="151" t="s">
        <v>393</v>
      </c>
      <c r="H17" s="150">
        <v>53623.86</v>
      </c>
      <c r="I17" s="150">
        <v>0</v>
      </c>
      <c r="J17" s="252" t="s">
        <v>342</v>
      </c>
      <c r="K17" s="147"/>
    </row>
    <row r="18" spans="2:11" outlineLevel="1" x14ac:dyDescent="0.25">
      <c r="B18" s="148" t="s">
        <v>46</v>
      </c>
      <c r="C18" s="148" t="s">
        <v>240</v>
      </c>
      <c r="D18" s="148">
        <v>262</v>
      </c>
      <c r="E18" s="149" t="s">
        <v>370</v>
      </c>
      <c r="F18" s="150">
        <v>1</v>
      </c>
      <c r="G18" s="151" t="s">
        <v>395</v>
      </c>
      <c r="H18" s="150">
        <v>607700</v>
      </c>
      <c r="I18" s="150">
        <v>0</v>
      </c>
      <c r="J18" s="252" t="s">
        <v>352</v>
      </c>
      <c r="K18" s="147"/>
    </row>
    <row r="19" spans="2:11" outlineLevel="1" x14ac:dyDescent="0.25">
      <c r="B19" s="148" t="s">
        <v>46</v>
      </c>
      <c r="C19" s="148" t="s">
        <v>240</v>
      </c>
      <c r="D19" s="148">
        <v>265</v>
      </c>
      <c r="E19" s="149" t="s">
        <v>371</v>
      </c>
      <c r="F19" s="150">
        <v>1</v>
      </c>
      <c r="G19" s="151" t="s">
        <v>395</v>
      </c>
      <c r="H19" s="150">
        <v>546350</v>
      </c>
      <c r="I19" s="150">
        <v>0</v>
      </c>
      <c r="J19" s="252" t="s">
        <v>353</v>
      </c>
      <c r="K19" s="147"/>
    </row>
    <row r="20" spans="2:11" outlineLevel="1" x14ac:dyDescent="0.25">
      <c r="B20" s="148" t="s">
        <v>47</v>
      </c>
      <c r="C20" s="148" t="s">
        <v>244</v>
      </c>
      <c r="D20" s="148">
        <v>249</v>
      </c>
      <c r="E20" s="149" t="s">
        <v>372</v>
      </c>
      <c r="F20" s="150">
        <v>1</v>
      </c>
      <c r="G20" s="151" t="s">
        <v>393</v>
      </c>
      <c r="H20" s="150">
        <v>14044</v>
      </c>
      <c r="I20" s="150">
        <v>0</v>
      </c>
      <c r="J20" s="252" t="s">
        <v>352</v>
      </c>
      <c r="K20" s="147"/>
    </row>
    <row r="21" spans="2:11" outlineLevel="1" x14ac:dyDescent="0.25">
      <c r="B21" s="148" t="s">
        <v>49</v>
      </c>
      <c r="C21" s="148" t="s">
        <v>214</v>
      </c>
      <c r="D21" s="148">
        <v>263</v>
      </c>
      <c r="E21" s="149" t="s">
        <v>373</v>
      </c>
      <c r="F21" s="150">
        <v>1</v>
      </c>
      <c r="G21" s="151" t="s">
        <v>393</v>
      </c>
      <c r="H21" s="150">
        <v>826888</v>
      </c>
      <c r="I21" s="150">
        <v>0</v>
      </c>
      <c r="J21" s="252" t="s">
        <v>342</v>
      </c>
      <c r="K21" s="147"/>
    </row>
    <row r="22" spans="2:11" outlineLevel="1" x14ac:dyDescent="0.25">
      <c r="B22" s="148" t="s">
        <v>49</v>
      </c>
      <c r="C22" s="148" t="s">
        <v>217</v>
      </c>
      <c r="D22" s="148">
        <v>148</v>
      </c>
      <c r="E22" s="149" t="s">
        <v>374</v>
      </c>
      <c r="F22" s="150">
        <v>1</v>
      </c>
      <c r="G22" s="151" t="s">
        <v>393</v>
      </c>
      <c r="H22" s="150">
        <v>196235</v>
      </c>
      <c r="I22" s="150">
        <v>0</v>
      </c>
      <c r="J22" s="252" t="s">
        <v>352</v>
      </c>
      <c r="K22" s="147"/>
    </row>
    <row r="23" spans="2:11" outlineLevel="1" x14ac:dyDescent="0.25">
      <c r="B23" s="148" t="s">
        <v>49</v>
      </c>
      <c r="C23" s="148" t="s">
        <v>221</v>
      </c>
      <c r="D23" s="148">
        <v>161</v>
      </c>
      <c r="E23" s="149" t="s">
        <v>375</v>
      </c>
      <c r="F23" s="150">
        <v>1</v>
      </c>
      <c r="G23" s="151" t="s">
        <v>393</v>
      </c>
      <c r="H23" s="150">
        <v>112022</v>
      </c>
      <c r="I23" s="150">
        <v>0</v>
      </c>
      <c r="J23" s="252" t="s">
        <v>352</v>
      </c>
      <c r="K23" s="147"/>
    </row>
    <row r="24" spans="2:11" outlineLevel="1" x14ac:dyDescent="0.25">
      <c r="B24" s="148" t="s">
        <v>50</v>
      </c>
      <c r="C24" s="148" t="s">
        <v>266</v>
      </c>
      <c r="D24" s="148">
        <v>216</v>
      </c>
      <c r="E24" s="149" t="s">
        <v>376</v>
      </c>
      <c r="F24" s="150">
        <v>1</v>
      </c>
      <c r="G24" s="151" t="s">
        <v>393</v>
      </c>
      <c r="H24" s="150">
        <v>14138</v>
      </c>
      <c r="I24" s="150">
        <v>0</v>
      </c>
      <c r="J24" s="252" t="s">
        <v>352</v>
      </c>
      <c r="K24" s="147"/>
    </row>
    <row r="25" spans="2:11" outlineLevel="1" x14ac:dyDescent="0.25">
      <c r="B25" s="148" t="s">
        <v>51</v>
      </c>
      <c r="C25" s="148" t="s">
        <v>166</v>
      </c>
      <c r="D25" s="148">
        <v>170</v>
      </c>
      <c r="E25" s="149" t="s">
        <v>377</v>
      </c>
      <c r="F25" s="150">
        <v>1</v>
      </c>
      <c r="G25" s="151" t="s">
        <v>393</v>
      </c>
      <c r="H25" s="150">
        <v>38348</v>
      </c>
      <c r="I25" s="150">
        <v>0</v>
      </c>
      <c r="J25" s="252" t="s">
        <v>354</v>
      </c>
      <c r="K25" s="147"/>
    </row>
    <row r="26" spans="2:11" outlineLevel="1" x14ac:dyDescent="0.25">
      <c r="B26" s="148" t="s">
        <v>51</v>
      </c>
      <c r="C26" s="148" t="s">
        <v>167</v>
      </c>
      <c r="D26" s="148">
        <v>0</v>
      </c>
      <c r="E26" s="149" t="s">
        <v>378</v>
      </c>
      <c r="F26" s="150">
        <v>1</v>
      </c>
      <c r="G26" s="151" t="s">
        <v>393</v>
      </c>
      <c r="H26" s="150">
        <v>71531.06700000001</v>
      </c>
      <c r="I26" s="150">
        <v>0</v>
      </c>
      <c r="J26" s="252" t="s">
        <v>342</v>
      </c>
      <c r="K26" s="147"/>
    </row>
    <row r="27" spans="2:11" outlineLevel="1" x14ac:dyDescent="0.25">
      <c r="B27" s="148" t="s">
        <v>57</v>
      </c>
      <c r="C27" s="148" t="s">
        <v>138</v>
      </c>
      <c r="D27" s="148">
        <v>0</v>
      </c>
      <c r="E27" s="149" t="s">
        <v>379</v>
      </c>
      <c r="F27" s="150">
        <v>1</v>
      </c>
      <c r="G27" s="151" t="s">
        <v>393</v>
      </c>
      <c r="H27" s="150">
        <v>132109.63339999999</v>
      </c>
      <c r="I27" s="150">
        <v>0</v>
      </c>
      <c r="J27" s="252" t="s">
        <v>342</v>
      </c>
      <c r="K27" s="147"/>
    </row>
    <row r="28" spans="2:11" outlineLevel="1" x14ac:dyDescent="0.25">
      <c r="B28" s="148" t="s">
        <v>57</v>
      </c>
      <c r="C28" s="148" t="s">
        <v>138</v>
      </c>
      <c r="D28" s="148">
        <v>205</v>
      </c>
      <c r="E28" s="149" t="s">
        <v>380</v>
      </c>
      <c r="F28" s="150">
        <v>1</v>
      </c>
      <c r="G28" s="151" t="s">
        <v>393</v>
      </c>
      <c r="H28" s="150">
        <v>148454</v>
      </c>
      <c r="I28" s="150">
        <v>0</v>
      </c>
      <c r="J28" s="252" t="s">
        <v>354</v>
      </c>
      <c r="K28" s="147"/>
    </row>
    <row r="29" spans="2:11" outlineLevel="1" x14ac:dyDescent="0.25">
      <c r="B29" s="148" t="s">
        <v>57</v>
      </c>
      <c r="C29" s="148" t="s">
        <v>139</v>
      </c>
      <c r="D29" s="148">
        <v>0</v>
      </c>
      <c r="E29" s="149" t="s">
        <v>381</v>
      </c>
      <c r="F29" s="150">
        <v>1</v>
      </c>
      <c r="G29" s="151" t="s">
        <v>393</v>
      </c>
      <c r="H29" s="150">
        <v>73921.10901</v>
      </c>
      <c r="I29" s="150">
        <v>0</v>
      </c>
      <c r="J29" s="252" t="s">
        <v>342</v>
      </c>
      <c r="K29" s="147"/>
    </row>
    <row r="30" spans="2:11" outlineLevel="1" x14ac:dyDescent="0.25">
      <c r="B30" s="148" t="s">
        <v>57</v>
      </c>
      <c r="C30" s="148" t="s">
        <v>139</v>
      </c>
      <c r="D30" s="148">
        <v>206</v>
      </c>
      <c r="E30" s="149" t="s">
        <v>382</v>
      </c>
      <c r="F30" s="150">
        <v>1</v>
      </c>
      <c r="G30" s="151" t="s">
        <v>393</v>
      </c>
      <c r="H30" s="150">
        <v>5176</v>
      </c>
      <c r="I30" s="150">
        <v>0</v>
      </c>
      <c r="J30" s="252" t="s">
        <v>354</v>
      </c>
      <c r="K30" s="147"/>
    </row>
    <row r="31" spans="2:11" outlineLevel="1" x14ac:dyDescent="0.25">
      <c r="B31" s="148" t="s">
        <v>57</v>
      </c>
      <c r="C31" s="148" t="s">
        <v>140</v>
      </c>
      <c r="D31" s="148">
        <v>0</v>
      </c>
      <c r="E31" s="149" t="s">
        <v>383</v>
      </c>
      <c r="F31" s="150">
        <v>1</v>
      </c>
      <c r="G31" s="151" t="s">
        <v>393</v>
      </c>
      <c r="H31" s="150">
        <v>234231.26999999996</v>
      </c>
      <c r="I31" s="150">
        <v>0</v>
      </c>
      <c r="J31" s="252" t="s">
        <v>342</v>
      </c>
      <c r="K31" s="147"/>
    </row>
    <row r="32" spans="2:11" outlineLevel="1" x14ac:dyDescent="0.25">
      <c r="B32" s="148" t="s">
        <v>57</v>
      </c>
      <c r="C32" s="148" t="s">
        <v>140</v>
      </c>
      <c r="D32" s="148">
        <v>207</v>
      </c>
      <c r="E32" s="149" t="s">
        <v>384</v>
      </c>
      <c r="F32" s="150">
        <v>1</v>
      </c>
      <c r="G32" s="151" t="s">
        <v>393</v>
      </c>
      <c r="H32" s="150">
        <v>617492</v>
      </c>
      <c r="I32" s="150">
        <v>0</v>
      </c>
      <c r="J32" s="252" t="s">
        <v>354</v>
      </c>
      <c r="K32" s="147"/>
    </row>
    <row r="33" spans="2:11" outlineLevel="1" x14ac:dyDescent="0.25">
      <c r="B33" s="148" t="s">
        <v>57</v>
      </c>
      <c r="C33" s="148" t="s">
        <v>141</v>
      </c>
      <c r="D33" s="148">
        <v>0</v>
      </c>
      <c r="E33" s="149" t="s">
        <v>385</v>
      </c>
      <c r="F33" s="150">
        <v>1</v>
      </c>
      <c r="G33" s="151" t="s">
        <v>393</v>
      </c>
      <c r="H33" s="150">
        <v>694093.07248200011</v>
      </c>
      <c r="I33" s="150">
        <v>0</v>
      </c>
      <c r="J33" s="252" t="s">
        <v>342</v>
      </c>
      <c r="K33" s="147"/>
    </row>
    <row r="34" spans="2:11" outlineLevel="1" x14ac:dyDescent="0.25">
      <c r="B34" s="148" t="s">
        <v>57</v>
      </c>
      <c r="C34" s="148" t="s">
        <v>142</v>
      </c>
      <c r="D34" s="148">
        <v>0</v>
      </c>
      <c r="E34" s="149" t="s">
        <v>386</v>
      </c>
      <c r="F34" s="150">
        <v>1</v>
      </c>
      <c r="G34" s="151" t="s">
        <v>393</v>
      </c>
      <c r="H34" s="150">
        <v>48067.649743920003</v>
      </c>
      <c r="I34" s="150">
        <v>0</v>
      </c>
      <c r="J34" s="252" t="s">
        <v>342</v>
      </c>
      <c r="K34" s="147"/>
    </row>
    <row r="35" spans="2:11" outlineLevel="1" x14ac:dyDescent="0.25">
      <c r="B35" s="148" t="s">
        <v>57</v>
      </c>
      <c r="C35" s="148" t="s">
        <v>142</v>
      </c>
      <c r="D35" s="148">
        <v>210</v>
      </c>
      <c r="E35" s="149" t="s">
        <v>387</v>
      </c>
      <c r="F35" s="150">
        <v>1</v>
      </c>
      <c r="G35" s="151" t="s">
        <v>393</v>
      </c>
      <c r="H35" s="150">
        <v>24626</v>
      </c>
      <c r="I35" s="150">
        <v>0</v>
      </c>
      <c r="J35" s="252" t="s">
        <v>354</v>
      </c>
      <c r="K35" s="147"/>
    </row>
    <row r="36" spans="2:11" outlineLevel="1" x14ac:dyDescent="0.25">
      <c r="B36" s="148" t="s">
        <v>57</v>
      </c>
      <c r="C36" s="148" t="s">
        <v>143</v>
      </c>
      <c r="D36" s="148">
        <v>0</v>
      </c>
      <c r="E36" s="149" t="s">
        <v>388</v>
      </c>
      <c r="F36" s="150">
        <v>1</v>
      </c>
      <c r="G36" s="151" t="s">
        <v>393</v>
      </c>
      <c r="H36" s="150">
        <v>43708</v>
      </c>
      <c r="I36" s="150">
        <v>0</v>
      </c>
      <c r="J36" s="252" t="s">
        <v>342</v>
      </c>
      <c r="K36" s="147"/>
    </row>
    <row r="37" spans="2:11" outlineLevel="1" x14ac:dyDescent="0.25">
      <c r="B37" s="148" t="s">
        <v>57</v>
      </c>
      <c r="C37" s="148" t="s">
        <v>144</v>
      </c>
      <c r="D37" s="148">
        <v>213</v>
      </c>
      <c r="E37" s="149" t="s">
        <v>389</v>
      </c>
      <c r="F37" s="150">
        <v>1</v>
      </c>
      <c r="G37" s="151" t="s">
        <v>393</v>
      </c>
      <c r="H37" s="150">
        <v>76177</v>
      </c>
      <c r="I37" s="150">
        <v>0</v>
      </c>
      <c r="J37" s="252" t="s">
        <v>354</v>
      </c>
      <c r="K37" s="147"/>
    </row>
    <row r="38" spans="2:11" outlineLevel="1" x14ac:dyDescent="0.25">
      <c r="B38" s="148" t="s">
        <v>57</v>
      </c>
      <c r="C38" s="148" t="s">
        <v>145</v>
      </c>
      <c r="D38" s="148">
        <v>0</v>
      </c>
      <c r="E38" s="149" t="s">
        <v>390</v>
      </c>
      <c r="F38" s="150">
        <v>1</v>
      </c>
      <c r="G38" s="151" t="s">
        <v>393</v>
      </c>
      <c r="H38" s="150">
        <v>52148.539499999999</v>
      </c>
      <c r="I38" s="150">
        <v>0</v>
      </c>
      <c r="J38" s="252" t="s">
        <v>342</v>
      </c>
      <c r="K38" s="147"/>
    </row>
    <row r="39" spans="2:11" outlineLevel="1" x14ac:dyDescent="0.25">
      <c r="B39" s="148" t="s">
        <v>57</v>
      </c>
      <c r="C39" s="148" t="s">
        <v>145</v>
      </c>
      <c r="D39" s="148">
        <v>214</v>
      </c>
      <c r="E39" s="149" t="s">
        <v>391</v>
      </c>
      <c r="F39" s="150">
        <v>1</v>
      </c>
      <c r="G39" s="151" t="s">
        <v>393</v>
      </c>
      <c r="H39" s="150">
        <v>1269</v>
      </c>
      <c r="I39" s="150">
        <v>0</v>
      </c>
      <c r="J39" s="252" t="s">
        <v>354</v>
      </c>
      <c r="K39" s="147"/>
    </row>
    <row r="40" spans="2:11" outlineLevel="1" x14ac:dyDescent="0.25">
      <c r="B40" s="148" t="s">
        <v>57</v>
      </c>
      <c r="C40" s="148" t="s">
        <v>146</v>
      </c>
      <c r="D40" s="148">
        <v>173</v>
      </c>
      <c r="E40" s="149" t="s">
        <v>392</v>
      </c>
      <c r="F40" s="150">
        <v>1</v>
      </c>
      <c r="G40" s="151" t="s">
        <v>393</v>
      </c>
      <c r="H40" s="150">
        <v>683313</v>
      </c>
      <c r="I40" s="150">
        <v>0</v>
      </c>
      <c r="J40" s="252" t="s">
        <v>354</v>
      </c>
      <c r="K40" s="147"/>
    </row>
    <row r="41" spans="2:11" ht="15.75" outlineLevel="1" thickBot="1" x14ac:dyDescent="0.3">
      <c r="B41" s="148" t="s">
        <v>58</v>
      </c>
      <c r="C41" s="148" t="s">
        <v>267</v>
      </c>
      <c r="D41" s="148">
        <v>174</v>
      </c>
      <c r="E41" s="149" t="s">
        <v>22</v>
      </c>
      <c r="F41" s="150">
        <v>1</v>
      </c>
      <c r="G41" s="151" t="s">
        <v>393</v>
      </c>
      <c r="H41" s="150">
        <v>430208.05670879851</v>
      </c>
      <c r="I41" s="150">
        <v>0</v>
      </c>
      <c r="J41" s="252" t="s">
        <v>354</v>
      </c>
      <c r="K41" s="147"/>
    </row>
    <row r="42" spans="2:11" s="91" customFormat="1" x14ac:dyDescent="0.25">
      <c r="B42" s="160" t="s">
        <v>61</v>
      </c>
      <c r="C42" s="160"/>
      <c r="D42" s="160"/>
      <c r="E42" s="161"/>
      <c r="F42" s="162"/>
      <c r="G42" s="162"/>
      <c r="H42" s="162">
        <v>8913709.7478447165</v>
      </c>
      <c r="I42" s="162"/>
      <c r="J42" s="162"/>
    </row>
  </sheetData>
  <sheetProtection sheet="1" objects="1" scenarios="1"/>
  <hyperlinks>
    <hyperlink ref="J1" location="'Table of contents'!A1" display="Return to TOC" xr:uid="{00000000-0004-0000-09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AF">
    <tabColor theme="7" tint="-0.499984740745262"/>
    <pageSetUpPr fitToPage="1"/>
  </sheetPr>
  <dimension ref="A1:J58"/>
  <sheetViews>
    <sheetView showGridLines="0" zoomScale="80" zoomScaleNormal="80" workbookViewId="0">
      <pane ySplit="8" topLeftCell="A9" activePane="bottomLeft" state="frozen"/>
      <selection pane="bottomLeft" activeCell="Q20" sqref="Q20"/>
    </sheetView>
  </sheetViews>
  <sheetFormatPr defaultColWidth="8.85546875" defaultRowHeight="15" outlineLevelCol="1" x14ac:dyDescent="0.25"/>
  <cols>
    <col min="1" max="1" width="4.7109375" customWidth="1"/>
    <col min="2" max="2" width="50.7109375" customWidth="1" collapsed="1"/>
    <col min="3" max="5" width="12.7109375" customWidth="1"/>
    <col min="6" max="6" width="12.7109375" hidden="1" customWidth="1"/>
    <col min="7" max="7" width="12.7109375" customWidth="1"/>
    <col min="8" max="9" width="12.7109375" hidden="1" customWidth="1" outlineLevel="1"/>
    <col min="10" max="10" width="8.85546875" collapsed="1"/>
  </cols>
  <sheetData>
    <row r="1" spans="1:9" x14ac:dyDescent="0.25">
      <c r="A1" s="136"/>
      <c r="B1" s="2" t="s">
        <v>29</v>
      </c>
      <c r="C1" s="3" t="s">
        <v>336</v>
      </c>
      <c r="D1" s="141"/>
      <c r="E1" s="141"/>
      <c r="F1" s="141"/>
      <c r="G1" s="70" t="s">
        <v>66</v>
      </c>
      <c r="H1" s="141"/>
      <c r="I1" s="70"/>
    </row>
    <row r="2" spans="1:9" x14ac:dyDescent="0.25">
      <c r="A2" s="136"/>
      <c r="B2" s="2" t="s">
        <v>26</v>
      </c>
      <c r="C2" s="3" t="s">
        <v>337</v>
      </c>
      <c r="D2" s="141"/>
      <c r="E2" s="141"/>
      <c r="F2" s="141"/>
      <c r="G2" s="141"/>
      <c r="H2" s="141"/>
      <c r="I2" s="141"/>
    </row>
    <row r="3" spans="1:9" x14ac:dyDescent="0.25">
      <c r="A3" s="136"/>
      <c r="B3" s="2" t="s">
        <v>160</v>
      </c>
      <c r="C3" s="3" t="s">
        <v>338</v>
      </c>
      <c r="D3" s="141"/>
      <c r="E3" s="141"/>
      <c r="F3" s="141"/>
      <c r="G3" s="141"/>
      <c r="H3" s="141"/>
      <c r="I3" s="141"/>
    </row>
    <row r="4" spans="1:9" x14ac:dyDescent="0.25">
      <c r="A4" s="136"/>
      <c r="B4" s="2" t="s">
        <v>159</v>
      </c>
      <c r="C4" s="3" t="s">
        <v>339</v>
      </c>
      <c r="D4" s="141"/>
      <c r="E4" s="141"/>
      <c r="F4" s="141"/>
      <c r="G4" s="141"/>
      <c r="H4" s="141"/>
      <c r="I4" s="141"/>
    </row>
    <row r="5" spans="1:9" x14ac:dyDescent="0.25">
      <c r="A5" s="136"/>
      <c r="B5" s="2"/>
      <c r="C5" s="3"/>
      <c r="D5" s="141"/>
      <c r="E5" s="141"/>
      <c r="F5" s="141"/>
      <c r="G5" s="141"/>
      <c r="H5" s="141"/>
      <c r="I5" s="141"/>
    </row>
    <row r="6" spans="1:9" x14ac:dyDescent="0.25">
      <c r="A6" s="136"/>
      <c r="B6" s="141"/>
      <c r="C6" s="141"/>
      <c r="D6" s="141"/>
      <c r="E6" s="142" t="s">
        <v>81</v>
      </c>
      <c r="F6" s="141" t="s">
        <v>399</v>
      </c>
      <c r="G6" s="141"/>
      <c r="H6" s="141"/>
      <c r="I6" s="141"/>
    </row>
    <row r="7" spans="1:9" x14ac:dyDescent="0.25">
      <c r="A7" s="136"/>
      <c r="B7" s="143"/>
      <c r="C7" s="143"/>
      <c r="D7" s="143"/>
      <c r="E7" s="143">
        <v>2026</v>
      </c>
      <c r="F7" s="246">
        <v>2030</v>
      </c>
      <c r="G7" s="246" t="s">
        <v>28</v>
      </c>
      <c r="H7" s="247">
        <v>2030</v>
      </c>
      <c r="I7" s="247" t="s">
        <v>28</v>
      </c>
    </row>
    <row r="8" spans="1:9" ht="30" x14ac:dyDescent="0.25">
      <c r="A8" s="136"/>
      <c r="B8" s="144" t="s">
        <v>82</v>
      </c>
      <c r="C8" s="145" t="s">
        <v>83</v>
      </c>
      <c r="D8" s="144" t="s">
        <v>84</v>
      </c>
      <c r="E8" s="144" t="s">
        <v>85</v>
      </c>
      <c r="F8" s="246"/>
      <c r="G8" s="246"/>
      <c r="H8" s="247"/>
      <c r="I8" s="247"/>
    </row>
    <row r="9" spans="1:9" x14ac:dyDescent="0.25">
      <c r="A9" s="136"/>
      <c r="B9" s="139" t="s">
        <v>86</v>
      </c>
      <c r="C9" s="137"/>
      <c r="D9" s="137">
        <v>3.1</v>
      </c>
      <c r="E9" s="137">
        <v>0</v>
      </c>
      <c r="F9" s="137">
        <v>0</v>
      </c>
      <c r="G9" s="137">
        <v>3.1</v>
      </c>
      <c r="H9" s="138">
        <v>0</v>
      </c>
      <c r="I9" s="137">
        <v>3.1</v>
      </c>
    </row>
    <row r="10" spans="1:9" x14ac:dyDescent="0.25">
      <c r="A10" s="136"/>
      <c r="B10" s="139" t="s">
        <v>87</v>
      </c>
      <c r="C10" s="137"/>
      <c r="D10" s="137">
        <v>18</v>
      </c>
      <c r="E10" s="137">
        <v>0</v>
      </c>
      <c r="F10" s="137">
        <v>0</v>
      </c>
      <c r="G10" s="137">
        <v>18</v>
      </c>
      <c r="H10" s="138">
        <v>0</v>
      </c>
      <c r="I10" s="137">
        <v>18</v>
      </c>
    </row>
    <row r="11" spans="1:9" x14ac:dyDescent="0.25">
      <c r="A11" s="136"/>
      <c r="B11" s="139" t="s">
        <v>311</v>
      </c>
      <c r="C11" s="137"/>
      <c r="D11" s="137">
        <v>64</v>
      </c>
      <c r="E11" s="137">
        <v>0</v>
      </c>
      <c r="F11" s="137">
        <v>0</v>
      </c>
      <c r="G11" s="137">
        <v>64</v>
      </c>
      <c r="H11" s="138">
        <v>0</v>
      </c>
      <c r="I11" s="137">
        <v>64</v>
      </c>
    </row>
    <row r="12" spans="1:9" x14ac:dyDescent="0.25">
      <c r="A12" s="136"/>
      <c r="B12" s="139" t="s">
        <v>88</v>
      </c>
      <c r="C12" s="137"/>
      <c r="D12" s="137">
        <v>69.8</v>
      </c>
      <c r="E12" s="137">
        <v>128.80000000000001</v>
      </c>
      <c r="F12" s="137">
        <v>0</v>
      </c>
      <c r="G12" s="137">
        <v>198.60000000000002</v>
      </c>
      <c r="H12" s="138">
        <v>0</v>
      </c>
      <c r="I12" s="137">
        <v>198.5</v>
      </c>
    </row>
    <row r="13" spans="1:9" x14ac:dyDescent="0.25">
      <c r="A13" s="136"/>
      <c r="B13" s="139" t="s">
        <v>89</v>
      </c>
      <c r="C13" s="137"/>
      <c r="D13" s="137">
        <v>291.8</v>
      </c>
      <c r="E13" s="137">
        <v>2646</v>
      </c>
      <c r="F13" s="137">
        <v>0</v>
      </c>
      <c r="G13" s="137">
        <v>2937.8</v>
      </c>
      <c r="H13" s="138">
        <v>0</v>
      </c>
      <c r="I13" s="137">
        <v>2937.8</v>
      </c>
    </row>
    <row r="14" spans="1:9" x14ac:dyDescent="0.25">
      <c r="A14" s="136"/>
      <c r="B14" s="139" t="s">
        <v>312</v>
      </c>
      <c r="C14" s="137"/>
      <c r="D14" s="137">
        <v>607.70000000000005</v>
      </c>
      <c r="E14" s="137">
        <v>546.4</v>
      </c>
      <c r="F14" s="137">
        <v>0</v>
      </c>
      <c r="G14" s="137">
        <v>1154.0999999999999</v>
      </c>
      <c r="H14" s="138">
        <v>0</v>
      </c>
      <c r="I14" s="137">
        <v>1154.0999999999999</v>
      </c>
    </row>
    <row r="15" spans="1:9" x14ac:dyDescent="0.25">
      <c r="A15" s="136"/>
      <c r="B15" s="139" t="s">
        <v>313</v>
      </c>
      <c r="C15" s="137"/>
      <c r="D15" s="137">
        <v>14</v>
      </c>
      <c r="E15" s="137">
        <v>0</v>
      </c>
      <c r="F15" s="137">
        <v>0</v>
      </c>
      <c r="G15" s="137">
        <v>14</v>
      </c>
      <c r="H15" s="138">
        <v>0</v>
      </c>
      <c r="I15" s="137">
        <v>14</v>
      </c>
    </row>
    <row r="16" spans="1:9" x14ac:dyDescent="0.25">
      <c r="A16" s="136"/>
      <c r="B16" s="139" t="s">
        <v>90</v>
      </c>
      <c r="C16" s="137"/>
      <c r="D16" s="137">
        <v>0</v>
      </c>
      <c r="E16" s="137">
        <v>0</v>
      </c>
      <c r="F16" s="137">
        <v>0</v>
      </c>
      <c r="G16" s="137">
        <v>0</v>
      </c>
      <c r="H16" s="138">
        <v>0</v>
      </c>
      <c r="I16" s="137">
        <v>0</v>
      </c>
    </row>
    <row r="17" spans="1:9" x14ac:dyDescent="0.25">
      <c r="A17" s="136"/>
      <c r="B17" s="139" t="s">
        <v>91</v>
      </c>
      <c r="C17" s="137"/>
      <c r="D17" s="137">
        <v>879.7</v>
      </c>
      <c r="E17" s="137">
        <v>255.4</v>
      </c>
      <c r="F17" s="137">
        <v>0</v>
      </c>
      <c r="G17" s="137">
        <v>1135.1000000000001</v>
      </c>
      <c r="H17" s="138">
        <v>0</v>
      </c>
      <c r="I17" s="137">
        <v>1135.0999999999999</v>
      </c>
    </row>
    <row r="18" spans="1:9" x14ac:dyDescent="0.25">
      <c r="A18" s="136"/>
      <c r="B18" s="139" t="s">
        <v>92</v>
      </c>
      <c r="C18" s="137"/>
      <c r="D18" s="137">
        <v>14.1</v>
      </c>
      <c r="E18" s="137">
        <v>0</v>
      </c>
      <c r="F18" s="137">
        <v>0</v>
      </c>
      <c r="G18" s="137">
        <v>14.1</v>
      </c>
      <c r="H18" s="138">
        <v>0</v>
      </c>
      <c r="I18" s="137">
        <v>14.1</v>
      </c>
    </row>
    <row r="19" spans="1:9" x14ac:dyDescent="0.25">
      <c r="A19" s="136"/>
      <c r="B19" s="139" t="s">
        <v>314</v>
      </c>
      <c r="C19" s="137"/>
      <c r="D19" s="137">
        <v>38.299999999999997</v>
      </c>
      <c r="E19" s="137">
        <v>71.5</v>
      </c>
      <c r="F19" s="137">
        <v>0</v>
      </c>
      <c r="G19" s="137">
        <v>109.8</v>
      </c>
      <c r="H19" s="138">
        <v>0</v>
      </c>
      <c r="I19" s="137">
        <v>109.9</v>
      </c>
    </row>
    <row r="20" spans="1:9" x14ac:dyDescent="0.25">
      <c r="A20" s="136"/>
      <c r="B20" s="139" t="s">
        <v>93</v>
      </c>
      <c r="C20" s="137"/>
      <c r="D20" s="137">
        <v>0</v>
      </c>
      <c r="E20" s="137">
        <v>0</v>
      </c>
      <c r="F20" s="137">
        <v>0</v>
      </c>
      <c r="G20" s="137">
        <v>0</v>
      </c>
      <c r="H20" s="138">
        <v>0</v>
      </c>
      <c r="I20" s="137">
        <v>0</v>
      </c>
    </row>
    <row r="21" spans="1:9" x14ac:dyDescent="0.25">
      <c r="A21" s="136"/>
      <c r="B21" s="140" t="s">
        <v>94</v>
      </c>
      <c r="C21" s="13">
        <v>0</v>
      </c>
      <c r="D21" s="13">
        <v>2000.5</v>
      </c>
      <c r="E21" s="13">
        <v>3648.1000000000004</v>
      </c>
      <c r="F21" s="13">
        <v>0</v>
      </c>
      <c r="G21" s="13">
        <v>5648.6000000000013</v>
      </c>
      <c r="H21" s="13">
        <v>0</v>
      </c>
      <c r="I21" s="13">
        <v>5648.6</v>
      </c>
    </row>
    <row r="22" spans="1:9" x14ac:dyDescent="0.25">
      <c r="A22" s="136"/>
      <c r="B22" s="139" t="s">
        <v>95</v>
      </c>
      <c r="C22" s="137"/>
      <c r="D22" s="137">
        <v>1556.5</v>
      </c>
      <c r="E22" s="137">
        <v>1278.3</v>
      </c>
      <c r="F22" s="137">
        <v>0</v>
      </c>
      <c r="G22" s="137">
        <v>2834.8</v>
      </c>
      <c r="H22" s="138">
        <v>0</v>
      </c>
      <c r="I22" s="137">
        <v>2834.8</v>
      </c>
    </row>
    <row r="23" spans="1:9" x14ac:dyDescent="0.25">
      <c r="A23" s="136"/>
      <c r="B23" s="139" t="s">
        <v>96</v>
      </c>
      <c r="C23" s="137"/>
      <c r="D23" s="137">
        <v>271.2</v>
      </c>
      <c r="E23" s="137">
        <v>159</v>
      </c>
      <c r="F23" s="137">
        <v>0</v>
      </c>
      <c r="G23" s="137">
        <v>430.2</v>
      </c>
      <c r="H23" s="138">
        <v>0</v>
      </c>
      <c r="I23" s="137">
        <v>430.2</v>
      </c>
    </row>
    <row r="24" spans="1:9" x14ac:dyDescent="0.25">
      <c r="A24" s="136"/>
      <c r="B24" s="140" t="s">
        <v>23</v>
      </c>
      <c r="C24" s="13">
        <v>0</v>
      </c>
      <c r="D24" s="13">
        <v>3828.2</v>
      </c>
      <c r="E24" s="13">
        <v>5085.4000000000005</v>
      </c>
      <c r="F24" s="13">
        <v>0</v>
      </c>
      <c r="G24" s="13">
        <v>8913.6000000000022</v>
      </c>
      <c r="H24" s="13">
        <v>0</v>
      </c>
      <c r="I24" s="13">
        <v>8913.6000000000022</v>
      </c>
    </row>
    <row r="25" spans="1:9" x14ac:dyDescent="0.25">
      <c r="A25" s="136"/>
      <c r="B25" s="139" t="s">
        <v>97</v>
      </c>
      <c r="C25" s="137"/>
      <c r="D25" s="137">
        <v>0</v>
      </c>
      <c r="E25" s="137">
        <v>0</v>
      </c>
      <c r="F25" s="137">
        <v>0</v>
      </c>
      <c r="G25" s="137">
        <v>0</v>
      </c>
      <c r="H25" s="138">
        <v>0</v>
      </c>
      <c r="I25" s="137">
        <v>0</v>
      </c>
    </row>
    <row r="26" spans="1:9" hidden="1" x14ac:dyDescent="0.25">
      <c r="A26" s="136"/>
      <c r="B26" s="139"/>
      <c r="C26" s="137"/>
      <c r="D26" s="137"/>
      <c r="E26" s="137"/>
      <c r="F26" s="137"/>
      <c r="G26" s="137"/>
      <c r="H26" s="137"/>
      <c r="I26" s="137"/>
    </row>
    <row r="27" spans="1:9" x14ac:dyDescent="0.25">
      <c r="A27" s="136"/>
      <c r="B27" s="140" t="s">
        <v>158</v>
      </c>
      <c r="C27" s="13">
        <v>5767</v>
      </c>
      <c r="D27" s="13">
        <v>3828.2</v>
      </c>
      <c r="E27" s="13">
        <v>5085.4000000000005</v>
      </c>
      <c r="F27" s="13">
        <v>0</v>
      </c>
      <c r="G27" s="13">
        <v>8913.6000000000022</v>
      </c>
      <c r="H27" s="13">
        <v>0</v>
      </c>
      <c r="I27" s="13">
        <v>8913.6000000000022</v>
      </c>
    </row>
    <row r="28" spans="1:9" x14ac:dyDescent="0.25">
      <c r="A28" s="136"/>
      <c r="B28" s="139" t="s">
        <v>98</v>
      </c>
      <c r="C28" s="137"/>
      <c r="D28" s="137">
        <v>0</v>
      </c>
      <c r="E28" s="137">
        <v>0</v>
      </c>
      <c r="F28" s="137">
        <v>0</v>
      </c>
      <c r="G28" s="137">
        <v>0</v>
      </c>
      <c r="H28" s="138">
        <v>0</v>
      </c>
      <c r="I28" s="137">
        <v>0</v>
      </c>
    </row>
    <row r="29" spans="1:9" hidden="1" x14ac:dyDescent="0.25">
      <c r="A29" s="136"/>
      <c r="B29" s="139"/>
      <c r="C29" s="137"/>
      <c r="D29" s="137"/>
      <c r="E29" s="137"/>
      <c r="F29" s="137"/>
      <c r="G29" s="137"/>
      <c r="H29" s="137"/>
      <c r="I29" s="137"/>
    </row>
    <row r="30" spans="1:9" x14ac:dyDescent="0.25">
      <c r="A30" s="136"/>
      <c r="B30" s="140" t="s">
        <v>99</v>
      </c>
      <c r="C30" s="13">
        <v>5767</v>
      </c>
      <c r="D30" s="13">
        <v>3828.2</v>
      </c>
      <c r="E30" s="13">
        <v>5085.4000000000005</v>
      </c>
      <c r="F30" s="13">
        <v>0</v>
      </c>
      <c r="G30" s="13">
        <v>8913.6000000000022</v>
      </c>
      <c r="H30" s="13">
        <v>0</v>
      </c>
      <c r="I30" s="13">
        <v>8913.6000000000022</v>
      </c>
    </row>
    <row r="31" spans="1:9" x14ac:dyDescent="0.25">
      <c r="A31" s="136"/>
      <c r="B31" s="140" t="s">
        <v>100</v>
      </c>
      <c r="C31" s="13"/>
      <c r="D31" s="13"/>
      <c r="E31" s="13"/>
      <c r="F31" s="13"/>
      <c r="G31" s="13">
        <v>0</v>
      </c>
      <c r="H31" s="13"/>
      <c r="I31" s="13">
        <v>0</v>
      </c>
    </row>
    <row r="32" spans="1:9" x14ac:dyDescent="0.25">
      <c r="A32" s="136"/>
      <c r="B32" s="140" t="s">
        <v>101</v>
      </c>
      <c r="C32" s="13">
        <v>5767</v>
      </c>
      <c r="D32" s="13">
        <v>3828.2</v>
      </c>
      <c r="E32" s="13">
        <v>5085.4000000000005</v>
      </c>
      <c r="F32" s="13">
        <v>0</v>
      </c>
      <c r="G32" s="13">
        <v>8913.6000000000022</v>
      </c>
      <c r="H32" s="13">
        <v>0</v>
      </c>
      <c r="I32" s="13">
        <v>8913.6000000000022</v>
      </c>
    </row>
    <row r="33" spans="1:9" x14ac:dyDescent="0.25">
      <c r="A33" s="136"/>
      <c r="B33" s="141"/>
      <c r="C33" s="141"/>
      <c r="D33" s="141"/>
      <c r="E33" s="141"/>
      <c r="F33" s="141"/>
      <c r="G33" s="141"/>
      <c r="H33" s="141"/>
      <c r="I33" s="141"/>
    </row>
    <row r="34" spans="1:9" x14ac:dyDescent="0.25">
      <c r="B34" s="212" t="s">
        <v>345</v>
      </c>
      <c r="C34" s="212"/>
      <c r="D34" s="212"/>
      <c r="E34" s="212"/>
      <c r="F34" s="212"/>
      <c r="G34" s="212"/>
      <c r="H34" s="212"/>
      <c r="I34" s="212"/>
    </row>
    <row r="35" spans="1:9" x14ac:dyDescent="0.25">
      <c r="A35" s="136"/>
      <c r="B35" s="139" t="s">
        <v>86</v>
      </c>
      <c r="C35" s="137"/>
      <c r="D35" s="137">
        <v>3.1</v>
      </c>
      <c r="E35" s="137">
        <v>0</v>
      </c>
      <c r="F35" s="137">
        <v>0</v>
      </c>
      <c r="G35" s="137">
        <v>3.1</v>
      </c>
      <c r="H35" s="138">
        <v>0</v>
      </c>
      <c r="I35" s="137"/>
    </row>
    <row r="36" spans="1:9" x14ac:dyDescent="0.25">
      <c r="A36" s="136"/>
      <c r="B36" s="139" t="s">
        <v>87</v>
      </c>
      <c r="C36" s="137"/>
      <c r="D36" s="137">
        <v>18</v>
      </c>
      <c r="E36" s="137">
        <v>0</v>
      </c>
      <c r="F36" s="137">
        <v>0</v>
      </c>
      <c r="G36" s="137">
        <v>18</v>
      </c>
      <c r="H36" s="138">
        <v>0</v>
      </c>
      <c r="I36" s="137"/>
    </row>
    <row r="37" spans="1:9" x14ac:dyDescent="0.25">
      <c r="A37" s="136"/>
      <c r="B37" s="139" t="s">
        <v>311</v>
      </c>
      <c r="C37" s="137"/>
      <c r="D37" s="137">
        <v>64</v>
      </c>
      <c r="E37" s="137">
        <v>0</v>
      </c>
      <c r="F37" s="137">
        <v>0</v>
      </c>
      <c r="G37" s="137">
        <v>64</v>
      </c>
      <c r="H37" s="138">
        <v>0</v>
      </c>
      <c r="I37" s="137"/>
    </row>
    <row r="38" spans="1:9" x14ac:dyDescent="0.25">
      <c r="A38" s="136"/>
      <c r="B38" s="139" t="s">
        <v>88</v>
      </c>
      <c r="C38" s="137"/>
      <c r="D38" s="137">
        <v>69.8</v>
      </c>
      <c r="E38" s="137">
        <v>128.80000000000001</v>
      </c>
      <c r="F38" s="137">
        <v>0</v>
      </c>
      <c r="G38" s="137">
        <v>198.60000000000002</v>
      </c>
      <c r="H38" s="138">
        <v>0</v>
      </c>
      <c r="I38" s="137"/>
    </row>
    <row r="39" spans="1:9" x14ac:dyDescent="0.25">
      <c r="A39" s="136"/>
      <c r="B39" s="139" t="s">
        <v>89</v>
      </c>
      <c r="C39" s="137"/>
      <c r="D39" s="137">
        <v>291.8</v>
      </c>
      <c r="E39" s="137">
        <v>2646</v>
      </c>
      <c r="F39" s="137">
        <v>0</v>
      </c>
      <c r="G39" s="137">
        <v>2937.8</v>
      </c>
      <c r="H39" s="138">
        <v>0</v>
      </c>
      <c r="I39" s="137"/>
    </row>
    <row r="40" spans="1:9" x14ac:dyDescent="0.25">
      <c r="A40" s="136"/>
      <c r="B40" s="139" t="s">
        <v>312</v>
      </c>
      <c r="C40" s="137"/>
      <c r="D40" s="137">
        <v>607.70000000000005</v>
      </c>
      <c r="E40" s="137">
        <v>546.4</v>
      </c>
      <c r="F40" s="137">
        <v>0</v>
      </c>
      <c r="G40" s="137">
        <v>1154.0999999999999</v>
      </c>
      <c r="H40" s="138">
        <v>0</v>
      </c>
      <c r="I40" s="137"/>
    </row>
    <row r="41" spans="1:9" x14ac:dyDescent="0.25">
      <c r="A41" s="136"/>
      <c r="B41" s="139" t="s">
        <v>313</v>
      </c>
      <c r="C41" s="137"/>
      <c r="D41" s="137">
        <v>14</v>
      </c>
      <c r="E41" s="137">
        <v>0</v>
      </c>
      <c r="F41" s="137">
        <v>0</v>
      </c>
      <c r="G41" s="137">
        <v>14</v>
      </c>
      <c r="H41" s="138">
        <v>0</v>
      </c>
      <c r="I41" s="137"/>
    </row>
    <row r="42" spans="1:9" x14ac:dyDescent="0.25">
      <c r="A42" s="136"/>
      <c r="B42" s="139" t="s">
        <v>90</v>
      </c>
      <c r="C42" s="137"/>
      <c r="D42" s="137">
        <v>0</v>
      </c>
      <c r="E42" s="137">
        <v>0</v>
      </c>
      <c r="F42" s="137">
        <v>0</v>
      </c>
      <c r="G42" s="137">
        <v>0</v>
      </c>
      <c r="H42" s="138">
        <v>0</v>
      </c>
      <c r="I42" s="137"/>
    </row>
    <row r="43" spans="1:9" x14ac:dyDescent="0.25">
      <c r="A43" s="136"/>
      <c r="B43" s="139" t="s">
        <v>91</v>
      </c>
      <c r="C43" s="137"/>
      <c r="D43" s="137">
        <v>879.7</v>
      </c>
      <c r="E43" s="137">
        <v>255.4</v>
      </c>
      <c r="F43" s="137">
        <v>0</v>
      </c>
      <c r="G43" s="137">
        <v>1135.1000000000001</v>
      </c>
      <c r="H43" s="138">
        <v>0</v>
      </c>
      <c r="I43" s="137"/>
    </row>
    <row r="44" spans="1:9" x14ac:dyDescent="0.25">
      <c r="A44" s="136"/>
      <c r="B44" s="139" t="s">
        <v>92</v>
      </c>
      <c r="C44" s="137"/>
      <c r="D44" s="137">
        <v>14.1</v>
      </c>
      <c r="E44" s="137">
        <v>0</v>
      </c>
      <c r="F44" s="137">
        <v>0</v>
      </c>
      <c r="G44" s="137">
        <v>14.1</v>
      </c>
      <c r="H44" s="138">
        <v>0</v>
      </c>
      <c r="I44" s="137"/>
    </row>
    <row r="45" spans="1:9" x14ac:dyDescent="0.25">
      <c r="A45" s="136"/>
      <c r="B45" s="139" t="s">
        <v>314</v>
      </c>
      <c r="C45" s="137"/>
      <c r="D45" s="137">
        <v>38.299999999999997</v>
      </c>
      <c r="E45" s="137">
        <v>71.5</v>
      </c>
      <c r="F45" s="137">
        <v>0</v>
      </c>
      <c r="G45" s="137">
        <v>109.8</v>
      </c>
      <c r="H45" s="138">
        <v>0</v>
      </c>
      <c r="I45" s="137"/>
    </row>
    <row r="46" spans="1:9" x14ac:dyDescent="0.25">
      <c r="A46" s="136"/>
      <c r="B46" s="139" t="s">
        <v>93</v>
      </c>
      <c r="C46" s="137"/>
      <c r="D46" s="137">
        <v>0</v>
      </c>
      <c r="E46" s="137">
        <v>0</v>
      </c>
      <c r="F46" s="137">
        <v>0</v>
      </c>
      <c r="G46" s="137">
        <v>0</v>
      </c>
      <c r="H46" s="138">
        <v>0</v>
      </c>
      <c r="I46" s="137"/>
    </row>
    <row r="47" spans="1:9" x14ac:dyDescent="0.25">
      <c r="A47" s="136"/>
      <c r="B47" s="140" t="s">
        <v>94</v>
      </c>
      <c r="C47" s="13">
        <v>0</v>
      </c>
      <c r="D47" s="13">
        <v>2000.5</v>
      </c>
      <c r="E47" s="13">
        <v>3648.1000000000004</v>
      </c>
      <c r="F47" s="13">
        <v>0</v>
      </c>
      <c r="G47" s="13">
        <v>5648.6000000000013</v>
      </c>
      <c r="H47" s="13">
        <v>0</v>
      </c>
      <c r="I47" s="13"/>
    </row>
    <row r="48" spans="1:9" x14ac:dyDescent="0.25">
      <c r="A48" s="136"/>
      <c r="B48" s="139" t="s">
        <v>95</v>
      </c>
      <c r="C48" s="137"/>
      <c r="D48" s="137">
        <v>1556.5</v>
      </c>
      <c r="E48" s="137">
        <v>1278.3</v>
      </c>
      <c r="F48" s="137">
        <v>0</v>
      </c>
      <c r="G48" s="137">
        <v>2834.8</v>
      </c>
      <c r="H48" s="138">
        <v>0</v>
      </c>
      <c r="I48" s="137"/>
    </row>
    <row r="49" spans="1:9" x14ac:dyDescent="0.25">
      <c r="A49" s="136"/>
      <c r="B49" s="139" t="s">
        <v>96</v>
      </c>
      <c r="C49" s="137"/>
      <c r="D49" s="137">
        <v>271.2</v>
      </c>
      <c r="E49" s="137">
        <v>159</v>
      </c>
      <c r="F49" s="137">
        <v>0</v>
      </c>
      <c r="G49" s="137">
        <v>430.2</v>
      </c>
      <c r="H49" s="138">
        <v>0</v>
      </c>
      <c r="I49" s="137"/>
    </row>
    <row r="50" spans="1:9" x14ac:dyDescent="0.25">
      <c r="A50" s="136"/>
      <c r="B50" s="140" t="s">
        <v>23</v>
      </c>
      <c r="C50" s="13">
        <v>0</v>
      </c>
      <c r="D50" s="13">
        <v>3828.2</v>
      </c>
      <c r="E50" s="13">
        <v>5085.4000000000005</v>
      </c>
      <c r="F50" s="13">
        <v>0</v>
      </c>
      <c r="G50" s="13">
        <v>8913.6000000000022</v>
      </c>
      <c r="H50" s="13">
        <v>0</v>
      </c>
      <c r="I50" s="13"/>
    </row>
    <row r="51" spans="1:9" x14ac:dyDescent="0.25">
      <c r="A51" s="136"/>
      <c r="B51" s="139" t="s">
        <v>97</v>
      </c>
      <c r="C51" s="137"/>
      <c r="D51" s="137">
        <v>0</v>
      </c>
      <c r="E51" s="137">
        <v>0</v>
      </c>
      <c r="F51" s="137">
        <v>0</v>
      </c>
      <c r="G51" s="137">
        <v>0</v>
      </c>
      <c r="H51" s="138">
        <v>0</v>
      </c>
      <c r="I51" s="137"/>
    </row>
    <row r="52" spans="1:9" x14ac:dyDescent="0.25">
      <c r="A52" s="136"/>
      <c r="B52" s="139"/>
      <c r="C52" s="137"/>
      <c r="D52" s="137"/>
      <c r="E52" s="137"/>
      <c r="F52" s="137"/>
      <c r="G52" s="137"/>
      <c r="H52" s="137"/>
      <c r="I52" s="137"/>
    </row>
    <row r="53" spans="1:9" x14ac:dyDescent="0.25">
      <c r="A53" s="136"/>
      <c r="B53" s="140" t="s">
        <v>158</v>
      </c>
      <c r="C53" s="13">
        <v>5767</v>
      </c>
      <c r="D53" s="13">
        <v>3828.2</v>
      </c>
      <c r="E53" s="13">
        <v>5085.4000000000005</v>
      </c>
      <c r="F53" s="13">
        <v>0</v>
      </c>
      <c r="G53" s="13">
        <v>8913.6000000000022</v>
      </c>
      <c r="H53" s="13">
        <v>0</v>
      </c>
      <c r="I53" s="13"/>
    </row>
    <row r="54" spans="1:9" x14ac:dyDescent="0.25">
      <c r="A54" s="136"/>
      <c r="B54" s="139" t="s">
        <v>98</v>
      </c>
      <c r="C54" s="137"/>
      <c r="D54" s="137">
        <v>0</v>
      </c>
      <c r="E54" s="137">
        <v>0</v>
      </c>
      <c r="F54" s="137">
        <v>0</v>
      </c>
      <c r="G54" s="137">
        <v>0</v>
      </c>
      <c r="H54" s="138">
        <v>0</v>
      </c>
      <c r="I54" s="137"/>
    </row>
    <row r="55" spans="1:9" x14ac:dyDescent="0.25">
      <c r="A55" s="136"/>
      <c r="B55" s="139"/>
      <c r="C55" s="137"/>
      <c r="D55" s="137"/>
      <c r="E55" s="137"/>
      <c r="F55" s="137"/>
      <c r="G55" s="137"/>
      <c r="H55" s="137"/>
      <c r="I55" s="137"/>
    </row>
    <row r="56" spans="1:9" x14ac:dyDescent="0.25">
      <c r="A56" s="136"/>
      <c r="B56" s="140" t="s">
        <v>99</v>
      </c>
      <c r="C56" s="13">
        <v>5767</v>
      </c>
      <c r="D56" s="13">
        <v>3828.2</v>
      </c>
      <c r="E56" s="13">
        <v>5085.4000000000005</v>
      </c>
      <c r="F56" s="13">
        <v>0</v>
      </c>
      <c r="G56" s="13">
        <v>8913.6000000000022</v>
      </c>
      <c r="H56" s="13">
        <v>0</v>
      </c>
      <c r="I56" s="13"/>
    </row>
    <row r="57" spans="1:9" x14ac:dyDescent="0.25">
      <c r="A57" s="136"/>
      <c r="B57" s="140" t="s">
        <v>100</v>
      </c>
      <c r="C57" s="13"/>
      <c r="D57" s="13"/>
      <c r="E57" s="13"/>
      <c r="F57" s="13"/>
      <c r="G57" s="13">
        <v>0</v>
      </c>
      <c r="H57" s="13"/>
      <c r="I57" s="13"/>
    </row>
    <row r="58" spans="1:9" x14ac:dyDescent="0.25">
      <c r="A58" s="136"/>
      <c r="B58" s="140" t="s">
        <v>101</v>
      </c>
      <c r="C58" s="13">
        <v>5767</v>
      </c>
      <c r="D58" s="13">
        <v>3828.2</v>
      </c>
      <c r="E58" s="13">
        <v>5085.4000000000005</v>
      </c>
      <c r="F58" s="13">
        <v>0</v>
      </c>
      <c r="G58" s="13">
        <v>8913.6000000000022</v>
      </c>
      <c r="H58" s="13">
        <v>0</v>
      </c>
      <c r="I58" s="13"/>
    </row>
  </sheetData>
  <mergeCells count="4">
    <mergeCell ref="F7:F8"/>
    <mergeCell ref="G7:G8"/>
    <mergeCell ref="I7:I8"/>
    <mergeCell ref="H7:H8"/>
  </mergeCells>
  <hyperlinks>
    <hyperlink ref="G1" location="'Table of contents'!A1" display="Return to TOC" xr:uid="{00000000-0004-0000-0A00-000000000000}"/>
  </hyperlinks>
  <pageMargins left="0.7" right="0.7" top="0.75" bottom="0.75" header="0.3" footer="0.3"/>
  <pageSetup scale="52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P4">
    <tabColor theme="9" tint="-0.499984740745262"/>
    <pageSetUpPr fitToPage="1"/>
  </sheetPr>
  <dimension ref="A1:O41"/>
  <sheetViews>
    <sheetView showGridLines="0" workbookViewId="0"/>
  </sheetViews>
  <sheetFormatPr defaultColWidth="8.85546875" defaultRowHeight="15" x14ac:dyDescent="0.25"/>
  <cols>
    <col min="1" max="1" width="6.7109375" customWidth="1"/>
    <col min="2" max="2" width="2.7109375" customWidth="1"/>
    <col min="3" max="3" width="30.7109375" customWidth="1"/>
    <col min="4" max="5" width="12.7109375" customWidth="1"/>
    <col min="6" max="6" width="2.7109375" hidden="1" customWidth="1"/>
    <col min="7" max="13" width="13.7109375" customWidth="1"/>
    <col min="14" max="14" width="2.7109375" hidden="1" customWidth="1"/>
  </cols>
  <sheetData>
    <row r="1" spans="1:14" x14ac:dyDescent="0.25">
      <c r="C1" s="2" t="s">
        <v>136</v>
      </c>
      <c r="D1" s="3" t="s">
        <v>117</v>
      </c>
      <c r="F1" s="73"/>
      <c r="G1" s="3"/>
      <c r="J1" s="2" t="s">
        <v>73</v>
      </c>
      <c r="K1" s="3" t="s">
        <v>342</v>
      </c>
      <c r="L1" s="3"/>
      <c r="M1" s="3"/>
      <c r="N1" s="73"/>
    </row>
    <row r="2" spans="1:14" x14ac:dyDescent="0.25">
      <c r="C2" s="2" t="s">
        <v>29</v>
      </c>
      <c r="D2" s="3" t="s">
        <v>336</v>
      </c>
      <c r="F2" s="73"/>
      <c r="G2" s="3"/>
      <c r="J2" s="2" t="s">
        <v>27</v>
      </c>
      <c r="K2" s="55">
        <v>46387</v>
      </c>
      <c r="L2" s="3"/>
      <c r="M2" s="3"/>
      <c r="N2" s="73"/>
    </row>
    <row r="3" spans="1:14" x14ac:dyDescent="0.25">
      <c r="C3" s="2" t="s">
        <v>26</v>
      </c>
      <c r="D3" s="3" t="s">
        <v>337</v>
      </c>
      <c r="E3" s="3"/>
      <c r="F3" s="73"/>
      <c r="G3" s="3"/>
      <c r="K3" s="3"/>
      <c r="L3" s="3"/>
      <c r="M3" s="70" t="s">
        <v>66</v>
      </c>
      <c r="N3" s="73"/>
    </row>
    <row r="4" spans="1:14" ht="6" customHeight="1" x14ac:dyDescent="0.25">
      <c r="B4" s="1"/>
      <c r="C4" s="1"/>
      <c r="D4" s="25"/>
      <c r="E4" s="25"/>
      <c r="F4" s="73"/>
      <c r="G4" s="22"/>
      <c r="H4" s="22"/>
      <c r="I4" s="22"/>
      <c r="J4" s="24"/>
      <c r="K4" s="24"/>
      <c r="L4" s="24"/>
      <c r="M4" s="24"/>
      <c r="N4" s="73"/>
    </row>
    <row r="5" spans="1:14" x14ac:dyDescent="0.25">
      <c r="B5" s="26" t="s">
        <v>133</v>
      </c>
      <c r="C5" s="27"/>
      <c r="D5" s="27"/>
      <c r="E5" s="27"/>
      <c r="F5" s="73"/>
      <c r="G5" s="27"/>
      <c r="N5" s="73"/>
    </row>
    <row r="6" spans="1:14" s="7" customFormat="1" x14ac:dyDescent="0.25">
      <c r="A6"/>
      <c r="B6" s="38"/>
      <c r="C6" s="39"/>
      <c r="D6" s="23" t="s">
        <v>114</v>
      </c>
      <c r="E6" s="23" t="s">
        <v>115</v>
      </c>
      <c r="F6" s="73"/>
      <c r="G6" s="23" t="s">
        <v>28</v>
      </c>
      <c r="N6" s="73"/>
    </row>
    <row r="7" spans="1:14" x14ac:dyDescent="0.25">
      <c r="B7" s="44" t="s">
        <v>130</v>
      </c>
      <c r="C7" s="52" t="s">
        <v>110</v>
      </c>
      <c r="D7" s="105">
        <v>0</v>
      </c>
      <c r="E7" s="105">
        <v>1279838.6393899058</v>
      </c>
      <c r="F7" s="73"/>
      <c r="G7" s="106">
        <v>1279838.6393899058</v>
      </c>
      <c r="N7" s="73"/>
    </row>
    <row r="8" spans="1:14" x14ac:dyDescent="0.25">
      <c r="B8" s="45" t="s">
        <v>130</v>
      </c>
      <c r="C8" s="51" t="s">
        <v>118</v>
      </c>
      <c r="D8" s="105">
        <v>0</v>
      </c>
      <c r="E8" s="105">
        <v>381955.96824598371</v>
      </c>
      <c r="F8" s="73"/>
      <c r="G8" s="106">
        <v>381955.96824598371</v>
      </c>
      <c r="N8" s="73"/>
    </row>
    <row r="9" spans="1:14" x14ac:dyDescent="0.25">
      <c r="B9" s="46" t="s">
        <v>130</v>
      </c>
      <c r="C9" s="51" t="s">
        <v>112</v>
      </c>
      <c r="D9" s="105">
        <v>0</v>
      </c>
      <c r="E9" s="105">
        <v>3096.9630068115812</v>
      </c>
      <c r="F9" s="73"/>
      <c r="G9" s="106">
        <v>3096.9630068115812</v>
      </c>
      <c r="N9" s="73"/>
    </row>
    <row r="10" spans="1:14" x14ac:dyDescent="0.25">
      <c r="B10" s="47" t="s">
        <v>130</v>
      </c>
      <c r="C10" s="51" t="s">
        <v>129</v>
      </c>
      <c r="D10" s="105">
        <v>0</v>
      </c>
      <c r="E10" s="105">
        <v>6641314.4984212993</v>
      </c>
      <c r="F10" s="73"/>
      <c r="G10" s="106">
        <v>6641314.4984212993</v>
      </c>
      <c r="N10" s="73"/>
    </row>
    <row r="11" spans="1:14" x14ac:dyDescent="0.25">
      <c r="B11" s="48" t="s">
        <v>130</v>
      </c>
      <c r="C11" s="51" t="s">
        <v>113</v>
      </c>
      <c r="D11" s="105">
        <v>0</v>
      </c>
      <c r="E11" s="105">
        <v>180619.91498576757</v>
      </c>
      <c r="F11" s="73"/>
      <c r="G11" s="106">
        <v>180619.91498576757</v>
      </c>
      <c r="N11" s="73"/>
    </row>
    <row r="12" spans="1:14" x14ac:dyDescent="0.25">
      <c r="B12" s="49" t="s">
        <v>130</v>
      </c>
      <c r="C12" s="51" t="s">
        <v>22</v>
      </c>
      <c r="D12" s="105">
        <v>0</v>
      </c>
      <c r="E12" s="105">
        <v>426883.76379494998</v>
      </c>
      <c r="F12" s="73"/>
      <c r="G12" s="106">
        <v>426883.76379494998</v>
      </c>
      <c r="N12" s="73"/>
    </row>
    <row r="13" spans="1:14" x14ac:dyDescent="0.25">
      <c r="B13" s="50" t="s">
        <v>130</v>
      </c>
      <c r="C13" s="51" t="s">
        <v>1</v>
      </c>
      <c r="D13" s="105">
        <v>0</v>
      </c>
      <c r="E13" s="105">
        <v>0</v>
      </c>
      <c r="F13" s="73"/>
      <c r="G13" s="106">
        <v>0</v>
      </c>
      <c r="N13" s="73"/>
    </row>
    <row r="14" spans="1:14" x14ac:dyDescent="0.25">
      <c r="B14" s="43" t="s">
        <v>116</v>
      </c>
      <c r="C14" s="40"/>
      <c r="D14" s="13">
        <v>0</v>
      </c>
      <c r="E14" s="13">
        <v>8913709.7478447165</v>
      </c>
      <c r="F14" s="73"/>
      <c r="G14" s="13">
        <v>8913709.7478447165</v>
      </c>
      <c r="N14" s="73"/>
    </row>
    <row r="15" spans="1:14" x14ac:dyDescent="0.25">
      <c r="F15" s="73"/>
      <c r="N15" s="73"/>
    </row>
    <row r="16" spans="1:14" x14ac:dyDescent="0.25">
      <c r="B16" s="26" t="s">
        <v>111</v>
      </c>
      <c r="C16" s="27"/>
      <c r="D16" s="27"/>
      <c r="E16" s="27"/>
      <c r="F16" s="73"/>
      <c r="G16" s="27"/>
      <c r="H16" s="27"/>
      <c r="I16" s="27"/>
      <c r="J16" s="27"/>
      <c r="K16" s="27"/>
      <c r="L16" s="27"/>
      <c r="M16" s="27"/>
      <c r="N16" s="73"/>
    </row>
    <row r="17" spans="2:14" s="7" customFormat="1" x14ac:dyDescent="0.25">
      <c r="B17" s="38"/>
      <c r="C17" s="39"/>
      <c r="D17" s="107" t="s">
        <v>110</v>
      </c>
      <c r="E17" s="107" t="s">
        <v>127</v>
      </c>
      <c r="F17" s="73"/>
      <c r="G17" s="107" t="s">
        <v>112</v>
      </c>
      <c r="H17" s="107" t="s">
        <v>128</v>
      </c>
      <c r="I17" s="107" t="s">
        <v>113</v>
      </c>
      <c r="J17" s="107" t="s">
        <v>22</v>
      </c>
      <c r="K17" s="107" t="s">
        <v>1</v>
      </c>
      <c r="L17" s="107" t="s">
        <v>28</v>
      </c>
      <c r="M17" s="107" t="s">
        <v>131</v>
      </c>
      <c r="N17" s="73"/>
    </row>
    <row r="18" spans="2:14" x14ac:dyDescent="0.25">
      <c r="B18" s="108"/>
      <c r="C18" s="109" t="s">
        <v>135</v>
      </c>
      <c r="D18" s="105">
        <v>1279838.6393899058</v>
      </c>
      <c r="E18" s="105">
        <v>381955.96824598371</v>
      </c>
      <c r="F18" s="73"/>
      <c r="G18" s="105">
        <v>3096.9630068115812</v>
      </c>
      <c r="H18" s="105">
        <v>6641314.4984212993</v>
      </c>
      <c r="I18" s="110">
        <v>180619.91498576757</v>
      </c>
      <c r="J18" s="105">
        <v>426883.76379494998</v>
      </c>
      <c r="K18" s="105">
        <v>0</v>
      </c>
      <c r="L18" s="111">
        <v>8913709.7478447165</v>
      </c>
      <c r="M18" s="111">
        <v>0</v>
      </c>
      <c r="N18" s="73"/>
    </row>
    <row r="19" spans="2:14" x14ac:dyDescent="0.25">
      <c r="B19" s="108"/>
      <c r="C19" s="109" t="s">
        <v>68</v>
      </c>
      <c r="D19" s="105">
        <v>0</v>
      </c>
      <c r="E19" s="105">
        <v>0</v>
      </c>
      <c r="F19" s="73"/>
      <c r="G19" s="105">
        <v>0</v>
      </c>
      <c r="H19" s="105">
        <v>0</v>
      </c>
      <c r="I19" s="110">
        <v>0</v>
      </c>
      <c r="J19" s="105">
        <v>0</v>
      </c>
      <c r="K19" s="105">
        <v>0</v>
      </c>
      <c r="L19" s="111">
        <v>0</v>
      </c>
      <c r="M19" s="111">
        <v>0</v>
      </c>
      <c r="N19" s="73"/>
    </row>
    <row r="20" spans="2:14" x14ac:dyDescent="0.25">
      <c r="B20" s="112"/>
      <c r="C20" s="51" t="s">
        <v>132</v>
      </c>
      <c r="D20" s="105">
        <v>0</v>
      </c>
      <c r="E20" s="105">
        <v>0</v>
      </c>
      <c r="F20" s="73"/>
      <c r="G20" s="105">
        <v>0</v>
      </c>
      <c r="H20" s="105">
        <v>0</v>
      </c>
      <c r="I20" s="110">
        <v>0</v>
      </c>
      <c r="J20" s="105">
        <v>0</v>
      </c>
      <c r="K20" s="105">
        <v>0</v>
      </c>
      <c r="L20" s="106">
        <v>0</v>
      </c>
      <c r="M20" s="106">
        <v>0</v>
      </c>
      <c r="N20" s="73"/>
    </row>
    <row r="21" spans="2:14" x14ac:dyDescent="0.25">
      <c r="B21" s="112"/>
      <c r="C21" s="51" t="s">
        <v>19</v>
      </c>
      <c r="D21" s="105">
        <v>0</v>
      </c>
      <c r="E21" s="105">
        <v>0</v>
      </c>
      <c r="F21" s="73"/>
      <c r="G21" s="105">
        <v>0</v>
      </c>
      <c r="H21" s="105">
        <v>0</v>
      </c>
      <c r="I21" s="110">
        <v>0</v>
      </c>
      <c r="J21" s="105">
        <v>0</v>
      </c>
      <c r="K21" s="105">
        <v>0</v>
      </c>
      <c r="L21" s="106">
        <v>0</v>
      </c>
      <c r="M21" s="106">
        <v>0</v>
      </c>
      <c r="N21" s="73"/>
    </row>
    <row r="22" spans="2:14" x14ac:dyDescent="0.25">
      <c r="B22" s="43" t="s">
        <v>28</v>
      </c>
      <c r="C22" s="113"/>
      <c r="D22" s="13">
        <v>1279838.6393899058</v>
      </c>
      <c r="E22" s="13">
        <v>381955.96824598371</v>
      </c>
      <c r="F22" s="73"/>
      <c r="G22" s="13">
        <v>3096.9630068115812</v>
      </c>
      <c r="H22" s="13">
        <v>6641314.4984212993</v>
      </c>
      <c r="I22" s="13">
        <v>180619.91498576757</v>
      </c>
      <c r="J22" s="13">
        <v>426883.76379494998</v>
      </c>
      <c r="K22" s="13">
        <v>0</v>
      </c>
      <c r="L22" s="13">
        <v>8913709.7478447165</v>
      </c>
      <c r="M22" s="13">
        <v>0</v>
      </c>
      <c r="N22" s="73"/>
    </row>
    <row r="23" spans="2:14" x14ac:dyDescent="0.25">
      <c r="F23" s="73"/>
      <c r="N23" s="73"/>
    </row>
    <row r="24" spans="2:14" x14ac:dyDescent="0.25">
      <c r="B24" s="26" t="s">
        <v>119</v>
      </c>
      <c r="C24" s="27"/>
      <c r="D24" s="27"/>
      <c r="E24" s="27"/>
      <c r="F24" s="73"/>
      <c r="G24" s="27"/>
      <c r="H24" s="27"/>
      <c r="I24" s="27"/>
      <c r="J24" s="27"/>
      <c r="K24" s="27"/>
      <c r="L24" s="27"/>
      <c r="M24" s="27"/>
      <c r="N24" s="73"/>
    </row>
    <row r="25" spans="2:14" s="7" customFormat="1" x14ac:dyDescent="0.25">
      <c r="B25" s="38"/>
      <c r="C25" s="39"/>
      <c r="D25" s="28" t="s">
        <v>120</v>
      </c>
      <c r="E25" s="28" t="s">
        <v>121</v>
      </c>
      <c r="F25" s="73"/>
      <c r="G25" s="21"/>
      <c r="H25" s="21"/>
      <c r="I25" s="21"/>
      <c r="J25" s="21"/>
      <c r="K25" s="21"/>
      <c r="L25" s="21"/>
      <c r="M25" s="21"/>
      <c r="N25" s="73"/>
    </row>
    <row r="26" spans="2:14" s="8" customFormat="1" ht="14.45" customHeight="1" x14ac:dyDescent="0.25">
      <c r="B26" s="41"/>
      <c r="C26" s="53" t="s">
        <v>122</v>
      </c>
      <c r="D26" s="35">
        <v>44372</v>
      </c>
      <c r="E26" s="35">
        <v>46387</v>
      </c>
      <c r="F26" s="73"/>
      <c r="G26" s="114" t="s">
        <v>342</v>
      </c>
      <c r="H26" s="114" t="s">
        <v>342</v>
      </c>
      <c r="I26" s="114" t="s">
        <v>342</v>
      </c>
      <c r="J26" s="114" t="s">
        <v>342</v>
      </c>
      <c r="K26" s="114" t="s">
        <v>342</v>
      </c>
      <c r="L26" s="114"/>
      <c r="M26" s="114" t="s">
        <v>342</v>
      </c>
      <c r="N26" s="73"/>
    </row>
    <row r="27" spans="2:14" s="31" customFormat="1" ht="12.4" hidden="1" customHeight="1" x14ac:dyDescent="0.25">
      <c r="B27" s="33"/>
      <c r="C27" s="29" t="s">
        <v>126</v>
      </c>
      <c r="D27" s="36"/>
      <c r="E27" s="36"/>
      <c r="F27" s="73"/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/>
      <c r="M27" s="30">
        <v>0</v>
      </c>
      <c r="N27" s="73"/>
    </row>
    <row r="28" spans="2:14" s="31" customFormat="1" ht="12.4" hidden="1" customHeight="1" x14ac:dyDescent="0.25">
      <c r="B28" s="34"/>
      <c r="C28" s="32" t="s">
        <v>124</v>
      </c>
      <c r="D28" s="37"/>
      <c r="E28" s="37"/>
      <c r="F28" s="73"/>
      <c r="G28" s="30">
        <v>0</v>
      </c>
      <c r="H28" s="30">
        <v>0</v>
      </c>
      <c r="I28" s="30">
        <v>0</v>
      </c>
      <c r="J28" s="30">
        <v>0</v>
      </c>
      <c r="K28" s="30">
        <v>0</v>
      </c>
      <c r="L28" s="30"/>
      <c r="M28" s="30">
        <v>0</v>
      </c>
      <c r="N28" s="73"/>
    </row>
    <row r="29" spans="2:14" s="31" customFormat="1" ht="12.4" hidden="1" customHeight="1" x14ac:dyDescent="0.25">
      <c r="B29" s="34"/>
      <c r="C29" s="32" t="s">
        <v>125</v>
      </c>
      <c r="D29" s="37"/>
      <c r="E29" s="37"/>
      <c r="F29" s="73"/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/>
      <c r="M29" s="30">
        <v>0</v>
      </c>
      <c r="N29" s="73"/>
    </row>
    <row r="30" spans="2:14" s="8" customFormat="1" ht="14.45" customHeight="1" x14ac:dyDescent="0.25">
      <c r="B30" s="42"/>
      <c r="C30" s="54" t="s">
        <v>123</v>
      </c>
      <c r="D30" s="35">
        <v>46174</v>
      </c>
      <c r="E30" s="35">
        <v>46387</v>
      </c>
      <c r="F30" s="73"/>
      <c r="G30" s="114" t="s">
        <v>342</v>
      </c>
      <c r="H30" s="114" t="s">
        <v>342</v>
      </c>
      <c r="I30" s="114" t="s">
        <v>342</v>
      </c>
      <c r="J30" s="114" t="s">
        <v>342</v>
      </c>
      <c r="K30" s="114" t="s">
        <v>342</v>
      </c>
      <c r="L30" s="114"/>
      <c r="M30" s="114" t="s">
        <v>342</v>
      </c>
      <c r="N30" s="73"/>
    </row>
    <row r="31" spans="2:14" s="31" customFormat="1" ht="12.4" hidden="1" customHeight="1" x14ac:dyDescent="0.25">
      <c r="B31" s="33"/>
      <c r="C31" s="29" t="s">
        <v>126</v>
      </c>
      <c r="D31" s="35" t="e">
        <v>#N/A</v>
      </c>
      <c r="E31" s="35" t="e">
        <v>#N/A</v>
      </c>
      <c r="F31" s="73"/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/>
      <c r="M31" s="30">
        <v>0</v>
      </c>
      <c r="N31" s="73"/>
    </row>
    <row r="32" spans="2:14" s="31" customFormat="1" ht="12.4" hidden="1" customHeight="1" x14ac:dyDescent="0.25">
      <c r="B32" s="34"/>
      <c r="C32" s="32" t="s">
        <v>124</v>
      </c>
      <c r="D32" s="35" t="e">
        <v>#N/A</v>
      </c>
      <c r="E32" s="35" t="e">
        <v>#N/A</v>
      </c>
      <c r="F32" s="73"/>
      <c r="G32" s="30">
        <v>0</v>
      </c>
      <c r="H32" s="30">
        <v>0</v>
      </c>
      <c r="I32" s="30">
        <v>0</v>
      </c>
      <c r="J32" s="30">
        <v>0</v>
      </c>
      <c r="K32" s="30">
        <v>0</v>
      </c>
      <c r="L32" s="30"/>
      <c r="M32" s="30">
        <v>0</v>
      </c>
      <c r="N32" s="73"/>
    </row>
    <row r="33" spans="2:14" s="31" customFormat="1" ht="12.4" hidden="1" customHeight="1" x14ac:dyDescent="0.25">
      <c r="B33" s="34"/>
      <c r="C33" s="32" t="s">
        <v>125</v>
      </c>
      <c r="D33" s="35" t="e">
        <v>#N/A</v>
      </c>
      <c r="E33" s="35" t="e">
        <v>#N/A</v>
      </c>
      <c r="F33" s="73"/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/>
      <c r="M33" s="30">
        <v>0</v>
      </c>
      <c r="N33" s="73"/>
    </row>
    <row r="34" spans="2:14" s="8" customFormat="1" ht="14.45" customHeight="1" x14ac:dyDescent="0.25">
      <c r="B34" s="42"/>
      <c r="C34" s="54" t="s">
        <v>110</v>
      </c>
      <c r="D34" s="35">
        <v>46174</v>
      </c>
      <c r="E34" s="35">
        <v>46387</v>
      </c>
      <c r="F34" s="73"/>
      <c r="G34" s="114" t="s">
        <v>342</v>
      </c>
      <c r="H34" s="114" t="s">
        <v>342</v>
      </c>
      <c r="I34" s="114" t="s">
        <v>342</v>
      </c>
      <c r="J34" s="114" t="s">
        <v>342</v>
      </c>
      <c r="K34" s="114" t="s">
        <v>342</v>
      </c>
      <c r="L34" s="114"/>
      <c r="M34" s="114" t="s">
        <v>342</v>
      </c>
      <c r="N34" s="73"/>
    </row>
    <row r="35" spans="2:14" s="31" customFormat="1" ht="12.4" hidden="1" customHeight="1" x14ac:dyDescent="0.25">
      <c r="B35" s="33"/>
      <c r="C35" s="29" t="s">
        <v>126</v>
      </c>
      <c r="D35" s="35" t="e">
        <v>#N/A</v>
      </c>
      <c r="E35" s="35" t="e">
        <v>#N/A</v>
      </c>
      <c r="F35" s="73"/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/>
      <c r="M35" s="30">
        <v>0</v>
      </c>
      <c r="N35" s="73"/>
    </row>
    <row r="36" spans="2:14" s="31" customFormat="1" ht="12.4" hidden="1" customHeight="1" x14ac:dyDescent="0.25">
      <c r="B36" s="34"/>
      <c r="C36" s="32" t="s">
        <v>124</v>
      </c>
      <c r="D36" s="35" t="e">
        <v>#N/A</v>
      </c>
      <c r="E36" s="35" t="e">
        <v>#N/A</v>
      </c>
      <c r="F36" s="73"/>
      <c r="G36" s="30">
        <v>0</v>
      </c>
      <c r="H36" s="30">
        <v>0</v>
      </c>
      <c r="I36" s="30">
        <v>0</v>
      </c>
      <c r="J36" s="30">
        <v>0</v>
      </c>
      <c r="K36" s="30">
        <v>0</v>
      </c>
      <c r="L36" s="30"/>
      <c r="M36" s="30">
        <v>0</v>
      </c>
      <c r="N36" s="73"/>
    </row>
    <row r="37" spans="2:14" s="31" customFormat="1" ht="12.4" hidden="1" customHeight="1" x14ac:dyDescent="0.25">
      <c r="B37" s="34"/>
      <c r="C37" s="32" t="s">
        <v>125</v>
      </c>
      <c r="D37" s="35" t="e">
        <v>#N/A</v>
      </c>
      <c r="E37" s="35" t="e">
        <v>#N/A</v>
      </c>
      <c r="F37" s="73"/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/>
      <c r="M37" s="30">
        <v>0</v>
      </c>
      <c r="N37" s="73"/>
    </row>
    <row r="38" spans="2:14" s="8" customFormat="1" ht="14.45" customHeight="1" x14ac:dyDescent="0.25">
      <c r="B38" s="42"/>
      <c r="C38" s="54" t="s">
        <v>67</v>
      </c>
      <c r="D38" s="35">
        <v>46174</v>
      </c>
      <c r="E38" s="35">
        <v>46387</v>
      </c>
      <c r="F38" s="73"/>
      <c r="G38" s="114" t="s">
        <v>342</v>
      </c>
      <c r="H38" s="114" t="s">
        <v>342</v>
      </c>
      <c r="I38" s="114" t="s">
        <v>342</v>
      </c>
      <c r="J38" s="114" t="s">
        <v>342</v>
      </c>
      <c r="K38" s="114" t="s">
        <v>342</v>
      </c>
      <c r="L38" s="114"/>
      <c r="M38" s="114" t="s">
        <v>342</v>
      </c>
      <c r="N38" s="73"/>
    </row>
    <row r="39" spans="2:14" s="31" customFormat="1" ht="12.4" hidden="1" customHeight="1" x14ac:dyDescent="0.25">
      <c r="B39" s="29" t="s">
        <v>126</v>
      </c>
      <c r="C39" s="29"/>
      <c r="D39" s="115"/>
      <c r="E39" s="115"/>
      <c r="F39" s="73"/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/>
      <c r="M39" s="30">
        <v>0</v>
      </c>
      <c r="N39" s="73"/>
    </row>
    <row r="40" spans="2:14" s="31" customFormat="1" ht="12.4" hidden="1" customHeight="1" x14ac:dyDescent="0.25">
      <c r="B40" s="32" t="s">
        <v>124</v>
      </c>
      <c r="C40" s="32"/>
      <c r="F40" s="73"/>
      <c r="G40" s="30">
        <v>0</v>
      </c>
      <c r="H40" s="30">
        <v>0</v>
      </c>
      <c r="I40" s="30">
        <v>0</v>
      </c>
      <c r="J40" s="30">
        <v>0</v>
      </c>
      <c r="K40" s="30">
        <v>0</v>
      </c>
      <c r="L40" s="30"/>
      <c r="M40" s="30">
        <v>0</v>
      </c>
      <c r="N40" s="73"/>
    </row>
    <row r="41" spans="2:14" s="31" customFormat="1" ht="12.4" hidden="1" customHeight="1" x14ac:dyDescent="0.25">
      <c r="B41" s="32" t="s">
        <v>125</v>
      </c>
      <c r="C41" s="32"/>
      <c r="F41" s="73"/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/>
      <c r="M41" s="30">
        <v>0</v>
      </c>
      <c r="N41" s="73"/>
    </row>
  </sheetData>
  <sheetProtection sheet="1" objects="1" scenarios="1"/>
  <hyperlinks>
    <hyperlink ref="M3" location="'Table of contents'!A1" display="Return to TOC" xr:uid="{00000000-0004-0000-0B00-000000000000}"/>
  </hyperlinks>
  <pageMargins left="0.7" right="0.7" top="0.75" bottom="0.75" header="0.3" footer="0.3"/>
  <pageSetup scale="5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Delta">
    <tabColor theme="5" tint="0.39997558519241921"/>
    <pageSetUpPr fitToPage="1"/>
  </sheetPr>
  <dimension ref="B1:L42"/>
  <sheetViews>
    <sheetView showGridLines="0" zoomScale="90" zoomScaleNormal="90" workbookViewId="0">
      <pane xSplit="4" ySplit="2" topLeftCell="E3" activePane="bottomRight" state="frozen"/>
      <selection pane="topRight"/>
      <selection pane="bottomLeft"/>
      <selection pane="bottomRight"/>
    </sheetView>
  </sheetViews>
  <sheetFormatPr defaultColWidth="8.85546875" defaultRowHeight="15" outlineLevelRow="1" outlineLevelCol="1" x14ac:dyDescent="0.25"/>
  <cols>
    <col min="1" max="1" width="4.7109375" style="5" customWidth="1"/>
    <col min="2" max="2" width="4.7109375" style="163" hidden="1" customWidth="1"/>
    <col min="3" max="3" width="8.7109375" style="5" customWidth="1"/>
    <col min="4" max="4" width="50.7109375" style="6" customWidth="1"/>
    <col min="5" max="5" width="10.7109375" style="154" customWidth="1"/>
    <col min="6" max="8" width="10.7109375" style="154" customWidth="1" outlineLevel="1"/>
    <col min="9" max="10" width="10.7109375" style="154" customWidth="1"/>
    <col min="11" max="11" width="60.7109375" style="154" customWidth="1"/>
    <col min="12" max="16384" width="8.85546875" style="5"/>
  </cols>
  <sheetData>
    <row r="1" spans="2:12" x14ac:dyDescent="0.25">
      <c r="B1" s="152">
        <v>3</v>
      </c>
      <c r="C1" s="174"/>
      <c r="K1" s="70" t="s">
        <v>66</v>
      </c>
    </row>
    <row r="2" spans="2:12" s="79" customFormat="1" ht="30.75" thickBot="1" x14ac:dyDescent="0.3">
      <c r="B2" s="175" t="s">
        <v>62</v>
      </c>
      <c r="C2" s="175" t="s">
        <v>161</v>
      </c>
      <c r="D2" s="156" t="s">
        <v>3</v>
      </c>
      <c r="E2" s="59" t="s">
        <v>400</v>
      </c>
      <c r="F2" s="65"/>
      <c r="G2" s="59"/>
      <c r="H2" s="59"/>
      <c r="I2" s="66"/>
      <c r="J2" s="157" t="s">
        <v>80</v>
      </c>
      <c r="K2" s="158" t="s">
        <v>69</v>
      </c>
    </row>
    <row r="3" spans="2:12" x14ac:dyDescent="0.25">
      <c r="B3" s="146">
        <v>1</v>
      </c>
      <c r="C3" s="215" t="s">
        <v>345</v>
      </c>
      <c r="D3" s="216"/>
      <c r="E3" s="217">
        <f>SUBTOTAL(9,E4:E41)</f>
        <v>8913709.7478447184</v>
      </c>
      <c r="F3" s="217"/>
      <c r="G3" s="217"/>
      <c r="H3" s="217"/>
      <c r="I3" s="217"/>
      <c r="J3" s="217"/>
      <c r="K3" s="217"/>
      <c r="L3" s="147"/>
    </row>
    <row r="4" spans="2:12" x14ac:dyDescent="0.25">
      <c r="B4" s="146">
        <v>2</v>
      </c>
      <c r="C4" s="165" t="s">
        <v>41</v>
      </c>
      <c r="D4" s="166" t="s">
        <v>12</v>
      </c>
      <c r="E4" s="167">
        <f>SUBTOTAL(9,E5:E5)</f>
        <v>3072</v>
      </c>
      <c r="F4" s="168"/>
      <c r="G4" s="167"/>
      <c r="H4" s="167"/>
      <c r="I4" s="169"/>
      <c r="J4" s="167"/>
      <c r="K4" s="167"/>
      <c r="L4" s="147"/>
    </row>
    <row r="5" spans="2:12" customFormat="1" outlineLevel="1" x14ac:dyDescent="0.25">
      <c r="B5" s="170">
        <v>3</v>
      </c>
      <c r="C5" s="4" t="s">
        <v>223</v>
      </c>
      <c r="D5" s="171" t="s">
        <v>357</v>
      </c>
      <c r="E5" s="172">
        <v>3072</v>
      </c>
      <c r="F5" s="63"/>
      <c r="G5" s="60"/>
      <c r="H5" s="60"/>
      <c r="I5" s="64"/>
      <c r="J5" s="62" t="str">
        <f>IF(I$2&lt;&gt;"",E5-I5,"")</f>
        <v/>
      </c>
      <c r="K5" s="61"/>
      <c r="L5" s="173"/>
    </row>
    <row r="6" spans="2:12" x14ac:dyDescent="0.25">
      <c r="B6" s="146">
        <v>2</v>
      </c>
      <c r="C6" s="165" t="s">
        <v>42</v>
      </c>
      <c r="D6" s="166" t="s">
        <v>13</v>
      </c>
      <c r="E6" s="167">
        <f>SUBTOTAL(9,E7:E8)</f>
        <v>18049</v>
      </c>
      <c r="F6" s="168"/>
      <c r="G6" s="167"/>
      <c r="H6" s="167"/>
      <c r="I6" s="169"/>
      <c r="J6" s="167"/>
      <c r="K6" s="167"/>
      <c r="L6" s="147"/>
    </row>
    <row r="7" spans="2:12" customFormat="1" outlineLevel="1" x14ac:dyDescent="0.25">
      <c r="B7" s="170">
        <v>3</v>
      </c>
      <c r="C7" s="4" t="s">
        <v>170</v>
      </c>
      <c r="D7" s="171" t="s">
        <v>358</v>
      </c>
      <c r="E7" s="172">
        <v>16855</v>
      </c>
      <c r="F7" s="63"/>
      <c r="G7" s="60"/>
      <c r="H7" s="60"/>
      <c r="I7" s="64"/>
      <c r="J7" s="62" t="str">
        <f>IF(I$2&lt;&gt;"",E7-I7,"")</f>
        <v/>
      </c>
      <c r="K7" s="61"/>
      <c r="L7" s="173"/>
    </row>
    <row r="8" spans="2:12" customFormat="1" outlineLevel="1" x14ac:dyDescent="0.25">
      <c r="B8" s="170">
        <v>3</v>
      </c>
      <c r="C8" s="4" t="s">
        <v>174</v>
      </c>
      <c r="D8" s="171" t="s">
        <v>359</v>
      </c>
      <c r="E8" s="172">
        <v>1194</v>
      </c>
      <c r="F8" s="63"/>
      <c r="G8" s="60"/>
      <c r="H8" s="60"/>
      <c r="I8" s="64"/>
      <c r="J8" s="62" t="str">
        <f>IF(I$2&lt;&gt;"",E8-I8,"")</f>
        <v/>
      </c>
      <c r="K8" s="61"/>
      <c r="L8" s="173"/>
    </row>
    <row r="9" spans="2:12" x14ac:dyDescent="0.25">
      <c r="B9" s="146">
        <v>2</v>
      </c>
      <c r="C9" s="165" t="s">
        <v>43</v>
      </c>
      <c r="D9" s="166" t="s">
        <v>178</v>
      </c>
      <c r="E9" s="167">
        <f>SUBTOTAL(9,E10:E11)</f>
        <v>63973</v>
      </c>
      <c r="F9" s="168"/>
      <c r="G9" s="167"/>
      <c r="H9" s="167"/>
      <c r="I9" s="169"/>
      <c r="J9" s="167"/>
      <c r="K9" s="167"/>
      <c r="L9" s="147"/>
    </row>
    <row r="10" spans="2:12" customFormat="1" outlineLevel="1" x14ac:dyDescent="0.25">
      <c r="B10" s="170">
        <v>3</v>
      </c>
      <c r="C10" s="4" t="s">
        <v>179</v>
      </c>
      <c r="D10" s="171" t="s">
        <v>360</v>
      </c>
      <c r="E10" s="172">
        <v>56600</v>
      </c>
      <c r="F10" s="63"/>
      <c r="G10" s="60"/>
      <c r="H10" s="60"/>
      <c r="I10" s="64"/>
      <c r="J10" s="62" t="str">
        <f>IF(I$2&lt;&gt;"",E10-I10,"")</f>
        <v/>
      </c>
      <c r="K10" s="61"/>
      <c r="L10" s="173"/>
    </row>
    <row r="11" spans="2:12" customFormat="1" outlineLevel="1" x14ac:dyDescent="0.25">
      <c r="B11" s="170">
        <v>3</v>
      </c>
      <c r="C11" s="4" t="s">
        <v>183</v>
      </c>
      <c r="D11" s="171" t="s">
        <v>361</v>
      </c>
      <c r="E11" s="172">
        <v>7373</v>
      </c>
      <c r="F11" s="63"/>
      <c r="G11" s="60"/>
      <c r="H11" s="60"/>
      <c r="I11" s="64"/>
      <c r="J11" s="62" t="str">
        <f>IF(I$2&lt;&gt;"",E11-I11,"")</f>
        <v/>
      </c>
      <c r="K11" s="61"/>
      <c r="L11" s="173"/>
    </row>
    <row r="12" spans="2:12" x14ac:dyDescent="0.25">
      <c r="B12" s="146">
        <v>2</v>
      </c>
      <c r="C12" s="165" t="s">
        <v>44</v>
      </c>
      <c r="D12" s="166" t="s">
        <v>14</v>
      </c>
      <c r="E12" s="167">
        <f>SUBTOTAL(9,E13:E14)</f>
        <v>198532</v>
      </c>
      <c r="F12" s="168"/>
      <c r="G12" s="167"/>
      <c r="H12" s="167"/>
      <c r="I12" s="169"/>
      <c r="J12" s="167"/>
      <c r="K12" s="167"/>
      <c r="L12" s="147"/>
    </row>
    <row r="13" spans="2:12" customFormat="1" outlineLevel="1" x14ac:dyDescent="0.25">
      <c r="B13" s="170">
        <v>3</v>
      </c>
      <c r="C13" s="4" t="s">
        <v>187</v>
      </c>
      <c r="D13" s="171" t="s">
        <v>363</v>
      </c>
      <c r="E13" s="172">
        <v>67800</v>
      </c>
      <c r="F13" s="63"/>
      <c r="G13" s="60"/>
      <c r="H13" s="60"/>
      <c r="I13" s="64"/>
      <c r="J13" s="62" t="str">
        <f>IF(I$2&lt;&gt;"",E13-I13,"")</f>
        <v/>
      </c>
      <c r="K13" s="61"/>
      <c r="L13" s="173"/>
    </row>
    <row r="14" spans="2:12" customFormat="1" outlineLevel="1" x14ac:dyDescent="0.25">
      <c r="B14" s="170">
        <v>3</v>
      </c>
      <c r="C14" s="4" t="s">
        <v>191</v>
      </c>
      <c r="D14" s="171" t="s">
        <v>365</v>
      </c>
      <c r="E14" s="172">
        <v>130732</v>
      </c>
      <c r="F14" s="63"/>
      <c r="G14" s="60"/>
      <c r="H14" s="60"/>
      <c r="I14" s="64"/>
      <c r="J14" s="62" t="str">
        <f>IF(I$2&lt;&gt;"",E14-I14,"")</f>
        <v/>
      </c>
      <c r="K14" s="61"/>
      <c r="L14" s="173"/>
    </row>
    <row r="15" spans="2:12" x14ac:dyDescent="0.25">
      <c r="B15" s="146">
        <v>2</v>
      </c>
      <c r="C15" s="165" t="s">
        <v>45</v>
      </c>
      <c r="D15" s="166" t="s">
        <v>15</v>
      </c>
      <c r="E15" s="167">
        <f>SUBTOTAL(9,E16:E18)</f>
        <v>2937833.35</v>
      </c>
      <c r="F15" s="168"/>
      <c r="G15" s="167"/>
      <c r="H15" s="167"/>
      <c r="I15" s="169"/>
      <c r="J15" s="167"/>
      <c r="K15" s="167"/>
      <c r="L15" s="147"/>
    </row>
    <row r="16" spans="2:12" customFormat="1" outlineLevel="1" x14ac:dyDescent="0.25">
      <c r="B16" s="170">
        <v>3</v>
      </c>
      <c r="C16" s="4" t="s">
        <v>195</v>
      </c>
      <c r="D16" s="171" t="s">
        <v>367</v>
      </c>
      <c r="E16" s="172">
        <v>2781209.49</v>
      </c>
      <c r="F16" s="63"/>
      <c r="G16" s="60"/>
      <c r="H16" s="60"/>
      <c r="I16" s="64"/>
      <c r="J16" s="62" t="str">
        <f>IF(I$2&lt;&gt;"",E16-I16,"")</f>
        <v/>
      </c>
      <c r="K16" s="61"/>
      <c r="L16" s="173"/>
    </row>
    <row r="17" spans="2:12" customFormat="1" outlineLevel="1" x14ac:dyDescent="0.25">
      <c r="B17" s="170">
        <v>3</v>
      </c>
      <c r="C17" s="4" t="s">
        <v>202</v>
      </c>
      <c r="D17" s="171" t="s">
        <v>368</v>
      </c>
      <c r="E17" s="172">
        <v>103000</v>
      </c>
      <c r="F17" s="63"/>
      <c r="G17" s="60"/>
      <c r="H17" s="60"/>
      <c r="I17" s="64"/>
      <c r="J17" s="62" t="str">
        <f>IF(I$2&lt;&gt;"",E17-I17,"")</f>
        <v/>
      </c>
      <c r="K17" s="61"/>
      <c r="L17" s="173"/>
    </row>
    <row r="18" spans="2:12" customFormat="1" outlineLevel="1" x14ac:dyDescent="0.25">
      <c r="B18" s="170">
        <v>3</v>
      </c>
      <c r="C18" s="4" t="s">
        <v>204</v>
      </c>
      <c r="D18" s="171" t="s">
        <v>369</v>
      </c>
      <c r="E18" s="172">
        <v>53623.86</v>
      </c>
      <c r="F18" s="63"/>
      <c r="G18" s="60"/>
      <c r="H18" s="60"/>
      <c r="I18" s="64"/>
      <c r="J18" s="62" t="str">
        <f>IF(I$2&lt;&gt;"",E18-I18,"")</f>
        <v/>
      </c>
      <c r="K18" s="61"/>
      <c r="L18" s="173"/>
    </row>
    <row r="19" spans="2:12" x14ac:dyDescent="0.25">
      <c r="B19" s="146">
        <v>2</v>
      </c>
      <c r="C19" s="165" t="s">
        <v>46</v>
      </c>
      <c r="D19" s="166" t="s">
        <v>208</v>
      </c>
      <c r="E19" s="167">
        <f>SUBTOTAL(9,E20:E20)</f>
        <v>1154050</v>
      </c>
      <c r="F19" s="168"/>
      <c r="G19" s="167"/>
      <c r="H19" s="167"/>
      <c r="I19" s="169"/>
      <c r="J19" s="167"/>
      <c r="K19" s="167"/>
      <c r="L19" s="147"/>
    </row>
    <row r="20" spans="2:12" customFormat="1" outlineLevel="1" x14ac:dyDescent="0.25">
      <c r="B20" s="170">
        <v>3</v>
      </c>
      <c r="C20" s="4" t="s">
        <v>209</v>
      </c>
      <c r="D20" s="171" t="s">
        <v>371</v>
      </c>
      <c r="E20" s="172">
        <v>1154050</v>
      </c>
      <c r="F20" s="63"/>
      <c r="G20" s="60"/>
      <c r="H20" s="60"/>
      <c r="I20" s="64"/>
      <c r="J20" s="62" t="str">
        <f>IF(I$2&lt;&gt;"",E20-I20,"")</f>
        <v/>
      </c>
      <c r="K20" s="61"/>
      <c r="L20" s="173"/>
    </row>
    <row r="21" spans="2:12" x14ac:dyDescent="0.25">
      <c r="B21" s="146">
        <v>2</v>
      </c>
      <c r="C21" s="165" t="s">
        <v>47</v>
      </c>
      <c r="D21" s="166" t="s">
        <v>210</v>
      </c>
      <c r="E21" s="167">
        <f>SUBTOTAL(9,E22:E22)</f>
        <v>14044</v>
      </c>
      <c r="F21" s="168"/>
      <c r="G21" s="167"/>
      <c r="H21" s="167"/>
      <c r="I21" s="169"/>
      <c r="J21" s="167"/>
      <c r="K21" s="167"/>
      <c r="L21" s="147"/>
    </row>
    <row r="22" spans="2:12" customFormat="1" outlineLevel="1" x14ac:dyDescent="0.25">
      <c r="B22" s="170">
        <v>3</v>
      </c>
      <c r="C22" s="4" t="s">
        <v>211</v>
      </c>
      <c r="D22" s="171" t="s">
        <v>372</v>
      </c>
      <c r="E22" s="172">
        <v>14044</v>
      </c>
      <c r="F22" s="63"/>
      <c r="G22" s="60"/>
      <c r="H22" s="60"/>
      <c r="I22" s="64"/>
      <c r="J22" s="62" t="str">
        <f>IF(I$2&lt;&gt;"",E22-I22,"")</f>
        <v/>
      </c>
      <c r="K22" s="61"/>
      <c r="L22" s="173"/>
    </row>
    <row r="23" spans="2:12" x14ac:dyDescent="0.25">
      <c r="B23" s="146">
        <v>2</v>
      </c>
      <c r="C23" s="165" t="s">
        <v>49</v>
      </c>
      <c r="D23" s="166" t="s">
        <v>17</v>
      </c>
      <c r="E23" s="167">
        <f>SUBTOTAL(9,E24:E25)</f>
        <v>1135145</v>
      </c>
      <c r="F23" s="168"/>
      <c r="G23" s="167"/>
      <c r="H23" s="167"/>
      <c r="I23" s="169"/>
      <c r="J23" s="167"/>
      <c r="K23" s="167"/>
      <c r="L23" s="147"/>
    </row>
    <row r="24" spans="2:12" customFormat="1" outlineLevel="1" x14ac:dyDescent="0.25">
      <c r="B24" s="170">
        <v>3</v>
      </c>
      <c r="C24" s="4" t="s">
        <v>212</v>
      </c>
      <c r="D24" s="171" t="s">
        <v>374</v>
      </c>
      <c r="E24" s="172">
        <v>1023123</v>
      </c>
      <c r="F24" s="63"/>
      <c r="G24" s="60"/>
      <c r="H24" s="60"/>
      <c r="I24" s="64"/>
      <c r="J24" s="62" t="str">
        <f>IF(I$2&lt;&gt;"",E24-I24,"")</f>
        <v/>
      </c>
      <c r="K24" s="61"/>
      <c r="L24" s="173"/>
    </row>
    <row r="25" spans="2:12" customFormat="1" outlineLevel="1" x14ac:dyDescent="0.25">
      <c r="B25" s="170">
        <v>3</v>
      </c>
      <c r="C25" s="4" t="s">
        <v>219</v>
      </c>
      <c r="D25" s="171" t="s">
        <v>375</v>
      </c>
      <c r="E25" s="172">
        <v>112022</v>
      </c>
      <c r="F25" s="63"/>
      <c r="G25" s="60"/>
      <c r="H25" s="60"/>
      <c r="I25" s="64"/>
      <c r="J25" s="62" t="str">
        <f>IF(I$2&lt;&gt;"",E25-I25,"")</f>
        <v/>
      </c>
      <c r="K25" s="61"/>
      <c r="L25" s="173"/>
    </row>
    <row r="26" spans="2:12" x14ac:dyDescent="0.25">
      <c r="B26" s="146">
        <v>2</v>
      </c>
      <c r="C26" s="165" t="s">
        <v>50</v>
      </c>
      <c r="D26" s="166" t="s">
        <v>18</v>
      </c>
      <c r="E26" s="167">
        <f>SUBTOTAL(9,E27:E27)</f>
        <v>14138</v>
      </c>
      <c r="F26" s="168"/>
      <c r="G26" s="167"/>
      <c r="H26" s="167"/>
      <c r="I26" s="169"/>
      <c r="J26" s="167"/>
      <c r="K26" s="167"/>
      <c r="L26" s="147"/>
    </row>
    <row r="27" spans="2:12" customFormat="1" outlineLevel="1" x14ac:dyDescent="0.25">
      <c r="B27" s="170">
        <v>3</v>
      </c>
      <c r="C27" s="4" t="s">
        <v>241</v>
      </c>
      <c r="D27" s="171" t="s">
        <v>376</v>
      </c>
      <c r="E27" s="172">
        <v>14138</v>
      </c>
      <c r="F27" s="63"/>
      <c r="G27" s="60"/>
      <c r="H27" s="60"/>
      <c r="I27" s="64"/>
      <c r="J27" s="62" t="str">
        <f>IF(I$2&lt;&gt;"",E27-I27,"")</f>
        <v/>
      </c>
      <c r="K27" s="61"/>
      <c r="L27" s="173"/>
    </row>
    <row r="28" spans="2:12" x14ac:dyDescent="0.25">
      <c r="B28" s="146">
        <v>2</v>
      </c>
      <c r="C28" s="165" t="s">
        <v>51</v>
      </c>
      <c r="D28" s="166" t="s">
        <v>19</v>
      </c>
      <c r="E28" s="167">
        <f>SUBTOTAL(9,E29:E29)</f>
        <v>109879.06700000001</v>
      </c>
      <c r="F28" s="168"/>
      <c r="G28" s="167"/>
      <c r="H28" s="167"/>
      <c r="I28" s="169"/>
      <c r="J28" s="167"/>
      <c r="K28" s="167"/>
      <c r="L28" s="147"/>
    </row>
    <row r="29" spans="2:12" customFormat="1" outlineLevel="1" x14ac:dyDescent="0.25">
      <c r="B29" s="170">
        <v>3</v>
      </c>
      <c r="C29" s="4" t="s">
        <v>168</v>
      </c>
      <c r="D29" s="171" t="s">
        <v>378</v>
      </c>
      <c r="E29" s="172">
        <v>109879.06700000001</v>
      </c>
      <c r="F29" s="63"/>
      <c r="G29" s="60"/>
      <c r="H29" s="60"/>
      <c r="I29" s="64"/>
      <c r="J29" s="62" t="str">
        <f>IF(I$2&lt;&gt;"",E29-I29,"")</f>
        <v/>
      </c>
      <c r="K29" s="61"/>
      <c r="L29" s="173"/>
    </row>
    <row r="30" spans="2:12" x14ac:dyDescent="0.25">
      <c r="B30" s="146">
        <v>2</v>
      </c>
      <c r="C30" s="165" t="s">
        <v>57</v>
      </c>
      <c r="D30" s="166" t="s">
        <v>21</v>
      </c>
      <c r="E30" s="167">
        <f>SUBTOTAL(9,E31:E39)</f>
        <v>2834786.2741359202</v>
      </c>
      <c r="F30" s="168"/>
      <c r="G30" s="167"/>
      <c r="H30" s="167"/>
      <c r="I30" s="169"/>
      <c r="J30" s="167"/>
      <c r="K30" s="167"/>
      <c r="L30" s="147"/>
    </row>
    <row r="31" spans="2:12" customFormat="1" outlineLevel="1" x14ac:dyDescent="0.25">
      <c r="B31" s="170">
        <v>3</v>
      </c>
      <c r="C31" s="4" t="s">
        <v>245</v>
      </c>
      <c r="D31" s="171" t="s">
        <v>380</v>
      </c>
      <c r="E31" s="172">
        <v>280563.63339999999</v>
      </c>
      <c r="F31" s="63"/>
      <c r="G31" s="60"/>
      <c r="H31" s="60"/>
      <c r="I31" s="64"/>
      <c r="J31" s="62" t="str">
        <f>IF(I$2&lt;&gt;"",E31-I31,"")</f>
        <v/>
      </c>
      <c r="K31" s="61"/>
      <c r="L31" s="173"/>
    </row>
    <row r="32" spans="2:12" customFormat="1" outlineLevel="1" x14ac:dyDescent="0.25">
      <c r="B32" s="170">
        <v>3</v>
      </c>
      <c r="C32" s="4" t="s">
        <v>246</v>
      </c>
      <c r="D32" s="171" t="s">
        <v>382</v>
      </c>
      <c r="E32" s="172">
        <v>79097.10901</v>
      </c>
      <c r="F32" s="63"/>
      <c r="G32" s="60"/>
      <c r="H32" s="60"/>
      <c r="I32" s="64"/>
      <c r="J32" s="62" t="str">
        <f>IF(I$2&lt;&gt;"",E32-I32,"")</f>
        <v/>
      </c>
      <c r="K32" s="61"/>
      <c r="L32" s="173"/>
    </row>
    <row r="33" spans="2:12" customFormat="1" outlineLevel="1" x14ac:dyDescent="0.25">
      <c r="B33" s="170">
        <v>3</v>
      </c>
      <c r="C33" s="4" t="s">
        <v>247</v>
      </c>
      <c r="D33" s="171" t="s">
        <v>384</v>
      </c>
      <c r="E33" s="172">
        <v>851723.27</v>
      </c>
      <c r="F33" s="63"/>
      <c r="G33" s="60"/>
      <c r="H33" s="60"/>
      <c r="I33" s="64"/>
      <c r="J33" s="62" t="str">
        <f>IF(I$2&lt;&gt;"",E33-I33,"")</f>
        <v/>
      </c>
      <c r="K33" s="61"/>
      <c r="L33" s="173"/>
    </row>
    <row r="34" spans="2:12" customFormat="1" outlineLevel="1" x14ac:dyDescent="0.25">
      <c r="B34" s="170">
        <v>3</v>
      </c>
      <c r="C34" s="4" t="s">
        <v>248</v>
      </c>
      <c r="D34" s="171" t="s">
        <v>385</v>
      </c>
      <c r="E34" s="172">
        <v>694093.07248200011</v>
      </c>
      <c r="F34" s="63"/>
      <c r="G34" s="60"/>
      <c r="H34" s="60"/>
      <c r="I34" s="64"/>
      <c r="J34" s="62" t="str">
        <f>IF(I$2&lt;&gt;"",E34-I34,"")</f>
        <v/>
      </c>
      <c r="K34" s="61"/>
      <c r="L34" s="173"/>
    </row>
    <row r="35" spans="2:12" customFormat="1" outlineLevel="1" x14ac:dyDescent="0.25">
      <c r="B35" s="170">
        <v>3</v>
      </c>
      <c r="C35" s="4" t="s">
        <v>249</v>
      </c>
      <c r="D35" s="171" t="s">
        <v>387</v>
      </c>
      <c r="E35" s="172">
        <v>72693.649743920003</v>
      </c>
      <c r="F35" s="63"/>
      <c r="G35" s="60"/>
      <c r="H35" s="60"/>
      <c r="I35" s="64"/>
      <c r="J35" s="62" t="str">
        <f>IF(I$2&lt;&gt;"",E35-I35,"")</f>
        <v/>
      </c>
      <c r="K35" s="61"/>
      <c r="L35" s="173"/>
    </row>
    <row r="36" spans="2:12" customFormat="1" outlineLevel="1" x14ac:dyDescent="0.25">
      <c r="B36" s="170">
        <v>3</v>
      </c>
      <c r="C36" s="4" t="s">
        <v>250</v>
      </c>
      <c r="D36" s="171" t="s">
        <v>388</v>
      </c>
      <c r="E36" s="172">
        <v>43708</v>
      </c>
      <c r="F36" s="63"/>
      <c r="G36" s="60"/>
      <c r="H36" s="60"/>
      <c r="I36" s="64"/>
      <c r="J36" s="62" t="str">
        <f>IF(I$2&lt;&gt;"",E36-I36,"")</f>
        <v/>
      </c>
      <c r="K36" s="61"/>
      <c r="L36" s="173"/>
    </row>
    <row r="37" spans="2:12" customFormat="1" outlineLevel="1" x14ac:dyDescent="0.25">
      <c r="B37" s="170">
        <v>3</v>
      </c>
      <c r="C37" s="4" t="s">
        <v>251</v>
      </c>
      <c r="D37" s="171" t="s">
        <v>389</v>
      </c>
      <c r="E37" s="172">
        <v>76177</v>
      </c>
      <c r="F37" s="63"/>
      <c r="G37" s="60"/>
      <c r="H37" s="60"/>
      <c r="I37" s="64"/>
      <c r="J37" s="62" t="str">
        <f>IF(I$2&lt;&gt;"",E37-I37,"")</f>
        <v/>
      </c>
      <c r="K37" s="61"/>
      <c r="L37" s="173"/>
    </row>
    <row r="38" spans="2:12" customFormat="1" outlineLevel="1" x14ac:dyDescent="0.25">
      <c r="B38" s="170">
        <v>3</v>
      </c>
      <c r="C38" s="4" t="s">
        <v>252</v>
      </c>
      <c r="D38" s="171" t="s">
        <v>391</v>
      </c>
      <c r="E38" s="172">
        <v>53417.539499999999</v>
      </c>
      <c r="F38" s="63"/>
      <c r="G38" s="60"/>
      <c r="H38" s="60"/>
      <c r="I38" s="64"/>
      <c r="J38" s="62" t="str">
        <f>IF(I$2&lt;&gt;"",E38-I38,"")</f>
        <v/>
      </c>
      <c r="K38" s="61"/>
      <c r="L38" s="173"/>
    </row>
    <row r="39" spans="2:12" customFormat="1" outlineLevel="1" x14ac:dyDescent="0.25">
      <c r="B39" s="170">
        <v>3</v>
      </c>
      <c r="C39" s="4" t="s">
        <v>253</v>
      </c>
      <c r="D39" s="171" t="s">
        <v>392</v>
      </c>
      <c r="E39" s="172">
        <v>683313</v>
      </c>
      <c r="F39" s="63"/>
      <c r="G39" s="60"/>
      <c r="H39" s="60"/>
      <c r="I39" s="64"/>
      <c r="J39" s="62" t="str">
        <f>IF(I$2&lt;&gt;"",E39-I39,"")</f>
        <v/>
      </c>
      <c r="K39" s="61"/>
      <c r="L39" s="173"/>
    </row>
    <row r="40" spans="2:12" x14ac:dyDescent="0.25">
      <c r="B40" s="146">
        <v>2</v>
      </c>
      <c r="C40" s="165" t="s">
        <v>58</v>
      </c>
      <c r="D40" s="166" t="s">
        <v>22</v>
      </c>
      <c r="E40" s="167">
        <f>SUBTOTAL(9,E41:E41)</f>
        <v>430208.05670879851</v>
      </c>
      <c r="F40" s="168"/>
      <c r="G40" s="167"/>
      <c r="H40" s="167"/>
      <c r="I40" s="169"/>
      <c r="J40" s="167"/>
      <c r="K40" s="167"/>
      <c r="L40" s="147"/>
    </row>
    <row r="41" spans="2:12" customFormat="1" ht="15.75" outlineLevel="1" thickBot="1" x14ac:dyDescent="0.3">
      <c r="B41" s="170">
        <v>3</v>
      </c>
      <c r="C41" s="4" t="s">
        <v>254</v>
      </c>
      <c r="D41" s="171" t="s">
        <v>22</v>
      </c>
      <c r="E41" s="172">
        <v>430208.05670879851</v>
      </c>
      <c r="F41" s="63"/>
      <c r="G41" s="60"/>
      <c r="H41" s="60"/>
      <c r="I41" s="64"/>
      <c r="J41" s="62" t="str">
        <f>IF(I$2&lt;&gt;"",E41-I41,"")</f>
        <v/>
      </c>
      <c r="K41" s="61"/>
      <c r="L41" s="173"/>
    </row>
    <row r="42" spans="2:12" s="91" customFormat="1" x14ac:dyDescent="0.25">
      <c r="B42" s="159"/>
      <c r="C42" s="160" t="s">
        <v>61</v>
      </c>
      <c r="D42" s="161"/>
      <c r="E42" s="162">
        <v>8913709.7478447184</v>
      </c>
      <c r="F42" s="176">
        <f>SUBTOTAL(9,F3:F41)</f>
        <v>0</v>
      </c>
      <c r="G42" s="162">
        <f>SUBTOTAL(9,G3:G41)</f>
        <v>0</v>
      </c>
      <c r="H42" s="162">
        <f>SUBTOTAL(9,H3:H41)</f>
        <v>0</v>
      </c>
      <c r="I42" s="177">
        <f>SUBTOTAL(9,I3:I41)</f>
        <v>0</v>
      </c>
      <c r="J42" s="162"/>
      <c r="K42" s="162"/>
    </row>
  </sheetData>
  <sheetProtection sheet="1" objects="1" scenarios="1"/>
  <hyperlinks>
    <hyperlink ref="K1" location="'Table of contents'!A1" display="Return to TOC" xr:uid="{00000000-0004-0000-0D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UnitComparison">
    <tabColor theme="7" tint="0.39997558519241921"/>
    <pageSetUpPr fitToPage="1"/>
  </sheetPr>
  <dimension ref="B2:K33"/>
  <sheetViews>
    <sheetView showGridLines="0" workbookViewId="0">
      <pane ySplit="7" topLeftCell="A8" activePane="bottomLeft" state="frozen"/>
      <selection pane="bottomLeft"/>
    </sheetView>
  </sheetViews>
  <sheetFormatPr defaultColWidth="8.85546875" defaultRowHeight="15" x14ac:dyDescent="0.25"/>
  <cols>
    <col min="1" max="1" width="4.7109375" customWidth="1"/>
    <col min="2" max="2" width="4.7109375" style="76" hidden="1" customWidth="1"/>
    <col min="3" max="3" width="50.7109375" customWidth="1"/>
    <col min="4" max="5" width="12.7109375" customWidth="1"/>
    <col min="6" max="6" width="2.7109375" customWidth="1"/>
    <col min="7" max="8" width="12.7109375" customWidth="1"/>
    <col min="9" max="9" width="2.7109375" customWidth="1"/>
    <col min="10" max="10" width="12.7109375" customWidth="1"/>
    <col min="11" max="11" width="72.7109375" customWidth="1"/>
  </cols>
  <sheetData>
    <row r="2" spans="2:11" x14ac:dyDescent="0.25">
      <c r="K2" s="70" t="s">
        <v>66</v>
      </c>
    </row>
    <row r="3" spans="2:11" x14ac:dyDescent="0.25">
      <c r="C3" s="116"/>
      <c r="D3" s="117" t="s">
        <v>102</v>
      </c>
      <c r="E3" s="118"/>
      <c r="F3" s="119"/>
      <c r="G3" s="117" t="s">
        <v>102</v>
      </c>
      <c r="H3" s="118"/>
      <c r="I3" s="119"/>
      <c r="J3" s="120"/>
      <c r="K3" s="121"/>
    </row>
    <row r="4" spans="2:11" x14ac:dyDescent="0.25">
      <c r="C4" s="249" t="s">
        <v>82</v>
      </c>
      <c r="D4" s="250" t="s">
        <v>103</v>
      </c>
      <c r="E4" s="250" t="s">
        <v>104</v>
      </c>
      <c r="F4" s="119"/>
      <c r="G4" s="250" t="s">
        <v>105</v>
      </c>
      <c r="H4" s="250" t="s">
        <v>106</v>
      </c>
      <c r="I4" s="119"/>
      <c r="J4" s="248" t="s">
        <v>0</v>
      </c>
      <c r="K4" s="121"/>
    </row>
    <row r="5" spans="2:11" x14ac:dyDescent="0.25">
      <c r="C5" s="249"/>
      <c r="D5" s="250"/>
      <c r="E5" s="250"/>
      <c r="F5" s="119"/>
      <c r="G5" s="250"/>
      <c r="H5" s="250"/>
      <c r="I5" s="119"/>
      <c r="J5" s="248"/>
      <c r="K5" s="121" t="s">
        <v>69</v>
      </c>
    </row>
    <row r="6" spans="2:11" x14ac:dyDescent="0.25">
      <c r="C6" s="122" t="s">
        <v>107</v>
      </c>
      <c r="D6" s="123"/>
      <c r="E6" s="123"/>
      <c r="F6" s="119"/>
      <c r="G6" s="124"/>
      <c r="H6" s="123"/>
      <c r="I6" s="125"/>
      <c r="J6" s="126"/>
      <c r="K6" s="126"/>
    </row>
    <row r="7" spans="2:11" x14ac:dyDescent="0.25">
      <c r="C7" s="127" t="s">
        <v>108</v>
      </c>
      <c r="D7" s="121"/>
      <c r="E7" s="14">
        <v>4</v>
      </c>
      <c r="F7" s="119"/>
      <c r="G7" s="128"/>
      <c r="H7" s="14">
        <v>1</v>
      </c>
      <c r="I7" s="119"/>
      <c r="J7" s="121"/>
      <c r="K7" s="121"/>
    </row>
    <row r="8" spans="2:11" x14ac:dyDescent="0.25">
      <c r="B8" s="83" t="s">
        <v>41</v>
      </c>
      <c r="C8" s="139" t="s">
        <v>86</v>
      </c>
      <c r="D8" s="15"/>
      <c r="E8" s="19">
        <f>D8/E$7</f>
        <v>0</v>
      </c>
      <c r="F8" s="130"/>
      <c r="G8" s="105">
        <v>3.1</v>
      </c>
      <c r="H8" s="19">
        <f>G8/H$7</f>
        <v>3.1</v>
      </c>
      <c r="I8" s="130"/>
      <c r="J8" s="131">
        <f>H8-E8</f>
        <v>3.1</v>
      </c>
      <c r="K8" s="16"/>
    </row>
    <row r="9" spans="2:11" x14ac:dyDescent="0.25">
      <c r="B9" s="83" t="s">
        <v>42</v>
      </c>
      <c r="C9" s="139" t="s">
        <v>87</v>
      </c>
      <c r="D9" s="15"/>
      <c r="E9" s="19">
        <f t="shared" ref="E9:E19" si="0">D9/E$7</f>
        <v>0</v>
      </c>
      <c r="F9" s="132"/>
      <c r="G9" s="105">
        <v>18</v>
      </c>
      <c r="H9" s="19">
        <f t="shared" ref="H9:H19" si="1">G9/H$7</f>
        <v>18</v>
      </c>
      <c r="I9" s="132"/>
      <c r="J9" s="131">
        <f t="shared" ref="J9:J19" si="2">H9-E9</f>
        <v>18</v>
      </c>
      <c r="K9" s="16"/>
    </row>
    <row r="10" spans="2:11" x14ac:dyDescent="0.25">
      <c r="B10" s="83" t="s">
        <v>43</v>
      </c>
      <c r="C10" s="139" t="s">
        <v>311</v>
      </c>
      <c r="D10" s="15"/>
      <c r="E10" s="19">
        <f t="shared" si="0"/>
        <v>0</v>
      </c>
      <c r="F10" s="132"/>
      <c r="G10" s="105">
        <v>64</v>
      </c>
      <c r="H10" s="19">
        <f t="shared" si="1"/>
        <v>64</v>
      </c>
      <c r="I10" s="132"/>
      <c r="J10" s="131">
        <f t="shared" si="2"/>
        <v>64</v>
      </c>
      <c r="K10" s="16"/>
    </row>
    <row r="11" spans="2:11" x14ac:dyDescent="0.25">
      <c r="B11" s="83" t="s">
        <v>44</v>
      </c>
      <c r="C11" s="139" t="s">
        <v>88</v>
      </c>
      <c r="D11" s="15"/>
      <c r="E11" s="19">
        <f t="shared" si="0"/>
        <v>0</v>
      </c>
      <c r="F11" s="132"/>
      <c r="G11" s="105">
        <v>198.60000000000002</v>
      </c>
      <c r="H11" s="19">
        <f t="shared" si="1"/>
        <v>198.60000000000002</v>
      </c>
      <c r="I11" s="132"/>
      <c r="J11" s="131">
        <f t="shared" si="2"/>
        <v>198.60000000000002</v>
      </c>
      <c r="K11" s="16"/>
    </row>
    <row r="12" spans="2:11" x14ac:dyDescent="0.25">
      <c r="B12" s="83" t="s">
        <v>45</v>
      </c>
      <c r="C12" s="139" t="s">
        <v>89</v>
      </c>
      <c r="D12" s="15"/>
      <c r="E12" s="19">
        <f t="shared" si="0"/>
        <v>0</v>
      </c>
      <c r="F12" s="132"/>
      <c r="G12" s="105">
        <v>2937.8</v>
      </c>
      <c r="H12" s="19">
        <f t="shared" si="1"/>
        <v>2937.8</v>
      </c>
      <c r="I12" s="132"/>
      <c r="J12" s="131">
        <f t="shared" si="2"/>
        <v>2937.8</v>
      </c>
      <c r="K12" s="16"/>
    </row>
    <row r="13" spans="2:11" x14ac:dyDescent="0.25">
      <c r="B13" s="83" t="s">
        <v>46</v>
      </c>
      <c r="C13" s="139" t="s">
        <v>312</v>
      </c>
      <c r="D13" s="15"/>
      <c r="E13" s="19">
        <f t="shared" si="0"/>
        <v>0</v>
      </c>
      <c r="F13" s="132"/>
      <c r="G13" s="105">
        <v>1154.0999999999999</v>
      </c>
      <c r="H13" s="19">
        <f t="shared" si="1"/>
        <v>1154.0999999999999</v>
      </c>
      <c r="I13" s="132"/>
      <c r="J13" s="131">
        <f t="shared" si="2"/>
        <v>1154.0999999999999</v>
      </c>
      <c r="K13" s="17"/>
    </row>
    <row r="14" spans="2:11" x14ac:dyDescent="0.25">
      <c r="B14" s="83" t="s">
        <v>47</v>
      </c>
      <c r="C14" s="139" t="s">
        <v>313</v>
      </c>
      <c r="D14" s="15"/>
      <c r="E14" s="19">
        <f t="shared" si="0"/>
        <v>0</v>
      </c>
      <c r="F14" s="132"/>
      <c r="G14" s="105">
        <v>14</v>
      </c>
      <c r="H14" s="19">
        <f t="shared" si="1"/>
        <v>14</v>
      </c>
      <c r="I14" s="132"/>
      <c r="J14" s="131">
        <f t="shared" si="2"/>
        <v>14</v>
      </c>
      <c r="K14" s="17"/>
    </row>
    <row r="15" spans="2:11" x14ac:dyDescent="0.25">
      <c r="B15" s="83" t="s">
        <v>48</v>
      </c>
      <c r="C15" s="139" t="s">
        <v>90</v>
      </c>
      <c r="D15" s="15"/>
      <c r="E15" s="19">
        <f t="shared" si="0"/>
        <v>0</v>
      </c>
      <c r="F15" s="132"/>
      <c r="G15" s="105">
        <v>0</v>
      </c>
      <c r="H15" s="19">
        <f t="shared" si="1"/>
        <v>0</v>
      </c>
      <c r="I15" s="132"/>
      <c r="J15" s="131">
        <f t="shared" si="2"/>
        <v>0</v>
      </c>
      <c r="K15" s="16"/>
    </row>
    <row r="16" spans="2:11" x14ac:dyDescent="0.25">
      <c r="B16" s="83" t="s">
        <v>49</v>
      </c>
      <c r="C16" s="139" t="s">
        <v>91</v>
      </c>
      <c r="D16" s="15"/>
      <c r="E16" s="19">
        <f t="shared" si="0"/>
        <v>0</v>
      </c>
      <c r="F16" s="132"/>
      <c r="G16" s="105">
        <v>1135.1000000000001</v>
      </c>
      <c r="H16" s="19">
        <f t="shared" si="1"/>
        <v>1135.1000000000001</v>
      </c>
      <c r="I16" s="132"/>
      <c r="J16" s="131">
        <f t="shared" si="2"/>
        <v>1135.1000000000001</v>
      </c>
      <c r="K16" s="16"/>
    </row>
    <row r="17" spans="2:11" x14ac:dyDescent="0.25">
      <c r="B17" s="83" t="s">
        <v>50</v>
      </c>
      <c r="C17" s="139" t="s">
        <v>92</v>
      </c>
      <c r="D17" s="15"/>
      <c r="E17" s="19">
        <f t="shared" si="0"/>
        <v>0</v>
      </c>
      <c r="F17" s="132"/>
      <c r="G17" s="105">
        <v>14.1</v>
      </c>
      <c r="H17" s="19">
        <f t="shared" si="1"/>
        <v>14.1</v>
      </c>
      <c r="I17" s="132"/>
      <c r="J17" s="131">
        <f t="shared" si="2"/>
        <v>14.1</v>
      </c>
      <c r="K17" s="16"/>
    </row>
    <row r="18" spans="2:11" x14ac:dyDescent="0.25">
      <c r="B18" s="83" t="s">
        <v>51</v>
      </c>
      <c r="C18" s="139" t="s">
        <v>314</v>
      </c>
      <c r="D18" s="15"/>
      <c r="E18" s="19">
        <f t="shared" si="0"/>
        <v>0</v>
      </c>
      <c r="F18" s="132"/>
      <c r="G18" s="105">
        <v>109.8</v>
      </c>
      <c r="H18" s="19">
        <f t="shared" si="1"/>
        <v>109.8</v>
      </c>
      <c r="I18" s="132"/>
      <c r="J18" s="131">
        <f t="shared" si="2"/>
        <v>109.8</v>
      </c>
      <c r="K18" s="16"/>
    </row>
    <row r="19" spans="2:11" x14ac:dyDescent="0.25">
      <c r="B19" s="83" t="s">
        <v>52</v>
      </c>
      <c r="C19" s="139" t="s">
        <v>93</v>
      </c>
      <c r="D19" s="15"/>
      <c r="E19" s="19">
        <f t="shared" si="0"/>
        <v>0</v>
      </c>
      <c r="F19" s="132"/>
      <c r="G19" s="105">
        <v>0</v>
      </c>
      <c r="H19" s="19">
        <f t="shared" si="1"/>
        <v>0</v>
      </c>
      <c r="I19" s="132"/>
      <c r="J19" s="131">
        <f t="shared" si="2"/>
        <v>0</v>
      </c>
      <c r="K19" s="16"/>
    </row>
    <row r="20" spans="2:11" x14ac:dyDescent="0.25">
      <c r="B20" s="87"/>
      <c r="C20" s="133" t="s">
        <v>94</v>
      </c>
      <c r="D20" s="13">
        <f>SUM(D8:D19)</f>
        <v>0</v>
      </c>
      <c r="E20" s="13">
        <f>SUM(E8:E19)</f>
        <v>0</v>
      </c>
      <c r="F20" s="132"/>
      <c r="G20" s="13">
        <v>5648.6000000000013</v>
      </c>
      <c r="H20" s="13">
        <f>SUM(H8:H19)</f>
        <v>5648.6000000000013</v>
      </c>
      <c r="I20" s="132"/>
      <c r="J20" s="13">
        <f>SUM(J8:J19)</f>
        <v>5648.6000000000013</v>
      </c>
      <c r="K20" s="133"/>
    </row>
    <row r="21" spans="2:11" x14ac:dyDescent="0.25">
      <c r="B21" s="83" t="s">
        <v>57</v>
      </c>
      <c r="C21" s="129" t="s">
        <v>95</v>
      </c>
      <c r="D21" s="15"/>
      <c r="E21" s="19">
        <f>D21/E$7</f>
        <v>0</v>
      </c>
      <c r="F21" s="132"/>
      <c r="G21" s="105">
        <v>2834.8</v>
      </c>
      <c r="H21" s="19">
        <f>G21/H$7</f>
        <v>2834.8</v>
      </c>
      <c r="I21" s="132"/>
      <c r="J21" s="131">
        <f>H21-E21</f>
        <v>2834.8</v>
      </c>
      <c r="K21" s="17"/>
    </row>
    <row r="22" spans="2:11" x14ac:dyDescent="0.25">
      <c r="B22" s="83" t="s">
        <v>58</v>
      </c>
      <c r="C22" s="129" t="s">
        <v>96</v>
      </c>
      <c r="D22" s="15"/>
      <c r="E22" s="19">
        <f>D22/E$7</f>
        <v>0</v>
      </c>
      <c r="F22" s="132"/>
      <c r="G22" s="105">
        <v>430.2</v>
      </c>
      <c r="H22" s="19">
        <f>G22/H$7</f>
        <v>430.2</v>
      </c>
      <c r="I22" s="132"/>
      <c r="J22" s="131">
        <f>H22-E22</f>
        <v>430.2</v>
      </c>
      <c r="K22" s="17"/>
    </row>
    <row r="23" spans="2:11" x14ac:dyDescent="0.25">
      <c r="B23" s="87"/>
      <c r="C23" s="133" t="s">
        <v>23</v>
      </c>
      <c r="D23" s="13">
        <f>SUM(D20:D22)</f>
        <v>0</v>
      </c>
      <c r="E23" s="13">
        <f>SUM(E20:E22)</f>
        <v>0</v>
      </c>
      <c r="F23" s="132"/>
      <c r="G23" s="13">
        <v>8913.6000000000022</v>
      </c>
      <c r="H23" s="13">
        <f>SUM(H20:H22)</f>
        <v>8913.6000000000022</v>
      </c>
      <c r="I23" s="132"/>
      <c r="J23" s="13">
        <f>SUM(J20:J22)</f>
        <v>8913.6000000000022</v>
      </c>
      <c r="K23" s="133"/>
    </row>
    <row r="24" spans="2:11" x14ac:dyDescent="0.25">
      <c r="B24" s="83" t="s">
        <v>59</v>
      </c>
      <c r="C24" s="129" t="s">
        <v>97</v>
      </c>
      <c r="D24" s="15"/>
      <c r="E24" s="19">
        <f>D24/E$7</f>
        <v>0</v>
      </c>
      <c r="F24" s="132"/>
      <c r="G24" s="105">
        <v>0</v>
      </c>
      <c r="H24" s="19">
        <f>G24/H$7</f>
        <v>0</v>
      </c>
      <c r="I24" s="132"/>
      <c r="J24" s="131">
        <f>H24-E24</f>
        <v>0</v>
      </c>
      <c r="K24" s="16"/>
    </row>
    <row r="25" spans="2:11" hidden="1" x14ac:dyDescent="0.25">
      <c r="B25" s="87"/>
      <c r="C25" s="129"/>
      <c r="D25" s="15"/>
      <c r="E25" s="19">
        <f>D25/E$7</f>
        <v>0</v>
      </c>
      <c r="F25" s="132"/>
      <c r="G25" s="105">
        <v>0</v>
      </c>
      <c r="H25" s="19">
        <f>G25/H$7</f>
        <v>0</v>
      </c>
      <c r="I25" s="132"/>
      <c r="J25" s="131">
        <f>H25-E25</f>
        <v>0</v>
      </c>
      <c r="K25" s="16"/>
    </row>
    <row r="26" spans="2:11" x14ac:dyDescent="0.25">
      <c r="C26" s="133" t="s">
        <v>158</v>
      </c>
      <c r="D26" s="13">
        <f>SUM(D23:D25)</f>
        <v>0</v>
      </c>
      <c r="E26" s="13">
        <f>SUM(E23:E25)</f>
        <v>0</v>
      </c>
      <c r="F26" s="132"/>
      <c r="G26" s="13">
        <v>8913.6000000000022</v>
      </c>
      <c r="H26" s="13">
        <f>SUM(H23:H25)</f>
        <v>8913.6000000000022</v>
      </c>
      <c r="I26" s="132"/>
      <c r="J26" s="13">
        <f>SUM(J23:J25)</f>
        <v>8913.6000000000022</v>
      </c>
      <c r="K26" s="133"/>
    </row>
    <row r="27" spans="2:11" x14ac:dyDescent="0.25">
      <c r="B27" s="83" t="s">
        <v>60</v>
      </c>
      <c r="C27" s="129" t="s">
        <v>98</v>
      </c>
      <c r="D27" s="15"/>
      <c r="E27" s="19">
        <f>D27/E$7</f>
        <v>0</v>
      </c>
      <c r="F27" s="132"/>
      <c r="G27" s="105">
        <v>0</v>
      </c>
      <c r="H27" s="19">
        <f>G27/H$7</f>
        <v>0</v>
      </c>
      <c r="I27" s="132"/>
      <c r="J27" s="131">
        <f>H27-E27</f>
        <v>0</v>
      </c>
      <c r="K27" s="16"/>
    </row>
    <row r="28" spans="2:11" hidden="1" x14ac:dyDescent="0.25">
      <c r="C28" s="129"/>
      <c r="D28" s="15"/>
      <c r="E28" s="19">
        <f>D28/E$7</f>
        <v>0</v>
      </c>
      <c r="F28" s="132"/>
      <c r="G28" s="105">
        <v>0</v>
      </c>
      <c r="H28" s="19">
        <f>G28/H$7</f>
        <v>0</v>
      </c>
      <c r="I28" s="132"/>
      <c r="J28" s="131">
        <f>H28-E28</f>
        <v>0</v>
      </c>
      <c r="K28" s="16"/>
    </row>
    <row r="29" spans="2:11" x14ac:dyDescent="0.25">
      <c r="C29" s="133" t="s">
        <v>99</v>
      </c>
      <c r="D29" s="13">
        <f>SUM(D26:D28)</f>
        <v>0</v>
      </c>
      <c r="E29" s="13">
        <f>SUM(E26:E28)</f>
        <v>0</v>
      </c>
      <c r="F29" s="132"/>
      <c r="G29" s="13">
        <v>8913.6000000000022</v>
      </c>
      <c r="H29" s="13">
        <f>SUM(H26:H28)</f>
        <v>8913.6000000000022</v>
      </c>
      <c r="I29" s="132"/>
      <c r="J29" s="13">
        <f>SUM(J26:J28)</f>
        <v>8913.6000000000022</v>
      </c>
      <c r="K29" s="133"/>
    </row>
    <row r="30" spans="2:11" x14ac:dyDescent="0.25">
      <c r="C30" s="133" t="s">
        <v>100</v>
      </c>
      <c r="D30" s="13"/>
      <c r="E30" s="13">
        <f>D30/E$7</f>
        <v>0</v>
      </c>
      <c r="F30" s="132"/>
      <c r="G30" s="13"/>
      <c r="H30" s="13">
        <f>G30/H$7</f>
        <v>0</v>
      </c>
      <c r="I30" s="132"/>
      <c r="J30" s="13">
        <f>H30-E30</f>
        <v>0</v>
      </c>
      <c r="K30" s="133"/>
    </row>
    <row r="31" spans="2:11" x14ac:dyDescent="0.25">
      <c r="C31" s="133" t="s">
        <v>101</v>
      </c>
      <c r="D31" s="13">
        <f>SUM(D29:D30)</f>
        <v>0</v>
      </c>
      <c r="E31" s="13">
        <f>SUM(E29:E30)</f>
        <v>0</v>
      </c>
      <c r="F31" s="132"/>
      <c r="G31" s="13">
        <v>8913.6000000000022</v>
      </c>
      <c r="H31" s="13">
        <f>SUM(H29:H30)</f>
        <v>8913.6000000000022</v>
      </c>
      <c r="I31" s="132"/>
      <c r="J31" s="13">
        <f>SUM(J29:J30)</f>
        <v>8913.6000000000022</v>
      </c>
      <c r="K31" s="133"/>
    </row>
    <row r="32" spans="2:11" x14ac:dyDescent="0.25">
      <c r="C32" s="134"/>
      <c r="D32" s="18"/>
      <c r="E32" s="20"/>
      <c r="F32" s="135"/>
      <c r="G32" s="20"/>
      <c r="H32" s="20"/>
      <c r="I32" s="135"/>
      <c r="J32" s="20"/>
      <c r="K32" s="18"/>
    </row>
    <row r="33" spans="5:10" x14ac:dyDescent="0.25">
      <c r="E33" s="135"/>
      <c r="F33" s="135"/>
      <c r="G33" s="135"/>
      <c r="H33" s="135"/>
      <c r="I33" s="135"/>
      <c r="J33" s="135"/>
    </row>
  </sheetData>
  <sheetProtection sheet="1" objects="1" scenarios="1"/>
  <mergeCells count="6">
    <mergeCell ref="J4:J5"/>
    <mergeCell ref="C4:C5"/>
    <mergeCell ref="D4:D5"/>
    <mergeCell ref="E4:E5"/>
    <mergeCell ref="G4:G5"/>
    <mergeCell ref="H4:H5"/>
  </mergeCells>
  <hyperlinks>
    <hyperlink ref="K2" location="'Table of contents'!A1" display="Return to TOC" xr:uid="{00000000-0004-0000-0E00-000000000000}"/>
  </hyperlinks>
  <printOptions horizontalCentered="1"/>
  <pageMargins left="0.25" right="0.25" top="0.5" bottom="0.5" header="0.25" footer="0.25"/>
  <pageSetup scale="68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heck_data">
    <tabColor theme="0" tint="-0.499984740745262"/>
    <pageSetUpPr fitToPage="1"/>
  </sheetPr>
  <dimension ref="B1:E78"/>
  <sheetViews>
    <sheetView showGridLines="0" workbookViewId="0"/>
  </sheetViews>
  <sheetFormatPr defaultColWidth="8.85546875" defaultRowHeight="15" x14ac:dyDescent="0.25"/>
  <cols>
    <col min="1" max="1" width="4.7109375" customWidth="1"/>
    <col min="2" max="2" width="20.7109375" bestFit="1" customWidth="1"/>
    <col min="3" max="6" width="16.7109375" customWidth="1"/>
  </cols>
  <sheetData>
    <row r="1" spans="2:5" s="5" customFormat="1" x14ac:dyDescent="0.25"/>
    <row r="2" spans="2:5" s="5" customFormat="1" ht="30" x14ac:dyDescent="0.25">
      <c r="B2" s="79" t="s">
        <v>295</v>
      </c>
      <c r="C2" s="10" t="s">
        <v>78</v>
      </c>
      <c r="D2" s="10" t="s">
        <v>79</v>
      </c>
      <c r="E2" s="10" t="s">
        <v>80</v>
      </c>
    </row>
    <row r="3" spans="2:5" s="5" customFormat="1" x14ac:dyDescent="0.25">
      <c r="B3" s="58" t="s">
        <v>294</v>
      </c>
      <c r="C3" s="11">
        <v>3828338</v>
      </c>
      <c r="D3" s="11">
        <v>3828338</v>
      </c>
      <c r="E3" s="11">
        <v>0</v>
      </c>
    </row>
    <row r="4" spans="2:5" s="5" customFormat="1" x14ac:dyDescent="0.25">
      <c r="B4" s="58" t="s">
        <v>291</v>
      </c>
      <c r="C4" s="11">
        <v>3030203.35</v>
      </c>
      <c r="D4" s="11">
        <v>3030203.35</v>
      </c>
      <c r="E4" s="11">
        <v>0</v>
      </c>
    </row>
    <row r="5" spans="2:5" s="5" customFormat="1" x14ac:dyDescent="0.25">
      <c r="B5" s="58" t="s">
        <v>110</v>
      </c>
      <c r="C5" s="11">
        <v>546350</v>
      </c>
      <c r="D5" s="11">
        <v>546350</v>
      </c>
      <c r="E5" s="11">
        <v>0</v>
      </c>
    </row>
    <row r="6" spans="2:5" s="5" customFormat="1" x14ac:dyDescent="0.25">
      <c r="B6" s="58" t="s">
        <v>292</v>
      </c>
      <c r="C6" s="11">
        <v>0</v>
      </c>
      <c r="D6" s="11">
        <v>0</v>
      </c>
      <c r="E6" s="11">
        <v>0</v>
      </c>
    </row>
    <row r="7" spans="2:5" s="5" customFormat="1" x14ac:dyDescent="0.25">
      <c r="B7" s="58" t="s">
        <v>293</v>
      </c>
      <c r="C7" s="11">
        <v>0</v>
      </c>
      <c r="D7" s="11">
        <v>0</v>
      </c>
      <c r="E7" s="11">
        <v>0</v>
      </c>
    </row>
    <row r="8" spans="2:5" s="5" customFormat="1" x14ac:dyDescent="0.25">
      <c r="B8" s="58" t="s">
        <v>19</v>
      </c>
      <c r="C8" s="11">
        <v>1508818.3978447183</v>
      </c>
      <c r="D8" s="11">
        <v>1508818.3978447185</v>
      </c>
      <c r="E8" s="11">
        <v>0</v>
      </c>
    </row>
    <row r="9" spans="2:5" s="5" customFormat="1" x14ac:dyDescent="0.25">
      <c r="B9" s="67"/>
      <c r="C9" s="12">
        <v>5085371.7478447184</v>
      </c>
      <c r="D9" s="12">
        <v>5085371.7478447184</v>
      </c>
      <c r="E9" s="12">
        <v>0</v>
      </c>
    </row>
    <row r="10" spans="2:5" s="5" customFormat="1" x14ac:dyDescent="0.25">
      <c r="B10" s="67"/>
    </row>
    <row r="11" spans="2:5" s="5" customFormat="1" ht="26.25" x14ac:dyDescent="0.25">
      <c r="B11" s="79" t="s">
        <v>301</v>
      </c>
      <c r="C11" s="10" t="s">
        <v>162</v>
      </c>
      <c r="D11" s="10" t="s">
        <v>302</v>
      </c>
      <c r="E11" s="10" t="s">
        <v>304</v>
      </c>
    </row>
    <row r="12" spans="2:5" s="5" customFormat="1" x14ac:dyDescent="0.25">
      <c r="B12" s="58" t="s">
        <v>269</v>
      </c>
      <c r="C12" s="11">
        <v>8913600</v>
      </c>
      <c r="D12" s="11">
        <v>8913600</v>
      </c>
      <c r="E12" s="57" t="s">
        <v>75</v>
      </c>
    </row>
    <row r="13" spans="2:5" s="5" customFormat="1" x14ac:dyDescent="0.25">
      <c r="B13" s="58" t="s">
        <v>65</v>
      </c>
      <c r="C13" s="68">
        <v>8913709.7478447184</v>
      </c>
      <c r="D13" s="11">
        <v>8913709.7478447184</v>
      </c>
      <c r="E13" s="11">
        <v>109.74784471839666</v>
      </c>
    </row>
    <row r="14" spans="2:5" s="5" customFormat="1" x14ac:dyDescent="0.25">
      <c r="B14" s="58" t="s">
        <v>109</v>
      </c>
      <c r="C14" s="68">
        <v>8913709.7478447184</v>
      </c>
      <c r="D14" s="11">
        <v>8913709.7478447184</v>
      </c>
      <c r="E14" s="11">
        <v>109.74784471839666</v>
      </c>
    </row>
    <row r="15" spans="2:5" s="5" customFormat="1" x14ac:dyDescent="0.25">
      <c r="B15" s="58" t="s">
        <v>316</v>
      </c>
      <c r="C15" s="68">
        <v>8913709.7478447165</v>
      </c>
      <c r="D15" s="11">
        <v>8913709.7478447165</v>
      </c>
      <c r="E15" s="11">
        <v>109.74784471653402</v>
      </c>
    </row>
    <row r="16" spans="2:5" s="5" customFormat="1" x14ac:dyDescent="0.25">
      <c r="B16" s="58" t="s">
        <v>137</v>
      </c>
      <c r="C16" s="11">
        <v>8913600.0000000019</v>
      </c>
      <c r="D16" s="11">
        <v>8913600.0000000019</v>
      </c>
      <c r="E16" s="11">
        <v>0</v>
      </c>
    </row>
    <row r="17" spans="2:5" s="5" customFormat="1" x14ac:dyDescent="0.25">
      <c r="B17" s="58" t="s">
        <v>134</v>
      </c>
      <c r="C17" s="68">
        <v>8913709.7478447165</v>
      </c>
      <c r="D17" s="57" t="s">
        <v>75</v>
      </c>
      <c r="E17" s="11">
        <v>109.74784471653402</v>
      </c>
    </row>
    <row r="18" spans="2:5" s="5" customFormat="1" x14ac:dyDescent="0.25">
      <c r="B18" s="58" t="s">
        <v>0</v>
      </c>
      <c r="C18" s="68">
        <v>8913709.7478447184</v>
      </c>
      <c r="D18" s="11">
        <v>8913709.7478447184</v>
      </c>
      <c r="E18" s="11">
        <v>109.74784471839666</v>
      </c>
    </row>
    <row r="19" spans="2:5" s="5" customFormat="1" x14ac:dyDescent="0.25">
      <c r="B19" s="69" t="s">
        <v>305</v>
      </c>
    </row>
    <row r="20" spans="2:5" s="5" customFormat="1" x14ac:dyDescent="0.25"/>
    <row r="21" spans="2:5" s="5" customFormat="1" ht="26.25" x14ac:dyDescent="0.25">
      <c r="B21" s="79" t="s">
        <v>296</v>
      </c>
      <c r="C21" s="10" t="s">
        <v>300</v>
      </c>
      <c r="D21" s="10" t="s">
        <v>303</v>
      </c>
    </row>
    <row r="22" spans="2:5" s="5" customFormat="1" x14ac:dyDescent="0.25">
      <c r="B22" s="58" t="s">
        <v>297</v>
      </c>
      <c r="C22" s="68">
        <v>34</v>
      </c>
      <c r="D22" s="68">
        <v>0</v>
      </c>
    </row>
    <row r="23" spans="2:5" s="5" customFormat="1" x14ac:dyDescent="0.25">
      <c r="B23" s="58" t="s">
        <v>298</v>
      </c>
      <c r="C23" s="68">
        <v>24</v>
      </c>
      <c r="D23" s="68">
        <v>0</v>
      </c>
    </row>
    <row r="24" spans="2:5" s="5" customFormat="1" x14ac:dyDescent="0.25">
      <c r="B24" s="58" t="s">
        <v>299</v>
      </c>
      <c r="C24" s="68">
        <v>0</v>
      </c>
      <c r="D24" s="57" t="s">
        <v>75</v>
      </c>
    </row>
    <row r="25" spans="2:5" s="5" customFormat="1" x14ac:dyDescent="0.25">
      <c r="B25" s="58" t="s">
        <v>270</v>
      </c>
      <c r="C25" s="68">
        <v>0</v>
      </c>
      <c r="D25" s="57" t="s">
        <v>75</v>
      </c>
    </row>
    <row r="26" spans="2:5" s="5" customFormat="1" x14ac:dyDescent="0.25"/>
    <row r="27" spans="2:5" s="5" customFormat="1" x14ac:dyDescent="0.25"/>
    <row r="28" spans="2:5" s="5" customFormat="1" x14ac:dyDescent="0.25"/>
    <row r="29" spans="2:5" s="5" customFormat="1" x14ac:dyDescent="0.25"/>
    <row r="30" spans="2:5" s="5" customFormat="1" x14ac:dyDescent="0.25"/>
    <row r="31" spans="2:5" s="5" customFormat="1" x14ac:dyDescent="0.25"/>
    <row r="32" spans="2:5" s="5" customFormat="1" x14ac:dyDescent="0.25"/>
    <row r="33" s="5" customFormat="1" x14ac:dyDescent="0.25"/>
    <row r="34" s="5" customFormat="1" ht="14.45" customHeight="1" x14ac:dyDescent="0.25"/>
    <row r="35" s="5" customFormat="1" x14ac:dyDescent="0.25"/>
    <row r="36" s="5" customFormat="1" x14ac:dyDescent="0.25"/>
    <row r="37" s="5" customFormat="1" x14ac:dyDescent="0.25"/>
    <row r="38" s="5" customFormat="1" x14ac:dyDescent="0.25"/>
    <row r="39" s="5" customFormat="1" ht="14.45" customHeight="1" x14ac:dyDescent="0.25"/>
    <row r="40" s="5" customFormat="1" x14ac:dyDescent="0.25"/>
    <row r="41" s="5" customFormat="1" x14ac:dyDescent="0.25"/>
    <row r="42" s="5" customFormat="1" x14ac:dyDescent="0.25"/>
    <row r="43" s="5" customFormat="1" x14ac:dyDescent="0.25"/>
    <row r="44" s="5" customFormat="1" ht="14.45" customHeight="1" x14ac:dyDescent="0.25"/>
    <row r="45" s="5" customFormat="1" x14ac:dyDescent="0.25"/>
    <row r="46" s="5" customFormat="1" x14ac:dyDescent="0.25"/>
    <row r="47" s="5" customFormat="1" x14ac:dyDescent="0.25"/>
    <row r="48" s="5" customFormat="1" x14ac:dyDescent="0.25"/>
    <row r="49" s="5" customFormat="1" ht="14.45" customHeight="1" x14ac:dyDescent="0.25"/>
    <row r="50" s="5" customFormat="1" x14ac:dyDescent="0.25"/>
    <row r="51" s="5" customFormat="1" x14ac:dyDescent="0.25"/>
    <row r="52" s="5" customFormat="1" x14ac:dyDescent="0.25"/>
    <row r="53" s="5" customFormat="1" x14ac:dyDescent="0.25"/>
    <row r="54" s="5" customFormat="1" x14ac:dyDescent="0.25"/>
    <row r="55" s="5" customFormat="1" x14ac:dyDescent="0.25"/>
    <row r="56" s="5" customFormat="1" x14ac:dyDescent="0.25"/>
    <row r="57" s="5" customFormat="1" x14ac:dyDescent="0.25"/>
    <row r="58" s="5" customFormat="1" x14ac:dyDescent="0.25"/>
    <row r="59" s="5" customFormat="1" x14ac:dyDescent="0.25"/>
    <row r="60" s="5" customFormat="1" x14ac:dyDescent="0.25"/>
    <row r="61" s="5" customFormat="1" x14ac:dyDescent="0.25"/>
    <row r="62" s="5" customFormat="1" x14ac:dyDescent="0.25"/>
    <row r="63" s="5" customFormat="1" x14ac:dyDescent="0.25"/>
    <row r="64" s="5" customFormat="1" x14ac:dyDescent="0.25"/>
    <row r="65" spans="2:5" s="5" customFormat="1" x14ac:dyDescent="0.25"/>
    <row r="66" spans="2:5" s="5" customFormat="1" x14ac:dyDescent="0.25"/>
    <row r="67" spans="2:5" s="5" customFormat="1" x14ac:dyDescent="0.25"/>
    <row r="68" spans="2:5" s="5" customFormat="1" x14ac:dyDescent="0.25"/>
    <row r="69" spans="2:5" s="5" customFormat="1" x14ac:dyDescent="0.25"/>
    <row r="70" spans="2:5" s="5" customFormat="1" x14ac:dyDescent="0.25"/>
    <row r="71" spans="2:5" s="5" customFormat="1" x14ac:dyDescent="0.25"/>
    <row r="72" spans="2:5" s="5" customFormat="1" x14ac:dyDescent="0.25"/>
    <row r="73" spans="2:5" s="5" customFormat="1" ht="45" customHeight="1" x14ac:dyDescent="0.25">
      <c r="B73" s="251" t="s">
        <v>342</v>
      </c>
      <c r="C73" s="251" t="s">
        <v>342</v>
      </c>
      <c r="D73" s="251"/>
      <c r="E73" s="251" t="s">
        <v>342</v>
      </c>
    </row>
    <row r="74" spans="2:5" s="5" customFormat="1" ht="45" customHeight="1" x14ac:dyDescent="0.25">
      <c r="B74" s="251" t="s">
        <v>342</v>
      </c>
      <c r="C74" s="251" t="s">
        <v>342</v>
      </c>
      <c r="D74" s="251"/>
      <c r="E74" s="251" t="s">
        <v>342</v>
      </c>
    </row>
    <row r="75" spans="2:5" s="5" customFormat="1" ht="45" customHeight="1" x14ac:dyDescent="0.25">
      <c r="B75" s="251" t="s">
        <v>342</v>
      </c>
      <c r="C75" s="251" t="s">
        <v>342</v>
      </c>
      <c r="D75" s="251"/>
      <c r="E75" s="251" t="s">
        <v>342</v>
      </c>
    </row>
    <row r="76" spans="2:5" s="5" customFormat="1" ht="45" customHeight="1" x14ac:dyDescent="0.25">
      <c r="B76" s="251" t="s">
        <v>342</v>
      </c>
      <c r="C76" s="251" t="s">
        <v>342</v>
      </c>
      <c r="D76" s="251"/>
      <c r="E76" s="251" t="s">
        <v>342</v>
      </c>
    </row>
    <row r="77" spans="2:5" s="5" customFormat="1" x14ac:dyDescent="0.25"/>
    <row r="78" spans="2:5" s="5" customFormat="1" x14ac:dyDescent="0.25"/>
  </sheetData>
  <sheetProtection sheet="1" objects="1" scenarios="1"/>
  <mergeCells count="4">
    <mergeCell ref="B73:E73"/>
    <mergeCell ref="B74:E74"/>
    <mergeCell ref="B75:E75"/>
    <mergeCell ref="B76:E76"/>
  </mergeCells>
  <pageMargins left="0.7" right="0.7" top="0.75" bottom="0.75" header="0.3" footer="0.3"/>
  <pageSetup scale="89" fitToHeight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2D5F58-2753-4C5E-ADC3-DDD00B4C27D8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74</vt:i4>
      </vt:variant>
    </vt:vector>
  </HeadingPairs>
  <TitlesOfParts>
    <vt:vector size="87" baseType="lpstr">
      <vt:lpstr>Table of contents</vt:lpstr>
      <vt:lpstr>Scope and Clarifications</vt:lpstr>
      <vt:lpstr>Overview</vt:lpstr>
      <vt:lpstr>Summary</vt:lpstr>
      <vt:lpstr>Schedule</vt:lpstr>
      <vt:lpstr>Bid</vt:lpstr>
      <vt:lpstr>Risk</vt:lpstr>
      <vt:lpstr>Item</vt:lpstr>
      <vt:lpstr>PAF</vt:lpstr>
      <vt:lpstr>PP4</vt:lpstr>
      <vt:lpstr>Delta</vt:lpstr>
      <vt:lpstr>Unit Comparison</vt:lpstr>
      <vt:lpstr>Data check</vt:lpstr>
      <vt:lpstr>'Data check'!Print_Area</vt:lpstr>
      <vt:lpstr>Overview!Print_Area</vt:lpstr>
      <vt:lpstr>'Scope and Clarifications'!Print_Area</vt:lpstr>
      <vt:lpstr>'Table of contents'!Print_Area</vt:lpstr>
      <vt:lpstr>Bid!rngActualTotalCost</vt:lpstr>
      <vt:lpstr>Schedule!rngActualTotalCost</vt:lpstr>
      <vt:lpstr>Bid!rngBodySection</vt:lpstr>
      <vt:lpstr>Delta!rngBodySection</vt:lpstr>
      <vt:lpstr>Item!rngBodySection</vt:lpstr>
      <vt:lpstr>PAF!rngBodySection</vt:lpstr>
      <vt:lpstr>Schedule!rngBodySection</vt:lpstr>
      <vt:lpstr>'Scope and Clarifications'!rngBodySection</vt:lpstr>
      <vt:lpstr>Summary!rngBodySection</vt:lpstr>
      <vt:lpstr>Delta!rngConvertToValues</vt:lpstr>
      <vt:lpstr>'Unit Comparison'!rngConvertToValues</vt:lpstr>
      <vt:lpstr>Delta!rngCostSection</vt:lpstr>
      <vt:lpstr>Item!rngCostSection</vt:lpstr>
      <vt:lpstr>Risk!rngCostSection</vt:lpstr>
      <vt:lpstr>Summary!rngCostSection</vt:lpstr>
      <vt:lpstr>'Data check'!rngDeleteRows_Portfolio</vt:lpstr>
      <vt:lpstr>'Table of contents'!rngDeleteRows_Portfolio</vt:lpstr>
      <vt:lpstr>Overview!rngDERTaxRows</vt:lpstr>
      <vt:lpstr>'PP4'!rngDetailedCostSummary</vt:lpstr>
      <vt:lpstr>Delta!rngEscalatedSection</vt:lpstr>
      <vt:lpstr>Item!rngEscalatedSection</vt:lpstr>
      <vt:lpstr>Risk!rngEscalatedSection</vt:lpstr>
      <vt:lpstr>Summary!rngEscalatedSection</vt:lpstr>
      <vt:lpstr>Bid!rngEscalatedTotalAmount</vt:lpstr>
      <vt:lpstr>Schedule!rngEscalatedTotalAmount</vt:lpstr>
      <vt:lpstr>PAF!rngExtendedScheduleSection</vt:lpstr>
      <vt:lpstr>Delta!rngHiddenColumns</vt:lpstr>
      <vt:lpstr>'PP4'!rngHiddenColumns</vt:lpstr>
      <vt:lpstr>Bid!rngID</vt:lpstr>
      <vt:lpstr>Delta!rngID</vt:lpstr>
      <vt:lpstr>Item!rngID</vt:lpstr>
      <vt:lpstr>Risk!rngID</vt:lpstr>
      <vt:lpstr>Schedule!rngID</vt:lpstr>
      <vt:lpstr>Summary!rngID</vt:lpstr>
      <vt:lpstr>Delta!rngKeySection</vt:lpstr>
      <vt:lpstr>Bid!rngLabel</vt:lpstr>
      <vt:lpstr>Overview!rngLabel</vt:lpstr>
      <vt:lpstr>PAF!rngLabel</vt:lpstr>
      <vt:lpstr>'PP4'!rngLabel</vt:lpstr>
      <vt:lpstr>Schedule!rngLabel</vt:lpstr>
      <vt:lpstr>PAF!rngLineItemCategoryRows</vt:lpstr>
      <vt:lpstr>'PP4'!rngProjectCostSummary</vt:lpstr>
      <vt:lpstr>Overview!rngProjectDirects</vt:lpstr>
      <vt:lpstr>'PP4'!rngProjectDirects</vt:lpstr>
      <vt:lpstr>Overview!rngProjectName</vt:lpstr>
      <vt:lpstr>'Scope and Clarifications'!rngProjectName</vt:lpstr>
      <vt:lpstr>Bid!rngProjectTotal</vt:lpstr>
      <vt:lpstr>Delta!rngProjectTotal</vt:lpstr>
      <vt:lpstr>Overview!rngProjectTotal</vt:lpstr>
      <vt:lpstr>PAF!rngProjectTotal</vt:lpstr>
      <vt:lpstr>'PP4'!rngProjectTotal</vt:lpstr>
      <vt:lpstr>Schedule!rngProjectTotal</vt:lpstr>
      <vt:lpstr>Summary!rngProjectTotal</vt:lpstr>
      <vt:lpstr>Overview!rngProjectTotalApprovalLevel</vt:lpstr>
      <vt:lpstr>PAF!rngProjectTotalApprovalLevel</vt:lpstr>
      <vt:lpstr>'PP4'!rngProjectTotalApprovalLevel</vt:lpstr>
      <vt:lpstr>'Data check'!rngProjectTotalApprovalLevel_Delta</vt:lpstr>
      <vt:lpstr>'Data check'!rngProjectTotalApprovalLevel_ScheduleProject</vt:lpstr>
      <vt:lpstr>'Data check'!rngProjectTotalApprovalLevel_SummaryProject</vt:lpstr>
      <vt:lpstr>Bid!rngScheduleSection</vt:lpstr>
      <vt:lpstr>Overview!rngScheduleSection</vt:lpstr>
      <vt:lpstr>PAF!rngScheduleSection</vt:lpstr>
      <vt:lpstr>'PP4'!rngScheduleSection</vt:lpstr>
      <vt:lpstr>Schedule!rngScheduleSection</vt:lpstr>
      <vt:lpstr>'Table of contents'!rngTOC</vt:lpstr>
      <vt:lpstr>Summary!rngTotalAmount</vt:lpstr>
      <vt:lpstr>Overview!rngTotalColumn</vt:lpstr>
      <vt:lpstr>Delta!rngUnEscalatedSection</vt:lpstr>
      <vt:lpstr>Item!rngUnEscalatedSection</vt:lpstr>
      <vt:lpstr>Risk!rngUnEscalatedSection</vt:lpstr>
    </vt:vector>
  </TitlesOfParts>
  <Company>Eos Group,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Estimate Summary Form</dc:title>
  <dc:subject/>
  <dc:creator>Matt Johnson</dc:creator>
  <cp:keywords>Version 2026-01-05</cp:keywords>
  <cp:lastModifiedBy>Roche, Brian J</cp:lastModifiedBy>
  <cp:lastPrinted>2024-05-31T12:59:56Z</cp:lastPrinted>
  <dcterms:created xsi:type="dcterms:W3CDTF">2022-06-06T03:05:55Z</dcterms:created>
  <dcterms:modified xsi:type="dcterms:W3CDTF">2026-06-12T17:58:05Z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{C12D5F58-2753-4C5E-ADC3-DDD00B4C27D8}</vt:lpwstr>
  </property>
</Properties>
</file>