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elleas\AppData\Local\Microsoft\Windows\INetCache\Content.Outlook\3BIIINVJ\"/>
    </mc:Choice>
  </mc:AlternateContent>
  <xr:revisionPtr revIDLastSave="0" documentId="13_ncr:1_{FB298C4B-0680-4804-9B58-EC3EF22B760A}" xr6:coauthVersionLast="47" xr6:coauthVersionMax="47" xr10:uidLastSave="{00000000-0000-0000-0000-000000000000}"/>
  <bookViews>
    <workbookView xWindow="-120" yWindow="-120" windowWidth="29040" windowHeight="15720" xr2:uid="{BE112A59-A545-4472-9D7B-E18CB0BF3A3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</calcChain>
</file>

<file path=xl/sharedStrings.xml><?xml version="1.0" encoding="utf-8"?>
<sst xmlns="http://schemas.openxmlformats.org/spreadsheetml/2006/main" count="139" uniqueCount="79">
  <si>
    <t>Hyde Park BESS - 21334 - Partial Funding</t>
  </si>
  <si>
    <t>Our next Partial Funding needs to be presented to EPAC on Jun 25 and not July and needs to encompass remaining long lead material, engineering, SSP, siting and permitting.</t>
  </si>
  <si>
    <t>Item</t>
  </si>
  <si>
    <t>Breakdown / Payment / Notes</t>
  </si>
  <si>
    <t>Vendor</t>
  </si>
  <si>
    <t>Costs</t>
  </si>
  <si>
    <t>POC to verify</t>
  </si>
  <si>
    <t>Verified?</t>
  </si>
  <si>
    <t>1</t>
  </si>
  <si>
    <t>2</t>
  </si>
  <si>
    <t>PF</t>
  </si>
  <si>
    <t>Column1</t>
  </si>
  <si>
    <t>Milestone Payment - LNTP</t>
  </si>
  <si>
    <t>Submittal of Preliminary Project Schedule - Final Drawings:</t>
  </si>
  <si>
    <t>Nomad</t>
  </si>
  <si>
    <t>Payment Milestone Schedule</t>
  </si>
  <si>
    <t>Rev 2</t>
  </si>
  <si>
    <t>Funded</t>
  </si>
  <si>
    <t>Design Drawings reviewed and finalized, and Shop Drawings Approved</t>
  </si>
  <si>
    <t>Milestone Payment - FNTP (External)</t>
  </si>
  <si>
    <t>Upon Issuance of Final Notice to Proceed</t>
  </si>
  <si>
    <t>Yes</t>
  </si>
  <si>
    <t>Milestone Payment Expected 7/28/26</t>
  </si>
  <si>
    <t>Rev 3</t>
  </si>
  <si>
    <t>Payment prior to FF</t>
  </si>
  <si>
    <t>Long lead material (LLM) costs (External)</t>
  </si>
  <si>
    <t>Metal Clad Switchgear</t>
  </si>
  <si>
    <t>RFP</t>
  </si>
  <si>
    <t>PM/Engineering</t>
  </si>
  <si>
    <t>Identify % for PF vs FF
20% for PF Rev 3 ($1M)
80% for FF ($4M)</t>
  </si>
  <si>
    <t>What is the updated Switchgear pricing after revisions?
($5,000,000 per Patrick)</t>
  </si>
  <si>
    <t>20% payment</t>
  </si>
  <si>
    <t>GSU Battery Transformers (4x500k)</t>
  </si>
  <si>
    <t>Identify % for PF vs FF
20% for PF Rev 3 ($400K)
80% for FF ($1.6M)</t>
  </si>
  <si>
    <t>Nomad provided information will lead Engineering to create spec and pricing for GSU, pending PSCAD Model.
(4x500k=$2,000,000 per Patrick)</t>
  </si>
  <si>
    <t>Engineering costs up to IFC (External)</t>
  </si>
  <si>
    <t>Engineering work to be completed by external vendors:</t>
  </si>
  <si>
    <t>Leidos</t>
  </si>
  <si>
    <t>John Z/Rosa</t>
  </si>
  <si>
    <t>(IFC Complete 8/2027)</t>
  </si>
  <si>
    <t>Requested value from Engineering - Vendor proposal received 5/29 ($1.5M proposal - full amount needed to complete majority of work for Sep/Oct 2026 to meet Siting filing deadline - ultimately ahead of FF in Nov/Dec 2026)</t>
  </si>
  <si>
    <t>VHB</t>
  </si>
  <si>
    <t>Vendor Proposal received</t>
  </si>
  <si>
    <t>Engineering costs up to IFC (Internal)</t>
  </si>
  <si>
    <t>Internal Engineering hours for Station Design, Communications Engineering, P&amp;C Engineering, Substation Technical Engineering and Capital Projects</t>
  </si>
  <si>
    <t>Requested value from Engineering - 6433 hours</t>
  </si>
  <si>
    <t>SSP T&amp;M Costs (External)</t>
  </si>
  <si>
    <t>The scope of this RFP includes early contractor engagement: assistance with the development of Engineering &amp; Siting Deliverables, Detailed Project Estimates, Constructability Reviews, Design reviews, Preliminary Schedule, along with the execution of both standard and BESS specific system components to meet the December 2028 in-service date.​</t>
  </si>
  <si>
    <t>Haugland</t>
  </si>
  <si>
    <t>Vendor proposal</t>
  </si>
  <si>
    <t>Identify PF
LNTP ($269,395.85)
PF (Balance w/contigency) ($338,186.85)</t>
  </si>
  <si>
    <r>
      <rPr>
        <sz val="11"/>
        <color rgb="FF000000"/>
        <rFont val="Calibri"/>
      </rPr>
      <t xml:space="preserve"> ($553,791.70 + $53,791.00 contingency) = $607,582.70
Phase 1 (Preliminary Part </t>
    </r>
    <r>
      <rPr>
        <b/>
        <sz val="11"/>
        <color rgb="FF000000"/>
        <rFont val="Calibri"/>
      </rPr>
      <t>A</t>
    </r>
    <r>
      <rPr>
        <sz val="11"/>
        <color rgb="FF000000"/>
        <rFont val="Calibri"/>
      </rPr>
      <t xml:space="preserve">) - $269,395.85 - LNTP
Phase 1 (Detailed Part </t>
    </r>
    <r>
      <rPr>
        <b/>
        <sz val="11"/>
        <color rgb="FF000000"/>
        <rFont val="Calibri"/>
      </rPr>
      <t>B</t>
    </r>
    <r>
      <rPr>
        <sz val="11"/>
        <color rgb="FF000000"/>
        <rFont val="Calibri"/>
      </rPr>
      <t>)  - $269,395.85 - PF</t>
    </r>
  </si>
  <si>
    <t>PM/Scheduler Costs up to FF
(PM Support Team) (Internal)</t>
  </si>
  <si>
    <t xml:space="preserve">*Cost shown is w/o actuals </t>
  </si>
  <si>
    <t>Kasia</t>
  </si>
  <si>
    <t>(EPAC Approval for Full Funding 11/2026)</t>
  </si>
  <si>
    <t>Continued Siting and Permitting up to FF (Internal)</t>
  </si>
  <si>
    <t>*Cost shown is w/o actuals</t>
  </si>
  <si>
    <t>Siting Legal Costs up to FF (External)</t>
  </si>
  <si>
    <t>Work to be completed by external vendor for Legal Services (KW)</t>
  </si>
  <si>
    <t>Trending to 75-100k through Dec 2026</t>
  </si>
  <si>
    <t>Milestone Payment - FNTP</t>
  </si>
  <si>
    <t>Equipment FAT (at the last piece of equipment)</t>
  </si>
  <si>
    <t>Milestone Payment Expected 11/26/27</t>
  </si>
  <si>
    <t>Remove from PF Rev 3 - Add to Full Funding 
($3,632,055.00)</t>
  </si>
  <si>
    <t>FF</t>
  </si>
  <si>
    <t>Payment after FF</t>
  </si>
  <si>
    <t>Equipment Delivery to Site (at the last piece of equipment)</t>
  </si>
  <si>
    <t>Milestone Payment Expected 1/28/28</t>
  </si>
  <si>
    <t>Remove from PF Rev 3 - Add to Full Funding 
($4,842,740.00)</t>
  </si>
  <si>
    <t>Final Acceptance</t>
  </si>
  <si>
    <t>Milestone Payment Expected 8/14/28</t>
  </si>
  <si>
    <t>Remove from PF Rev 3 - Add to Full Funding 
($1,210,685.00)</t>
  </si>
  <si>
    <t>Long lead material (LLM) costs</t>
  </si>
  <si>
    <t>Switchgear</t>
  </si>
  <si>
    <t>What is the updated Switchgear pricing after revisions?
($5,000,000)</t>
  </si>
  <si>
    <t>GSU (4x500k)</t>
  </si>
  <si>
    <t>Nomad provided information will lead Engineering to create spec and pricing for GSU, pending PSCAD Model.
($2,000,000 per Patrick)</t>
  </si>
  <si>
    <t>$5,552,629.70 (Rev 3 Partial Funding Request) + $3,828,337 (Actuals given by Sean - Actuals only) = $9,380,967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</si>
</sst>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</font>
    <font>
      <i/>
      <sz val="11"/>
      <color theme="1"/>
      <name val="Calibri"/>
    </font>
    <font>
      <sz val="11"/>
      <color rgb="FFFF0000"/>
      <name val="Calibri"/>
    </font>
    <font>
      <sz val="12"/>
      <color theme="1"/>
      <name val="Aptos Narrow"/>
      <family val="2"/>
      <scheme val="minor"/>
    </font>
    <font>
      <sz val="11"/>
      <color rgb="FF000000"/>
      <name val="Calibri"/>
      <charset val="1"/>
    </font>
    <font>
      <sz val="9"/>
      <color theme="1"/>
      <name val="Calibri"/>
    </font>
    <font>
      <sz val="9"/>
      <color rgb="FFFF0000"/>
      <name val="Calibri"/>
    </font>
    <font>
      <sz val="9"/>
      <color rgb="FFFF0000"/>
      <name val="Calibri"/>
      <charset val="1"/>
    </font>
    <font>
      <b/>
      <sz val="14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horizontal="left" vertical="center" indent="2"/>
    </xf>
    <xf numFmtId="0" fontId="5" fillId="2" borderId="0" xfId="0" applyFont="1" applyFill="1"/>
    <xf numFmtId="0" fontId="2" fillId="2" borderId="0" xfId="0" applyFont="1" applyFill="1"/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7" fillId="5" borderId="0" xfId="0" applyFont="1" applyFill="1" applyAlignment="1">
      <alignment horizontal="left" vertical="center"/>
    </xf>
    <xf numFmtId="0" fontId="8" fillId="6" borderId="4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  <xf numFmtId="0" fontId="6" fillId="6" borderId="11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5" fillId="0" borderId="0" xfId="0" applyFont="1"/>
    <xf numFmtId="0" fontId="2" fillId="0" borderId="0" xfId="0" applyFont="1"/>
    <xf numFmtId="0" fontId="10" fillId="0" borderId="1" xfId="0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 wrapText="1"/>
    </xf>
    <xf numFmtId="0" fontId="6" fillId="5" borderId="5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44" fontId="6" fillId="4" borderId="9" xfId="1" applyFont="1" applyFill="1" applyBorder="1" applyAlignment="1">
      <alignment horizontal="center" vertical="center"/>
    </xf>
    <xf numFmtId="44" fontId="0" fillId="4" borderId="9" xfId="1" applyFont="1" applyFill="1" applyBorder="1" applyAlignment="1">
      <alignment horizontal="center" vertical="center"/>
    </xf>
    <xf numFmtId="44" fontId="0" fillId="0" borderId="9" xfId="1" applyFont="1" applyFill="1" applyBorder="1" applyAlignment="1">
      <alignment horizontal="center" vertical="center"/>
    </xf>
    <xf numFmtId="44" fontId="6" fillId="5" borderId="9" xfId="1" applyFont="1" applyFill="1" applyBorder="1" applyAlignment="1">
      <alignment horizontal="center" vertical="center"/>
    </xf>
    <xf numFmtId="44" fontId="6" fillId="6" borderId="9" xfId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44" fontId="14" fillId="3" borderId="2" xfId="0" applyNumberFormat="1" applyFont="1" applyFill="1" applyBorder="1" applyAlignment="1">
      <alignment horizontal="center" vertical="center"/>
    </xf>
    <xf numFmtId="0" fontId="15" fillId="6" borderId="0" xfId="0" applyFont="1" applyFill="1" applyAlignment="1">
      <alignment vertical="center"/>
    </xf>
    <xf numFmtId="0" fontId="4" fillId="0" borderId="0" xfId="0" applyFont="1" applyAlignment="1">
      <alignment horizontal="left"/>
    </xf>
    <xf numFmtId="0" fontId="9" fillId="2" borderId="3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9" fontId="4" fillId="0" borderId="0" xfId="0" applyNumberFormat="1" applyFont="1" applyAlignment="1">
      <alignment horizontal="left" vertical="center"/>
    </xf>
    <xf numFmtId="0" fontId="6" fillId="0" borderId="9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6" fillId="5" borderId="2" xfId="0" applyFont="1" applyFill="1" applyBorder="1" applyAlignment="1">
      <alignment horizontal="left" vertical="center"/>
    </xf>
    <xf numFmtId="0" fontId="17" fillId="5" borderId="2" xfId="0" applyFont="1" applyFill="1" applyBorder="1" applyAlignment="1">
      <alignment horizontal="left" vertical="center"/>
    </xf>
    <xf numFmtId="0" fontId="18" fillId="5" borderId="0" xfId="0" applyFont="1" applyFill="1" applyAlignment="1">
      <alignment vertical="center"/>
    </xf>
    <xf numFmtId="0" fontId="16" fillId="5" borderId="0" xfId="0" applyFont="1" applyFill="1" applyAlignment="1">
      <alignment horizontal="left" vertical="center" wrapText="1"/>
    </xf>
    <xf numFmtId="0" fontId="16" fillId="5" borderId="2" xfId="0" applyFont="1" applyFill="1" applyBorder="1" applyAlignment="1">
      <alignment horizontal="left" vertical="center" wrapText="1"/>
    </xf>
    <xf numFmtId="0" fontId="6" fillId="7" borderId="0" xfId="0" applyFont="1" applyFill="1" applyAlignment="1">
      <alignment horizontal="center" vertical="center" wrapText="1"/>
    </xf>
    <xf numFmtId="44" fontId="12" fillId="5" borderId="9" xfId="1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 wrapText="1"/>
    </xf>
    <xf numFmtId="44" fontId="13" fillId="5" borderId="18" xfId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44" fontId="0" fillId="5" borderId="9" xfId="1" applyFont="1" applyFill="1" applyBorder="1" applyAlignment="1">
      <alignment horizontal="center" vertical="center"/>
    </xf>
    <xf numFmtId="44" fontId="6" fillId="6" borderId="15" xfId="1" applyFont="1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</cellXfs>
  <cellStyles count="2">
    <cellStyle name="Currency" xfId="1" builtinId="4"/>
    <cellStyle name="Normal" xfId="0" builtinId="0"/>
  </cellStyles>
  <dxfs count="22">
    <dxf>
      <alignment horizontal="left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sz val="12"/>
      </font>
      <alignment vertical="center" textRotation="0" wrapText="0" indent="0" justifyLastLine="0" shrinkToFit="0" readingOrder="0"/>
      <border>
        <left style="medium">
          <color rgb="FF000000"/>
        </left>
        <right style="medium">
          <color rgb="FF000000"/>
        </right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>
        <left style="medium">
          <color rgb="FF000000"/>
        </left>
        <right style="medium">
          <color rgb="FF000000"/>
        </right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>
        <left style="medium">
          <color rgb="FF000000"/>
        </left>
        <right style="medium">
          <color rgb="FF000000"/>
        </right>
      </border>
    </dxf>
    <dxf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/>
      </font>
      <alignment horizontal="left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8DFD77-7047-4C57-B78A-336E7C26DA2B}" name="Table2" displayName="Table2" ref="A2:J22" totalsRowCount="1" headerRowDxfId="21" dataDxfId="19" headerRowBorderDxfId="20" tableBorderDxfId="18">
  <autoFilter ref="A2:J21" xr:uid="{8A8DFD77-7047-4C57-B78A-336E7C26DA2B}"/>
  <tableColumns count="10">
    <tableColumn id="1" xr3:uid="{1EEAD5F3-19C9-4A71-AF3C-9E611DFD0E72}" name="Item" dataDxfId="17" totalsRowDxfId="16"/>
    <tableColumn id="2" xr3:uid="{BA740B5E-55C5-41F9-841A-91786E3A9F6E}" name="Breakdown / Payment / Notes" dataDxfId="15" totalsRowDxfId="14"/>
    <tableColumn id="3" xr3:uid="{BDA55B3D-6B8D-48DD-98F8-2370A3A89F17}" name="Vendor" dataDxfId="13" totalsRowDxfId="12"/>
    <tableColumn id="4" xr3:uid="{C5B00E10-9978-4112-B4B3-65B0BA250B58}" name="Costs" totalsRowFunction="custom" dataDxfId="11" totalsRowDxfId="10" dataCellStyle="Currency">
      <totalsRowFormula>SUM(Table2[Costs])</totalsRowFormula>
    </tableColumn>
    <tableColumn id="5" xr3:uid="{C7A6867B-3766-4F65-AB6D-E91303947DC9}" name="POC to verify" dataDxfId="9" totalsRowDxfId="8"/>
    <tableColumn id="6" xr3:uid="{C687BC34-1324-409B-BF15-9AFADCF3A5BF}" name="Verified?" dataDxfId="7" totalsRowDxfId="6"/>
    <tableColumn id="8" xr3:uid="{A1951295-E5A7-48B4-BE63-B23D51E93B99}" name="1" dataDxfId="5" totalsRowDxfId="4"/>
    <tableColumn id="7" xr3:uid="{270FBE27-3BDA-4F8E-88BE-FF00ABB265BB}" name="2" dataDxfId="3"/>
    <tableColumn id="9" xr3:uid="{C194C2E8-FC13-42F3-B5BD-AEEFD512315B}" name="PF" dataDxfId="2"/>
    <tableColumn id="10" xr3:uid="{B54DF538-CD5E-416F-9BC3-0526E0F527A8}" name="Column1" dataDxfId="1" totalsRow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0CEE6-CAC7-4195-A332-6D80D1C413BE}">
  <dimension ref="A1:K25"/>
  <sheetViews>
    <sheetView tabSelected="1" zoomScale="85" zoomScaleNormal="85" workbookViewId="0">
      <selection activeCell="B9" sqref="B9"/>
    </sheetView>
  </sheetViews>
  <sheetFormatPr defaultRowHeight="15" x14ac:dyDescent="0.25"/>
  <cols>
    <col min="1" max="1" width="40.42578125" customWidth="1"/>
    <col min="2" max="2" width="64.140625" customWidth="1"/>
    <col min="3" max="3" width="12" customWidth="1"/>
    <col min="4" max="4" width="19" customWidth="1"/>
    <col min="5" max="5" width="18.42578125" style="11" customWidth="1"/>
    <col min="6" max="6" width="13.85546875" customWidth="1"/>
    <col min="7" max="7" width="27" style="11" customWidth="1"/>
    <col min="8" max="8" width="48.140625" customWidth="1"/>
    <col min="9" max="9" width="11.7109375" customWidth="1"/>
    <col min="10" max="10" width="30.42578125" style="79" customWidth="1"/>
  </cols>
  <sheetData>
    <row r="1" spans="1:11" ht="27.75" customHeight="1" x14ac:dyDescent="0.25">
      <c r="A1" s="48" t="s">
        <v>0</v>
      </c>
      <c r="B1" s="3" t="s">
        <v>1</v>
      </c>
      <c r="C1" s="2"/>
      <c r="D1" s="2"/>
      <c r="E1" s="9"/>
      <c r="F1" s="2"/>
      <c r="G1" s="9"/>
      <c r="H1" s="2"/>
      <c r="I1" s="2"/>
      <c r="J1" s="74"/>
    </row>
    <row r="2" spans="1:11" s="5" customFormat="1" ht="21" x14ac:dyDescent="0.3">
      <c r="A2" s="13" t="s">
        <v>2</v>
      </c>
      <c r="B2" s="14" t="s">
        <v>3</v>
      </c>
      <c r="C2" s="15" t="s">
        <v>4</v>
      </c>
      <c r="D2" s="60" t="s">
        <v>5</v>
      </c>
      <c r="E2" s="69" t="s">
        <v>6</v>
      </c>
      <c r="F2" s="16" t="s">
        <v>7</v>
      </c>
      <c r="G2" s="17" t="s">
        <v>8</v>
      </c>
      <c r="H2" s="18" t="s">
        <v>9</v>
      </c>
      <c r="I2" s="49" t="s">
        <v>10</v>
      </c>
      <c r="J2" s="75" t="s">
        <v>11</v>
      </c>
      <c r="K2" s="4"/>
    </row>
    <row r="3" spans="1:11" s="5" customFormat="1" ht="27.75" customHeight="1" x14ac:dyDescent="0.3">
      <c r="A3" s="19" t="s">
        <v>12</v>
      </c>
      <c r="B3" s="58" t="s">
        <v>13</v>
      </c>
      <c r="C3" s="66" t="s">
        <v>14</v>
      </c>
      <c r="D3" s="61">
        <v>0</v>
      </c>
      <c r="E3" s="70" t="s">
        <v>15</v>
      </c>
      <c r="F3" s="21"/>
      <c r="G3" s="22"/>
      <c r="H3" s="23"/>
      <c r="I3" s="52" t="s">
        <v>16</v>
      </c>
      <c r="J3" s="76" t="s">
        <v>17</v>
      </c>
      <c r="K3" s="4"/>
    </row>
    <row r="4" spans="1:11" s="5" customFormat="1" ht="27.75" customHeight="1" x14ac:dyDescent="0.3">
      <c r="A4" s="19" t="s">
        <v>12</v>
      </c>
      <c r="B4" s="20" t="s">
        <v>18</v>
      </c>
      <c r="C4" s="66" t="s">
        <v>14</v>
      </c>
      <c r="D4" s="62">
        <v>0</v>
      </c>
      <c r="E4" s="70" t="s">
        <v>15</v>
      </c>
      <c r="F4" s="24"/>
      <c r="G4" s="22"/>
      <c r="H4" s="23"/>
      <c r="I4" s="53" t="s">
        <v>16</v>
      </c>
      <c r="J4" s="76" t="s">
        <v>17</v>
      </c>
      <c r="K4" s="4"/>
    </row>
    <row r="5" spans="1:11" s="47" customFormat="1" ht="15" customHeight="1" x14ac:dyDescent="0.3">
      <c r="A5" s="40"/>
      <c r="B5" s="45"/>
      <c r="C5" s="67"/>
      <c r="D5" s="63"/>
      <c r="E5" s="71"/>
      <c r="F5" s="43"/>
      <c r="G5" s="42"/>
      <c r="H5" s="44"/>
      <c r="I5" s="54"/>
      <c r="J5" s="76"/>
      <c r="K5" s="46"/>
    </row>
    <row r="6" spans="1:11" ht="27.75" customHeight="1" x14ac:dyDescent="0.25">
      <c r="A6" s="25" t="s">
        <v>19</v>
      </c>
      <c r="B6" s="80" t="s">
        <v>20</v>
      </c>
      <c r="C6" s="59" t="s">
        <v>14</v>
      </c>
      <c r="D6" s="64">
        <v>1210685</v>
      </c>
      <c r="E6" s="31" t="s">
        <v>15</v>
      </c>
      <c r="F6" s="28" t="s">
        <v>21</v>
      </c>
      <c r="G6" s="29" t="s">
        <v>22</v>
      </c>
      <c r="H6" s="30"/>
      <c r="I6" s="55" t="s">
        <v>23</v>
      </c>
      <c r="J6" s="76" t="s">
        <v>24</v>
      </c>
      <c r="K6" s="2"/>
    </row>
    <row r="7" spans="1:11" ht="45" x14ac:dyDescent="0.25">
      <c r="A7" s="25" t="s">
        <v>25</v>
      </c>
      <c r="B7" s="81" t="s">
        <v>26</v>
      </c>
      <c r="C7" s="59" t="s">
        <v>27</v>
      </c>
      <c r="D7" s="88">
        <v>1000000</v>
      </c>
      <c r="E7" s="31" t="s">
        <v>28</v>
      </c>
      <c r="F7" s="28" t="s">
        <v>21</v>
      </c>
      <c r="G7" s="39" t="s">
        <v>29</v>
      </c>
      <c r="H7" s="85" t="s">
        <v>30</v>
      </c>
      <c r="I7" s="55" t="s">
        <v>23</v>
      </c>
      <c r="J7" s="77" t="s">
        <v>31</v>
      </c>
      <c r="K7" s="2"/>
    </row>
    <row r="8" spans="1:11" ht="63" customHeight="1" x14ac:dyDescent="0.25">
      <c r="A8" s="25"/>
      <c r="B8" s="82" t="s">
        <v>32</v>
      </c>
      <c r="C8" s="59" t="s">
        <v>27</v>
      </c>
      <c r="D8" s="88">
        <v>400000</v>
      </c>
      <c r="E8" s="31" t="s">
        <v>28</v>
      </c>
      <c r="F8" s="28" t="s">
        <v>21</v>
      </c>
      <c r="G8" s="39" t="s">
        <v>33</v>
      </c>
      <c r="H8" s="85" t="s">
        <v>34</v>
      </c>
      <c r="I8" s="55" t="s">
        <v>23</v>
      </c>
      <c r="J8" s="77" t="s">
        <v>31</v>
      </c>
      <c r="K8" s="2"/>
    </row>
    <row r="9" spans="1:11" ht="75.75" customHeight="1" x14ac:dyDescent="0.25">
      <c r="A9" s="25" t="s">
        <v>35</v>
      </c>
      <c r="B9" s="83" t="s">
        <v>36</v>
      </c>
      <c r="C9" s="59" t="s">
        <v>37</v>
      </c>
      <c r="D9" s="86">
        <v>1500000</v>
      </c>
      <c r="E9" s="31" t="s">
        <v>38</v>
      </c>
      <c r="F9" s="28" t="s">
        <v>21</v>
      </c>
      <c r="G9" s="39" t="s">
        <v>39</v>
      </c>
      <c r="H9" s="87" t="s">
        <v>40</v>
      </c>
      <c r="I9" s="55" t="s">
        <v>23</v>
      </c>
      <c r="J9" s="76"/>
      <c r="K9" s="2"/>
    </row>
    <row r="10" spans="1:11" ht="27.75" customHeight="1" x14ac:dyDescent="0.25">
      <c r="A10" s="25"/>
      <c r="B10" s="83" t="s">
        <v>36</v>
      </c>
      <c r="C10" s="59" t="s">
        <v>41</v>
      </c>
      <c r="D10" s="64">
        <v>59300</v>
      </c>
      <c r="E10" s="31" t="s">
        <v>38</v>
      </c>
      <c r="F10" s="51" t="s">
        <v>21</v>
      </c>
      <c r="G10" s="29" t="s">
        <v>39</v>
      </c>
      <c r="H10" s="27" t="s">
        <v>42</v>
      </c>
      <c r="I10" s="55" t="s">
        <v>23</v>
      </c>
      <c r="J10" s="76"/>
      <c r="K10" s="2"/>
    </row>
    <row r="11" spans="1:11" ht="27.75" customHeight="1" x14ac:dyDescent="0.25">
      <c r="A11" s="25" t="s">
        <v>43</v>
      </c>
      <c r="B11" s="83" t="s">
        <v>44</v>
      </c>
      <c r="C11" s="59"/>
      <c r="D11" s="64">
        <v>402062</v>
      </c>
      <c r="E11" s="31" t="s">
        <v>38</v>
      </c>
      <c r="F11" s="28" t="s">
        <v>21</v>
      </c>
      <c r="G11" s="29" t="s">
        <v>39</v>
      </c>
      <c r="H11" s="27" t="s">
        <v>45</v>
      </c>
      <c r="I11" s="55" t="s">
        <v>23</v>
      </c>
      <c r="J11" s="76"/>
      <c r="K11" s="2"/>
    </row>
    <row r="12" spans="1:11" ht="61.5" customHeight="1" x14ac:dyDescent="0.25">
      <c r="A12" s="25" t="s">
        <v>46</v>
      </c>
      <c r="B12" s="84" t="s">
        <v>47</v>
      </c>
      <c r="C12" s="59" t="s">
        <v>48</v>
      </c>
      <c r="D12" s="64">
        <v>607582.69999999995</v>
      </c>
      <c r="E12" s="31" t="s">
        <v>49</v>
      </c>
      <c r="F12" s="28" t="s">
        <v>21</v>
      </c>
      <c r="G12" s="29" t="s">
        <v>50</v>
      </c>
      <c r="H12" s="50" t="s">
        <v>51</v>
      </c>
      <c r="I12" s="55" t="s">
        <v>23</v>
      </c>
      <c r="J12" s="78"/>
      <c r="K12" s="2"/>
    </row>
    <row r="13" spans="1:11" ht="35.25" customHeight="1" x14ac:dyDescent="0.25">
      <c r="A13" s="32" t="s">
        <v>52</v>
      </c>
      <c r="B13" s="26" t="s">
        <v>53</v>
      </c>
      <c r="C13" s="59"/>
      <c r="D13" s="64">
        <v>248000</v>
      </c>
      <c r="E13" s="31" t="s">
        <v>54</v>
      </c>
      <c r="F13" s="28" t="s">
        <v>21</v>
      </c>
      <c r="G13" s="29" t="s">
        <v>55</v>
      </c>
      <c r="H13" s="31"/>
      <c r="I13" s="55" t="s">
        <v>23</v>
      </c>
      <c r="J13" s="76"/>
      <c r="K13" s="2"/>
    </row>
    <row r="14" spans="1:11" ht="34.5" customHeight="1" x14ac:dyDescent="0.25">
      <c r="A14" s="32" t="s">
        <v>56</v>
      </c>
      <c r="B14" s="33" t="s">
        <v>57</v>
      </c>
      <c r="C14" s="59"/>
      <c r="D14" s="64">
        <v>25000</v>
      </c>
      <c r="E14" s="31" t="s">
        <v>54</v>
      </c>
      <c r="F14" s="28" t="s">
        <v>21</v>
      </c>
      <c r="G14" s="29" t="s">
        <v>55</v>
      </c>
      <c r="H14" s="31"/>
      <c r="I14" s="55" t="s">
        <v>23</v>
      </c>
      <c r="J14" s="76"/>
      <c r="K14" s="2"/>
    </row>
    <row r="15" spans="1:11" ht="34.5" customHeight="1" x14ac:dyDescent="0.25">
      <c r="A15" s="25" t="s">
        <v>58</v>
      </c>
      <c r="B15" s="89" t="s">
        <v>59</v>
      </c>
      <c r="C15" s="90"/>
      <c r="D15" s="91">
        <v>100000</v>
      </c>
      <c r="E15" s="29"/>
      <c r="F15" s="51" t="s">
        <v>21</v>
      </c>
      <c r="G15" s="29" t="s">
        <v>55</v>
      </c>
      <c r="H15" s="30" t="s">
        <v>60</v>
      </c>
      <c r="I15" s="55" t="s">
        <v>23</v>
      </c>
      <c r="J15" s="76"/>
      <c r="K15" s="2"/>
    </row>
    <row r="16" spans="1:11" ht="15.75" customHeight="1" x14ac:dyDescent="0.25">
      <c r="A16" s="40"/>
      <c r="B16" s="41"/>
      <c r="C16" s="67"/>
      <c r="D16" s="63"/>
      <c r="E16" s="71"/>
      <c r="F16" s="43"/>
      <c r="G16" s="42"/>
      <c r="H16" s="44"/>
      <c r="I16" s="54"/>
      <c r="J16" s="76"/>
      <c r="K16" s="2"/>
    </row>
    <row r="17" spans="1:11" ht="28.5" customHeight="1" x14ac:dyDescent="0.25">
      <c r="A17" s="34" t="s">
        <v>61</v>
      </c>
      <c r="B17" s="35" t="s">
        <v>62</v>
      </c>
      <c r="C17" s="68" t="s">
        <v>14</v>
      </c>
      <c r="D17" s="65">
        <v>0</v>
      </c>
      <c r="E17" s="38" t="s">
        <v>15</v>
      </c>
      <c r="F17" s="36" t="s">
        <v>21</v>
      </c>
      <c r="G17" s="37" t="s">
        <v>63</v>
      </c>
      <c r="H17" s="38" t="s">
        <v>64</v>
      </c>
      <c r="I17" s="56" t="s">
        <v>65</v>
      </c>
      <c r="J17" s="76" t="s">
        <v>66</v>
      </c>
      <c r="K17" s="2"/>
    </row>
    <row r="18" spans="1:11" ht="27.75" customHeight="1" x14ac:dyDescent="0.25">
      <c r="A18" s="34" t="s">
        <v>61</v>
      </c>
      <c r="B18" s="35" t="s">
        <v>67</v>
      </c>
      <c r="C18" s="68" t="s">
        <v>14</v>
      </c>
      <c r="D18" s="65">
        <v>0</v>
      </c>
      <c r="E18" s="38" t="s">
        <v>15</v>
      </c>
      <c r="F18" s="36" t="s">
        <v>21</v>
      </c>
      <c r="G18" s="37" t="s">
        <v>68</v>
      </c>
      <c r="H18" s="38" t="s">
        <v>69</v>
      </c>
      <c r="I18" s="56" t="s">
        <v>65</v>
      </c>
      <c r="J18" s="76" t="s">
        <v>66</v>
      </c>
    </row>
    <row r="19" spans="1:11" ht="27.75" customHeight="1" x14ac:dyDescent="0.25">
      <c r="A19" s="34" t="s">
        <v>61</v>
      </c>
      <c r="B19" s="35" t="s">
        <v>70</v>
      </c>
      <c r="C19" s="68" t="s">
        <v>14</v>
      </c>
      <c r="D19" s="65">
        <v>0</v>
      </c>
      <c r="E19" s="38" t="s">
        <v>15</v>
      </c>
      <c r="F19" s="36" t="s">
        <v>21</v>
      </c>
      <c r="G19" s="37" t="s">
        <v>71</v>
      </c>
      <c r="H19" s="38" t="s">
        <v>72</v>
      </c>
      <c r="I19" s="56" t="s">
        <v>65</v>
      </c>
      <c r="J19" s="76" t="s">
        <v>66</v>
      </c>
    </row>
    <row r="20" spans="1:11" ht="45" x14ac:dyDescent="0.25">
      <c r="A20" s="34" t="s">
        <v>73</v>
      </c>
      <c r="B20" s="35" t="s">
        <v>74</v>
      </c>
      <c r="C20" s="68" t="s">
        <v>27</v>
      </c>
      <c r="D20" s="65">
        <v>0</v>
      </c>
      <c r="E20" s="38" t="s">
        <v>28</v>
      </c>
      <c r="F20" s="36" t="s">
        <v>21</v>
      </c>
      <c r="G20" s="39" t="s">
        <v>29</v>
      </c>
      <c r="H20" s="38" t="s">
        <v>75</v>
      </c>
      <c r="I20" s="57" t="s">
        <v>65</v>
      </c>
      <c r="J20" s="76"/>
    </row>
    <row r="21" spans="1:11" ht="46.5" customHeight="1" x14ac:dyDescent="0.25">
      <c r="A21" s="34"/>
      <c r="B21" s="73" t="s">
        <v>76</v>
      </c>
      <c r="C21" s="68"/>
      <c r="D21" s="92">
        <v>0</v>
      </c>
      <c r="E21" s="38" t="s">
        <v>28</v>
      </c>
      <c r="F21" s="36" t="s">
        <v>21</v>
      </c>
      <c r="G21" s="39" t="s">
        <v>33</v>
      </c>
      <c r="H21" s="38" t="s">
        <v>77</v>
      </c>
      <c r="I21" s="56" t="s">
        <v>65</v>
      </c>
      <c r="J21" s="76"/>
    </row>
    <row r="22" spans="1:11" ht="27.75" customHeight="1" x14ac:dyDescent="0.25">
      <c r="A22" s="6"/>
      <c r="B22" s="7"/>
      <c r="C22" s="8"/>
      <c r="D22" s="72">
        <f>SUM(Table2[Costs])</f>
        <v>5552629.7000000002</v>
      </c>
      <c r="E22" s="10"/>
      <c r="F22" s="1"/>
      <c r="G22" s="12"/>
    </row>
    <row r="25" spans="1:11" ht="69" customHeight="1" x14ac:dyDescent="0.3">
      <c r="D25" s="93" t="s">
        <v>78</v>
      </c>
      <c r="E25" s="93"/>
      <c r="F25" s="93"/>
    </row>
  </sheetData>
  <mergeCells count="1">
    <mergeCell ref="D25:F25"/>
  </mergeCells>
  <dataValidations count="1">
    <dataValidation type="list" sqref="F3:F21" xr:uid="{E07D7610-ABD6-4FA9-A83D-7BDECE9DB4E5}">
      <formula1>"Yes, No, Pending"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344f10-eb9d-497a-9abf-9ab5ec431dcc" xsi:nil="true"/>
    <lcf76f155ced4ddcb4097134ff3c332f xmlns="b9d33f9f-bda1-4ffa-b14f-5fffa78b3f3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A73E45F009DF438B06818911550207" ma:contentTypeVersion="16" ma:contentTypeDescription="Create a new document." ma:contentTypeScope="" ma:versionID="fbf68a7d611df1f4ff000cdd29bd78fd">
  <xsd:schema xmlns:xsd="http://www.w3.org/2001/XMLSchema" xmlns:xs="http://www.w3.org/2001/XMLSchema" xmlns:p="http://schemas.microsoft.com/office/2006/metadata/properties" xmlns:ns2="b9d33f9f-bda1-4ffa-b14f-5fffa78b3f3d" xmlns:ns3="a8344f10-eb9d-497a-9abf-9ab5ec431dcc" targetNamespace="http://schemas.microsoft.com/office/2006/metadata/properties" ma:root="true" ma:fieldsID="58c97be333db0b09d9c379cd1a35fe71" ns2:_="" ns3:_="">
    <xsd:import namespace="b9d33f9f-bda1-4ffa-b14f-5fffa78b3f3d"/>
    <xsd:import namespace="a8344f10-eb9d-497a-9abf-9ab5ec431d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33f9f-bda1-4ffa-b14f-5fffa78b3f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8c73404c-21bf-4c61-9cc0-b139490ad1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344f10-eb9d-497a-9abf-9ab5ec431dc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3586ee6-cf31-41a5-a6a8-6a628376cc10}" ma:internalName="TaxCatchAll" ma:showField="CatchAllData" ma:web="a8344f10-eb9d-497a-9abf-9ab5ec431d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54D06B-5E47-4EF0-81D1-D9C1D92653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45D48F-A3DE-4A81-B62B-F990BF862310}">
  <ds:schemaRefs>
    <ds:schemaRef ds:uri="http://schemas.microsoft.com/office/2006/metadata/properties"/>
    <ds:schemaRef ds:uri="http://schemas.microsoft.com/office/infopath/2007/PartnerControls"/>
    <ds:schemaRef ds:uri="a8344f10-eb9d-497a-9abf-9ab5ec431dcc"/>
    <ds:schemaRef ds:uri="b9d33f9f-bda1-4ffa-b14f-5fffa78b3f3d"/>
  </ds:schemaRefs>
</ds:datastoreItem>
</file>

<file path=customXml/itemProps3.xml><?xml version="1.0" encoding="utf-8"?>
<ds:datastoreItem xmlns:ds="http://schemas.openxmlformats.org/officeDocument/2006/customXml" ds:itemID="{D9B2821E-B273-49C6-932C-2212FDFF52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d33f9f-bda1-4ffa-b14f-5fffa78b3f3d"/>
    <ds:schemaRef ds:uri="a8344f10-eb9d-497a-9abf-9ab5ec431d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EVERSOURCE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KELLEY</dc:creator>
  <cp:keywords/>
  <dc:description/>
  <cp:lastModifiedBy>ADAM KELLEY</cp:lastModifiedBy>
  <cp:revision/>
  <dcterms:created xsi:type="dcterms:W3CDTF">2026-05-04T15:46:54Z</dcterms:created>
  <dcterms:modified xsi:type="dcterms:W3CDTF">2026-06-03T18:16:43Z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0x01010057A73E45F009DF438B06818911550207</vt:lpwstr>
  </property>
  <property fmtid="{D5CDD505-2E9C-101B-9397-08002B2CF9AE}" pid="3" name="MediaServiceImageTags">
    <vt:lpwstr/>
  </property>
</Properties>
</file>