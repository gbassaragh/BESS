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u.com\data\SharedData\Estimating-Shared\2) Estimate Templates\9) Indirects and AFUDC calculation\_current\"/>
    </mc:Choice>
  </mc:AlternateContent>
  <xr:revisionPtr revIDLastSave="0" documentId="8_{A121A690-F51A-4508-97A0-F77EE9CC0C69}" xr6:coauthVersionLast="47" xr6:coauthVersionMax="47" xr10:uidLastSave="{00000000-0000-0000-0000-000000000000}"/>
  <bookViews>
    <workbookView xWindow="28680" yWindow="-120" windowWidth="29040" windowHeight="15720" xr2:uid="{6B5E1C0A-D28C-4DF2-93AA-E76D12D0DD09}"/>
  </bookViews>
  <sheets>
    <sheet name="Cost Input" sheetId="3" r:id="rId1"/>
    <sheet name="Detailed Breakout" sheetId="2" r:id="rId2"/>
    <sheet name="Sheet1" sheetId="1" state="hidden" r:id="rId3"/>
  </sheets>
  <externalReferences>
    <externalReference r:id="rId4"/>
    <externalReference r:id="rId5"/>
  </externalReferences>
  <definedNames>
    <definedName name="\x" localSheetId="0">[1]DETAILS!#REF!</definedName>
    <definedName name="\x" localSheetId="1">[1]DETAILS!#REF!</definedName>
    <definedName name="\x">[1]DETAILS!#REF!</definedName>
    <definedName name="\y" localSheetId="0">[1]DETAILS!#REF!</definedName>
    <definedName name="\y" localSheetId="1">[1]DETAILS!#REF!</definedName>
    <definedName name="\y">[1]DETAILS!#REF!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544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PG01">#N/A</definedName>
    <definedName name="_PG02">#N/A</definedName>
    <definedName name="_PG03">#N/A</definedName>
    <definedName name="_PG04">#N/A</definedName>
    <definedName name="_PG05">#N/A</definedName>
    <definedName name="a" localSheetId="0" hidden="1">{#N/A,#N/A,TRUE,"Task Status";#N/A,#N/A,TRUE,"Document Status";#N/A,#N/A,TRUE,"Percent Complete";#N/A,#N/A,TRUE,"Manhour Sum"}</definedName>
    <definedName name="a" localSheetId="1" hidden="1">{#N/A,#N/A,TRUE,"Task Status";#N/A,#N/A,TRUE,"Document Status";#N/A,#N/A,TRUE,"Percent Complete";#N/A,#N/A,TRUE,"Manhour Sum"}</definedName>
    <definedName name="a" localSheetId="2" hidden="1">{#N/A,#N/A,TRUE,"Task Status";#N/A,#N/A,TRUE,"Document Status";#N/A,#N/A,TRUE,"Percent Complete";#N/A,#N/A,TRUE,"Manhour Sum"}</definedName>
    <definedName name="a" hidden="1">{#N/A,#N/A,TRUE,"Task Status";#N/A,#N/A,TRUE,"Document Status";#N/A,#N/A,TRUE,"Percent Complete";#N/A,#N/A,TRUE,"Manhour Sum"}</definedName>
    <definedName name="a_1" localSheetId="0" hidden="1">{#N/A,#N/A,TRUE,"Task Status";#N/A,#N/A,TRUE,"Document Status";#N/A,#N/A,TRUE,"Percent Complete";#N/A,#N/A,TRUE,"Manhour Sum"}</definedName>
    <definedName name="a_1" localSheetId="1" hidden="1">{#N/A,#N/A,TRUE,"Task Status";#N/A,#N/A,TRUE,"Document Status";#N/A,#N/A,TRUE,"Percent Complete";#N/A,#N/A,TRUE,"Manhour Sum"}</definedName>
    <definedName name="a_1" localSheetId="2" hidden="1">{#N/A,#N/A,TRUE,"Task Status";#N/A,#N/A,TRUE,"Document Status";#N/A,#N/A,TRUE,"Percent Complete";#N/A,#N/A,TRUE,"Manhour Sum"}</definedName>
    <definedName name="a_1" hidden="1">{#N/A,#N/A,TRUE,"Task Status";#N/A,#N/A,TRUE,"Document Status";#N/A,#N/A,TRUE,"Percent Complete";#N/A,#N/A,TRUE,"Manhour Sum"}</definedName>
    <definedName name="a_2" localSheetId="0" hidden="1">{#N/A,#N/A,TRUE,"Task Status";#N/A,#N/A,TRUE,"Document Status";#N/A,#N/A,TRUE,"Percent Complete";#N/A,#N/A,TRUE,"Manhour Sum"}</definedName>
    <definedName name="a_2" localSheetId="1" hidden="1">{#N/A,#N/A,TRUE,"Task Status";#N/A,#N/A,TRUE,"Document Status";#N/A,#N/A,TRUE,"Percent Complete";#N/A,#N/A,TRUE,"Manhour Sum"}</definedName>
    <definedName name="a_2" localSheetId="2" hidden="1">{#N/A,#N/A,TRUE,"Task Status";#N/A,#N/A,TRUE,"Document Status";#N/A,#N/A,TRUE,"Percent Complete";#N/A,#N/A,TRUE,"Manhour Sum"}</definedName>
    <definedName name="a_2" hidden="1">{#N/A,#N/A,TRUE,"Task Status";#N/A,#N/A,TRUE,"Document Status";#N/A,#N/A,TRUE,"Percent Complete";#N/A,#N/A,TRUE,"Manhour Sum"}</definedName>
    <definedName name="aa" localSheetId="0" hidden="1">{#N/A,#N/A,TRUE,"Task Status";#N/A,#N/A,TRUE,"Document Status";#N/A,#N/A,TRUE,"Percent Complete";#N/A,#N/A,TRUE,"Manhour Sum"}</definedName>
    <definedName name="aa" localSheetId="1" hidden="1">{#N/A,#N/A,TRUE,"Task Status";#N/A,#N/A,TRUE,"Document Status";#N/A,#N/A,TRUE,"Percent Complete";#N/A,#N/A,TRUE,"Manhour Sum"}</definedName>
    <definedName name="aa" localSheetId="2" hidden="1">{#N/A,#N/A,TRUE,"Task Status";#N/A,#N/A,TRUE,"Document Status";#N/A,#N/A,TRUE,"Percent Complete";#N/A,#N/A,TRUE,"Manhour Sum"}</definedName>
    <definedName name="aa" hidden="1">{#N/A,#N/A,TRUE,"Task Status";#N/A,#N/A,TRUE,"Document Status";#N/A,#N/A,TRUE,"Percent Complete";#N/A,#N/A,TRUE,"Manhour Sum"}</definedName>
    <definedName name="aa_1" localSheetId="0" hidden="1">{#N/A,#N/A,TRUE,"Task Status";#N/A,#N/A,TRUE,"Document Status";#N/A,#N/A,TRUE,"Percent Complete";#N/A,#N/A,TRUE,"Manhour Sum"}</definedName>
    <definedName name="aa_1" localSheetId="1" hidden="1">{#N/A,#N/A,TRUE,"Task Status";#N/A,#N/A,TRUE,"Document Status";#N/A,#N/A,TRUE,"Percent Complete";#N/A,#N/A,TRUE,"Manhour Sum"}</definedName>
    <definedName name="aa_1" localSheetId="2" hidden="1">{#N/A,#N/A,TRUE,"Task Status";#N/A,#N/A,TRUE,"Document Status";#N/A,#N/A,TRUE,"Percent Complete";#N/A,#N/A,TRUE,"Manhour Sum"}</definedName>
    <definedName name="aa_1" hidden="1">{#N/A,#N/A,TRUE,"Task Status";#N/A,#N/A,TRUE,"Document Status";#N/A,#N/A,TRUE,"Percent Complete";#N/A,#N/A,TRUE,"Manhour Sum"}</definedName>
    <definedName name="aa_2" localSheetId="0" hidden="1">{#N/A,#N/A,TRUE,"Task Status";#N/A,#N/A,TRUE,"Document Status";#N/A,#N/A,TRUE,"Percent Complete";#N/A,#N/A,TRUE,"Manhour Sum"}</definedName>
    <definedName name="aa_2" localSheetId="1" hidden="1">{#N/A,#N/A,TRUE,"Task Status";#N/A,#N/A,TRUE,"Document Status";#N/A,#N/A,TRUE,"Percent Complete";#N/A,#N/A,TRUE,"Manhour Sum"}</definedName>
    <definedName name="aa_2" localSheetId="2" hidden="1">{#N/A,#N/A,TRUE,"Task Status";#N/A,#N/A,TRUE,"Document Status";#N/A,#N/A,TRUE,"Percent Complete";#N/A,#N/A,TRUE,"Manhour Sum"}</definedName>
    <definedName name="aa_2" hidden="1">{#N/A,#N/A,TRUE,"Task Status";#N/A,#N/A,TRUE,"Document Status";#N/A,#N/A,TRUE,"Percent Complete";#N/A,#N/A,TRUE,"Manhour Sum"}</definedName>
    <definedName name="aaaa" localSheetId="0" hidden="1">{#N/A,#N/A,FALSE,"Sum6 (1)"}</definedName>
    <definedName name="aaaa" localSheetId="1" hidden="1">{#N/A,#N/A,FALSE,"Sum6 (1)"}</definedName>
    <definedName name="aaaa" localSheetId="2" hidden="1">{#N/A,#N/A,FALSE,"Sum6 (1)"}</definedName>
    <definedName name="aaaa" hidden="1">{#N/A,#N/A,FALSE,"Sum6 (1)"}</definedName>
    <definedName name="aaaa_1" localSheetId="0" hidden="1">{#N/A,#N/A,FALSE,"Sum6 (1)"}</definedName>
    <definedName name="aaaa_1" localSheetId="1" hidden="1">{#N/A,#N/A,FALSE,"Sum6 (1)"}</definedName>
    <definedName name="aaaa_1" localSheetId="2" hidden="1">{#N/A,#N/A,FALSE,"Sum6 (1)"}</definedName>
    <definedName name="aaaa_1" hidden="1">{#N/A,#N/A,FALSE,"Sum6 (1)"}</definedName>
    <definedName name="aaaa_2" localSheetId="0" hidden="1">{#N/A,#N/A,FALSE,"Sum6 (1)"}</definedName>
    <definedName name="aaaa_2" localSheetId="1" hidden="1">{#N/A,#N/A,FALSE,"Sum6 (1)"}</definedName>
    <definedName name="aaaa_2" localSheetId="2" hidden="1">{#N/A,#N/A,FALSE,"Sum6 (1)"}</definedName>
    <definedName name="aaaa_2" hidden="1">{#N/A,#N/A,FALSE,"Sum6 (1)"}</definedName>
    <definedName name="ab" localSheetId="0" hidden="1">{#N/A,#N/A,TRUE,"Task Status";#N/A,#N/A,TRUE,"Document Status";#N/A,#N/A,TRUE,"Percent Complete";#N/A,#N/A,TRUE,"Manhour Sum"}</definedName>
    <definedName name="ab" localSheetId="1" hidden="1">{#N/A,#N/A,TRUE,"Task Status";#N/A,#N/A,TRUE,"Document Status";#N/A,#N/A,TRUE,"Percent Complete";#N/A,#N/A,TRUE,"Manhour Sum"}</definedName>
    <definedName name="ab" localSheetId="2" hidden="1">{#N/A,#N/A,TRUE,"Task Status";#N/A,#N/A,TRUE,"Document Status";#N/A,#N/A,TRUE,"Percent Complete";#N/A,#N/A,TRUE,"Manhour Sum"}</definedName>
    <definedName name="ab" hidden="1">{#N/A,#N/A,TRUE,"Task Status";#N/A,#N/A,TRUE,"Document Status";#N/A,#N/A,TRUE,"Percent Complete";#N/A,#N/A,TRUE,"Manhour Sum"}</definedName>
    <definedName name="abcd" localSheetId="0" hidden="1">{#N/A,#N/A,TRUE,"Task Status";#N/A,#N/A,TRUE,"Document Status";#N/A,#N/A,TRUE,"Percent Complete";#N/A,#N/A,TRUE,"Manhour Sum"}</definedName>
    <definedName name="abcd" localSheetId="1" hidden="1">{#N/A,#N/A,TRUE,"Task Status";#N/A,#N/A,TRUE,"Document Status";#N/A,#N/A,TRUE,"Percent Complete";#N/A,#N/A,TRUE,"Manhour Sum"}</definedName>
    <definedName name="abcd" localSheetId="2" hidden="1">{#N/A,#N/A,TRUE,"Task Status";#N/A,#N/A,TRUE,"Document Status";#N/A,#N/A,TRUE,"Percent Complete";#N/A,#N/A,TRUE,"Manhour Sum"}</definedName>
    <definedName name="abcd" hidden="1">{#N/A,#N/A,TRUE,"Task Status";#N/A,#N/A,TRUE,"Document Status";#N/A,#N/A,TRUE,"Percent Complete";#N/A,#N/A,TRUE,"Manhour Sum"}</definedName>
    <definedName name="abcd_1" localSheetId="0" hidden="1">{#N/A,#N/A,TRUE,"Task Status";#N/A,#N/A,TRUE,"Document Status";#N/A,#N/A,TRUE,"Percent Complete";#N/A,#N/A,TRUE,"Manhour Sum"}</definedName>
    <definedName name="abcd_1" localSheetId="1" hidden="1">{#N/A,#N/A,TRUE,"Task Status";#N/A,#N/A,TRUE,"Document Status";#N/A,#N/A,TRUE,"Percent Complete";#N/A,#N/A,TRUE,"Manhour Sum"}</definedName>
    <definedName name="abcd_1" localSheetId="2" hidden="1">{#N/A,#N/A,TRUE,"Task Status";#N/A,#N/A,TRUE,"Document Status";#N/A,#N/A,TRUE,"Percent Complete";#N/A,#N/A,TRUE,"Manhour Sum"}</definedName>
    <definedName name="abcd_1" hidden="1">{#N/A,#N/A,TRUE,"Task Status";#N/A,#N/A,TRUE,"Document Status";#N/A,#N/A,TRUE,"Percent Complete";#N/A,#N/A,TRUE,"Manhour Sum"}</definedName>
    <definedName name="abcd_2" localSheetId="0" hidden="1">{#N/A,#N/A,TRUE,"Task Status";#N/A,#N/A,TRUE,"Document Status";#N/A,#N/A,TRUE,"Percent Complete";#N/A,#N/A,TRUE,"Manhour Sum"}</definedName>
    <definedName name="abcd_2" localSheetId="1" hidden="1">{#N/A,#N/A,TRUE,"Task Status";#N/A,#N/A,TRUE,"Document Status";#N/A,#N/A,TRUE,"Percent Complete";#N/A,#N/A,TRUE,"Manhour Sum"}</definedName>
    <definedName name="abcd_2" localSheetId="2" hidden="1">{#N/A,#N/A,TRUE,"Task Status";#N/A,#N/A,TRUE,"Document Status";#N/A,#N/A,TRUE,"Percent Complete";#N/A,#N/A,TRUE,"Manhour Sum"}</definedName>
    <definedName name="abcd_2" hidden="1">{#N/A,#N/A,TRUE,"Task Status";#N/A,#N/A,TRUE,"Document Status";#N/A,#N/A,TRUE,"Percent Complete";#N/A,#N/A,TRUE,"Manhour Sum"}</definedName>
    <definedName name="ALL">#N/A</definedName>
    <definedName name="alpha" localSheetId="0" hidden="1">{#N/A,#N/A,FALSE,"Sum6 (1)"}</definedName>
    <definedName name="alpha" localSheetId="1" hidden="1">{#N/A,#N/A,FALSE,"Sum6 (1)"}</definedName>
    <definedName name="alpha" localSheetId="2" hidden="1">{#N/A,#N/A,FALSE,"Sum6 (1)"}</definedName>
    <definedName name="alpha" hidden="1">{#N/A,#N/A,FALSE,"Sum6 (1)"}</definedName>
    <definedName name="ana" localSheetId="0" hidden="1">{#N/A,#N/A,TRUE,"Task Status";#N/A,#N/A,TRUE,"Document Status";#N/A,#N/A,TRUE,"Percent Complete";#N/A,#N/A,TRUE,"Manhour Sum"}</definedName>
    <definedName name="ana" localSheetId="1" hidden="1">{#N/A,#N/A,TRUE,"Task Status";#N/A,#N/A,TRUE,"Document Status";#N/A,#N/A,TRUE,"Percent Complete";#N/A,#N/A,TRUE,"Manhour Sum"}</definedName>
    <definedName name="ana" localSheetId="2" hidden="1">{#N/A,#N/A,TRUE,"Task Status";#N/A,#N/A,TRUE,"Document Status";#N/A,#N/A,TRUE,"Percent Complete";#N/A,#N/A,TRUE,"Manhour Sum"}</definedName>
    <definedName name="ana" hidden="1">{#N/A,#N/A,TRUE,"Task Status";#N/A,#N/A,TRUE,"Document Status";#N/A,#N/A,TRUE,"Percent Complete";#N/A,#N/A,TRUE,"Manhour Sum"}</definedName>
    <definedName name="ana_1" localSheetId="0" hidden="1">{#N/A,#N/A,TRUE,"Task Status";#N/A,#N/A,TRUE,"Document Status";#N/A,#N/A,TRUE,"Percent Complete";#N/A,#N/A,TRUE,"Manhour Sum"}</definedName>
    <definedName name="ana_1" localSheetId="1" hidden="1">{#N/A,#N/A,TRUE,"Task Status";#N/A,#N/A,TRUE,"Document Status";#N/A,#N/A,TRUE,"Percent Complete";#N/A,#N/A,TRUE,"Manhour Sum"}</definedName>
    <definedName name="ana_1" localSheetId="2" hidden="1">{#N/A,#N/A,TRUE,"Task Status";#N/A,#N/A,TRUE,"Document Status";#N/A,#N/A,TRUE,"Percent Complete";#N/A,#N/A,TRUE,"Manhour Sum"}</definedName>
    <definedName name="ana_1" hidden="1">{#N/A,#N/A,TRUE,"Task Status";#N/A,#N/A,TRUE,"Document Status";#N/A,#N/A,TRUE,"Percent Complete";#N/A,#N/A,TRUE,"Manhour Sum"}</definedName>
    <definedName name="ana_2" localSheetId="0" hidden="1">{#N/A,#N/A,TRUE,"Task Status";#N/A,#N/A,TRUE,"Document Status";#N/A,#N/A,TRUE,"Percent Complete";#N/A,#N/A,TRUE,"Manhour Sum"}</definedName>
    <definedName name="ana_2" localSheetId="1" hidden="1">{#N/A,#N/A,TRUE,"Task Status";#N/A,#N/A,TRUE,"Document Status";#N/A,#N/A,TRUE,"Percent Complete";#N/A,#N/A,TRUE,"Manhour Sum"}</definedName>
    <definedName name="ana_2" localSheetId="2" hidden="1">{#N/A,#N/A,TRUE,"Task Status";#N/A,#N/A,TRUE,"Document Status";#N/A,#N/A,TRUE,"Percent Complete";#N/A,#N/A,TRUE,"Manhour Sum"}</definedName>
    <definedName name="ana_2" hidden="1">{#N/A,#N/A,TRUE,"Task Status";#N/A,#N/A,TRUE,"Document Status";#N/A,#N/A,TRUE,"Percent Complete";#N/A,#N/A,TRUE,"Manhour Sum"}</definedName>
    <definedName name="asdfasdg" localSheetId="0" hidden="1">{#N/A,#N/A,TRUE,"Task Status";#N/A,#N/A,TRUE,"Document Status";#N/A,#N/A,TRUE,"Percent Complete";#N/A,#N/A,TRUE,"Manhour Sum"}</definedName>
    <definedName name="asdfasdg" localSheetId="1" hidden="1">{#N/A,#N/A,TRUE,"Task Status";#N/A,#N/A,TRUE,"Document Status";#N/A,#N/A,TRUE,"Percent Complete";#N/A,#N/A,TRUE,"Manhour Sum"}</definedName>
    <definedName name="asdfasdg" localSheetId="2" hidden="1">{#N/A,#N/A,TRUE,"Task Status";#N/A,#N/A,TRUE,"Document Status";#N/A,#N/A,TRUE,"Percent Complete";#N/A,#N/A,TRUE,"Manhour Sum"}</definedName>
    <definedName name="asdfasdg" hidden="1">{#N/A,#N/A,TRUE,"Task Status";#N/A,#N/A,TRUE,"Document Status";#N/A,#N/A,TRUE,"Percent Complete";#N/A,#N/A,TRUE,"Manhour Sum"}</definedName>
    <definedName name="asfasdfasdf" localSheetId="0" hidden="1">{#N/A,#N/A,FALSE,"Sum6 (1)"}</definedName>
    <definedName name="asfasdfasdf" localSheetId="1" hidden="1">{#N/A,#N/A,FALSE,"Sum6 (1)"}</definedName>
    <definedName name="asfasdfasdf" localSheetId="2" hidden="1">{#N/A,#N/A,FALSE,"Sum6 (1)"}</definedName>
    <definedName name="asfasdfasdf" hidden="1">{#N/A,#N/A,FALSE,"Sum6 (1)"}</definedName>
    <definedName name="AsSoldExcRev" localSheetId="0" hidden="1">{#N/A,#N/A,FALSE,"Sum6 (1)"}</definedName>
    <definedName name="AsSoldExcRev" localSheetId="1" hidden="1">{#N/A,#N/A,FALSE,"Sum6 (1)"}</definedName>
    <definedName name="AsSoldExcRev" localSheetId="2" hidden="1">{#N/A,#N/A,FALSE,"Sum6 (1)"}</definedName>
    <definedName name="AsSoldExcRev" hidden="1">{#N/A,#N/A,FALSE,"Sum6 (1)"}</definedName>
    <definedName name="AsSoldExcRev_1" localSheetId="0" hidden="1">{#N/A,#N/A,FALSE,"Sum6 (1)"}</definedName>
    <definedName name="AsSoldExcRev_1" localSheetId="1" hidden="1">{#N/A,#N/A,FALSE,"Sum6 (1)"}</definedName>
    <definedName name="AsSoldExcRev_1" localSheetId="2" hidden="1">{#N/A,#N/A,FALSE,"Sum6 (1)"}</definedName>
    <definedName name="AsSoldExcRev_1" hidden="1">{#N/A,#N/A,FALSE,"Sum6 (1)"}</definedName>
    <definedName name="AsSoldExcRev_2" localSheetId="0" hidden="1">{#N/A,#N/A,FALSE,"Sum6 (1)"}</definedName>
    <definedName name="AsSoldExcRev_2" localSheetId="1" hidden="1">{#N/A,#N/A,FALSE,"Sum6 (1)"}</definedName>
    <definedName name="AsSoldExcRev_2" localSheetId="2" hidden="1">{#N/A,#N/A,FALSE,"Sum6 (1)"}</definedName>
    <definedName name="AsSoldExcRev_2" hidden="1">{#N/A,#N/A,FALSE,"Sum6 (1)"}</definedName>
    <definedName name="b" localSheetId="0" hidden="1">{#N/A,#N/A,TRUE,"Task Status";#N/A,#N/A,TRUE,"Document Status";#N/A,#N/A,TRUE,"Percent Complete";#N/A,#N/A,TRUE,"Manhour Sum"}</definedName>
    <definedName name="b" localSheetId="1" hidden="1">{#N/A,#N/A,TRUE,"Task Status";#N/A,#N/A,TRUE,"Document Status";#N/A,#N/A,TRUE,"Percent Complete";#N/A,#N/A,TRUE,"Manhour Sum"}</definedName>
    <definedName name="b" localSheetId="2" hidden="1">{#N/A,#N/A,TRUE,"Task Status";#N/A,#N/A,TRUE,"Document Status";#N/A,#N/A,TRUE,"Percent Complete";#N/A,#N/A,TRUE,"Manhour Sum"}</definedName>
    <definedName name="b" hidden="1">{#N/A,#N/A,TRUE,"Task Status";#N/A,#N/A,TRUE,"Document Status";#N/A,#N/A,TRUE,"Percent Complete";#N/A,#N/A,TRUE,"Manhour Sum"}</definedName>
    <definedName name="b_1" localSheetId="0" hidden="1">{#N/A,#N/A,TRUE,"Task Status";#N/A,#N/A,TRUE,"Document Status";#N/A,#N/A,TRUE,"Percent Complete";#N/A,#N/A,TRUE,"Manhour Sum"}</definedName>
    <definedName name="b_1" localSheetId="1" hidden="1">{#N/A,#N/A,TRUE,"Task Status";#N/A,#N/A,TRUE,"Document Status";#N/A,#N/A,TRUE,"Percent Complete";#N/A,#N/A,TRUE,"Manhour Sum"}</definedName>
    <definedName name="b_1" localSheetId="2" hidden="1">{#N/A,#N/A,TRUE,"Task Status";#N/A,#N/A,TRUE,"Document Status";#N/A,#N/A,TRUE,"Percent Complete";#N/A,#N/A,TRUE,"Manhour Sum"}</definedName>
    <definedName name="b_1" hidden="1">{#N/A,#N/A,TRUE,"Task Status";#N/A,#N/A,TRUE,"Document Status";#N/A,#N/A,TRUE,"Percent Complete";#N/A,#N/A,TRUE,"Manhour Sum"}</definedName>
    <definedName name="b_2" localSheetId="0" hidden="1">{#N/A,#N/A,TRUE,"Task Status";#N/A,#N/A,TRUE,"Document Status";#N/A,#N/A,TRUE,"Percent Complete";#N/A,#N/A,TRUE,"Manhour Sum"}</definedName>
    <definedName name="b_2" localSheetId="1" hidden="1">{#N/A,#N/A,TRUE,"Task Status";#N/A,#N/A,TRUE,"Document Status";#N/A,#N/A,TRUE,"Percent Complete";#N/A,#N/A,TRUE,"Manhour Sum"}</definedName>
    <definedName name="b_2" localSheetId="2" hidden="1">{#N/A,#N/A,TRUE,"Task Status";#N/A,#N/A,TRUE,"Document Status";#N/A,#N/A,TRUE,"Percent Complete";#N/A,#N/A,TRUE,"Manhour Sum"}</definedName>
    <definedName name="b_2" hidden="1">{#N/A,#N/A,TRUE,"Task Status";#N/A,#N/A,TRUE,"Document Status";#N/A,#N/A,TRUE,"Percent Complete";#N/A,#N/A,TRUE,"Manhour Sum"}</definedName>
    <definedName name="Bulk" localSheetId="0" hidden="1">{#N/A,#N/A,FALSE,"Sum6 (1)"}</definedName>
    <definedName name="Bulk" localSheetId="1" hidden="1">{#N/A,#N/A,FALSE,"Sum6 (1)"}</definedName>
    <definedName name="Bulk" localSheetId="2" hidden="1">{#N/A,#N/A,FALSE,"Sum6 (1)"}</definedName>
    <definedName name="Bulk" hidden="1">{#N/A,#N/A,FALSE,"Sum6 (1)"}</definedName>
    <definedName name="cc_1" localSheetId="0" hidden="1">{#N/A,#N/A,TRUE,"Task Status";#N/A,#N/A,TRUE,"Document Status";#N/A,#N/A,TRUE,"Percent Complete";#N/A,#N/A,TRUE,"Manhour Sum"}</definedName>
    <definedName name="cc_1" localSheetId="1" hidden="1">{#N/A,#N/A,TRUE,"Task Status";#N/A,#N/A,TRUE,"Document Status";#N/A,#N/A,TRUE,"Percent Complete";#N/A,#N/A,TRUE,"Manhour Sum"}</definedName>
    <definedName name="cc_1" localSheetId="2" hidden="1">{#N/A,#N/A,TRUE,"Task Status";#N/A,#N/A,TRUE,"Document Status";#N/A,#N/A,TRUE,"Percent Complete";#N/A,#N/A,TRUE,"Manhour Sum"}</definedName>
    <definedName name="cc_1" hidden="1">{#N/A,#N/A,TRUE,"Task Status";#N/A,#N/A,TRUE,"Document Status";#N/A,#N/A,TRUE,"Percent Complete";#N/A,#N/A,TRUE,"Manhour Sum"}</definedName>
    <definedName name="cc_2" localSheetId="0" hidden="1">{#N/A,#N/A,TRUE,"Task Status";#N/A,#N/A,TRUE,"Document Status";#N/A,#N/A,TRUE,"Percent Complete";#N/A,#N/A,TRUE,"Manhour Sum"}</definedName>
    <definedName name="cc_2" localSheetId="1" hidden="1">{#N/A,#N/A,TRUE,"Task Status";#N/A,#N/A,TRUE,"Document Status";#N/A,#N/A,TRUE,"Percent Complete";#N/A,#N/A,TRUE,"Manhour Sum"}</definedName>
    <definedName name="cc_2" localSheetId="2" hidden="1">{#N/A,#N/A,TRUE,"Task Status";#N/A,#N/A,TRUE,"Document Status";#N/A,#N/A,TRUE,"Percent Complete";#N/A,#N/A,TRUE,"Manhour Sum"}</definedName>
    <definedName name="cc_2" hidden="1">{#N/A,#N/A,TRUE,"Task Status";#N/A,#N/A,TRUE,"Document Status";#N/A,#N/A,TRUE,"Percent Complete";#N/A,#N/A,TRUE,"Manhour Sum"}</definedName>
    <definedName name="CCC" localSheetId="0" hidden="1">{#N/A,#N/A,FALSE,"Sum6 (1)"}</definedName>
    <definedName name="CCC" localSheetId="1" hidden="1">{#N/A,#N/A,FALSE,"Sum6 (1)"}</definedName>
    <definedName name="CCC" localSheetId="2" hidden="1">{#N/A,#N/A,FALSE,"Sum6 (1)"}</definedName>
    <definedName name="CCC" hidden="1">{#N/A,#N/A,FALSE,"Sum6 (1)"}</definedName>
    <definedName name="CCC_1" localSheetId="0" hidden="1">{#N/A,#N/A,FALSE,"Sum6 (1)"}</definedName>
    <definedName name="CCC_1" localSheetId="1" hidden="1">{#N/A,#N/A,FALSE,"Sum6 (1)"}</definedName>
    <definedName name="CCC_1" localSheetId="2" hidden="1">{#N/A,#N/A,FALSE,"Sum6 (1)"}</definedName>
    <definedName name="CCC_1" hidden="1">{#N/A,#N/A,FALSE,"Sum6 (1)"}</definedName>
    <definedName name="CCC_2" localSheetId="0" hidden="1">{#N/A,#N/A,FALSE,"Sum6 (1)"}</definedName>
    <definedName name="CCC_2" localSheetId="1" hidden="1">{#N/A,#N/A,FALSE,"Sum6 (1)"}</definedName>
    <definedName name="CCC_2" localSheetId="2" hidden="1">{#N/A,#N/A,FALSE,"Sum6 (1)"}</definedName>
    <definedName name="CCC_2" hidden="1">{#N/A,#N/A,FALSE,"Sum6 (1)"}</definedName>
    <definedName name="Combined" localSheetId="0" hidden="1">{#N/A,#N/A,TRUE,"Task Status";#N/A,#N/A,TRUE,"Document Status";#N/A,#N/A,TRUE,"Percent Complete";#N/A,#N/A,TRUE,"Manhour Sum"}</definedName>
    <definedName name="Combined" localSheetId="1" hidden="1">{#N/A,#N/A,TRUE,"Task Status";#N/A,#N/A,TRUE,"Document Status";#N/A,#N/A,TRUE,"Percent Complete";#N/A,#N/A,TRUE,"Manhour Sum"}</definedName>
    <definedName name="Combined" localSheetId="2" hidden="1">{#N/A,#N/A,TRUE,"Task Status";#N/A,#N/A,TRUE,"Document Status";#N/A,#N/A,TRUE,"Percent Complete";#N/A,#N/A,TRUE,"Manhour Sum"}</definedName>
    <definedName name="Combined" hidden="1">{#N/A,#N/A,TRUE,"Task Status";#N/A,#N/A,TRUE,"Document Status";#N/A,#N/A,TRUE,"Percent Complete";#N/A,#N/A,TRUE,"Manhour Sum"}</definedName>
    <definedName name="Company">'[2]Data Input sheet'!$D$19</definedName>
    <definedName name="cvgf" localSheetId="0" hidden="1">{"Rev 0 Normal",#N/A,FALSE,"FNM Plan-Rev 0";"Rev 0 Pricing",#N/A,FALSE,"FNM Plan-Rev 0"}</definedName>
    <definedName name="cvgf" localSheetId="1" hidden="1">{"Rev 0 Normal",#N/A,FALSE,"FNM Plan-Rev 0";"Rev 0 Pricing",#N/A,FALSE,"FNM Plan-Rev 0"}</definedName>
    <definedName name="cvgf" localSheetId="2" hidden="1">{"Rev 0 Normal",#N/A,FALSE,"FNM Plan-Rev 0";"Rev 0 Pricing",#N/A,FALSE,"FNM Plan-Rev 0"}</definedName>
    <definedName name="cvgf" hidden="1">{"Rev 0 Normal",#N/A,FALSE,"FNM Plan-Rev 0";"Rev 0 Pricing",#N/A,FALSE,"FNM Plan-Rev 0"}</definedName>
    <definedName name="dddssd" localSheetId="0" hidden="1">{#N/A,#N/A,TRUE,"Task Status";#N/A,#N/A,TRUE,"Document Status";#N/A,#N/A,TRUE,"Percent Complete";#N/A,#N/A,TRUE,"Manhour Sum"}</definedName>
    <definedName name="dddssd" localSheetId="1" hidden="1">{#N/A,#N/A,TRUE,"Task Status";#N/A,#N/A,TRUE,"Document Status";#N/A,#N/A,TRUE,"Percent Complete";#N/A,#N/A,TRUE,"Manhour Sum"}</definedName>
    <definedName name="dddssd" localSheetId="2" hidden="1">{#N/A,#N/A,TRUE,"Task Status";#N/A,#N/A,TRUE,"Document Status";#N/A,#N/A,TRUE,"Percent Complete";#N/A,#N/A,TRUE,"Manhour Sum"}</definedName>
    <definedName name="dddssd" hidden="1">{#N/A,#N/A,TRUE,"Task Status";#N/A,#N/A,TRUE,"Document Status";#N/A,#N/A,TRUE,"Percent Complete";#N/A,#N/A,TRUE,"Manhour Sum"}</definedName>
    <definedName name="DELTA" localSheetId="0" hidden="1">{#N/A,#N/A,FALSE,"Sum6 (1)"}</definedName>
    <definedName name="DELTA" localSheetId="1" hidden="1">{#N/A,#N/A,FALSE,"Sum6 (1)"}</definedName>
    <definedName name="DELTA" localSheetId="2" hidden="1">{#N/A,#N/A,FALSE,"Sum6 (1)"}</definedName>
    <definedName name="DELTA" hidden="1">{#N/A,#N/A,FALSE,"Sum6 (1)"}</definedName>
    <definedName name="DELTA_1" localSheetId="0" hidden="1">{#N/A,#N/A,FALSE,"Sum6 (1)"}</definedName>
    <definedName name="DELTA_1" localSheetId="1" hidden="1">{#N/A,#N/A,FALSE,"Sum6 (1)"}</definedName>
    <definedName name="DELTA_1" localSheetId="2" hidden="1">{#N/A,#N/A,FALSE,"Sum6 (1)"}</definedName>
    <definedName name="DELTA_1" hidden="1">{#N/A,#N/A,FALSE,"Sum6 (1)"}</definedName>
    <definedName name="DELTA_2" localSheetId="0" hidden="1">{#N/A,#N/A,FALSE,"Sum6 (1)"}</definedName>
    <definedName name="DELTA_2" localSheetId="1" hidden="1">{#N/A,#N/A,FALSE,"Sum6 (1)"}</definedName>
    <definedName name="DELTA_2" localSheetId="2" hidden="1">{#N/A,#N/A,FALSE,"Sum6 (1)"}</definedName>
    <definedName name="DELTA_2" hidden="1">{#N/A,#N/A,FALSE,"Sum6 (1)"}</definedName>
    <definedName name="dfgwre" localSheetId="0" hidden="1">{#N/A,#N/A,TRUE,"Task Status";#N/A,#N/A,TRUE,"Document Status";#N/A,#N/A,TRUE,"Percent Complete";#N/A,#N/A,TRUE,"Manhour Sum"}</definedName>
    <definedName name="dfgwre" localSheetId="1" hidden="1">{#N/A,#N/A,TRUE,"Task Status";#N/A,#N/A,TRUE,"Document Status";#N/A,#N/A,TRUE,"Percent Complete";#N/A,#N/A,TRUE,"Manhour Sum"}</definedName>
    <definedName name="dfgwre" localSheetId="2" hidden="1">{#N/A,#N/A,TRUE,"Task Status";#N/A,#N/A,TRUE,"Document Status";#N/A,#N/A,TRUE,"Percent Complete";#N/A,#N/A,TRUE,"Manhour Sum"}</definedName>
    <definedName name="dfgwre" hidden="1">{#N/A,#N/A,TRUE,"Task Status";#N/A,#N/A,TRUE,"Document Status";#N/A,#N/A,TRUE,"Percent Complete";#N/A,#N/A,TRUE,"Manhour Sum"}</definedName>
    <definedName name="dfhws" localSheetId="0" hidden="1">{#N/A,#N/A,TRUE,"Task Status";#N/A,#N/A,TRUE,"Document Status";#N/A,#N/A,TRUE,"Percent Complete";#N/A,#N/A,TRUE,"Manhour Sum"}</definedName>
    <definedName name="dfhws" localSheetId="1" hidden="1">{#N/A,#N/A,TRUE,"Task Status";#N/A,#N/A,TRUE,"Document Status";#N/A,#N/A,TRUE,"Percent Complete";#N/A,#N/A,TRUE,"Manhour Sum"}</definedName>
    <definedName name="dfhws" localSheetId="2" hidden="1">{#N/A,#N/A,TRUE,"Task Status";#N/A,#N/A,TRUE,"Document Status";#N/A,#N/A,TRUE,"Percent Complete";#N/A,#N/A,TRUE,"Manhour Sum"}</definedName>
    <definedName name="dfhws" hidden="1">{#N/A,#N/A,TRUE,"Task Status";#N/A,#N/A,TRUE,"Document Status";#N/A,#N/A,TRUE,"Percent Complete";#N/A,#N/A,TRUE,"Manhour Sum"}</definedName>
    <definedName name="EL" localSheetId="0" hidden="1">{#N/A,#N/A,TRUE,"Task Status";#N/A,#N/A,TRUE,"Document Status";#N/A,#N/A,TRUE,"Percent Complete";#N/A,#N/A,TRUE,"Manhour Sum"}</definedName>
    <definedName name="EL" localSheetId="1" hidden="1">{#N/A,#N/A,TRUE,"Task Status";#N/A,#N/A,TRUE,"Document Status";#N/A,#N/A,TRUE,"Percent Complete";#N/A,#N/A,TRUE,"Manhour Sum"}</definedName>
    <definedName name="EL" localSheetId="2" hidden="1">{#N/A,#N/A,TRUE,"Task Status";#N/A,#N/A,TRUE,"Document Status";#N/A,#N/A,TRUE,"Percent Complete";#N/A,#N/A,TRUE,"Manhour Sum"}</definedName>
    <definedName name="EL" hidden="1">{#N/A,#N/A,TRUE,"Task Status";#N/A,#N/A,TRUE,"Document Status";#N/A,#N/A,TRUE,"Percent Complete";#N/A,#N/A,TRUE,"Manhour Sum"}</definedName>
    <definedName name="EL_1" localSheetId="0" hidden="1">{#N/A,#N/A,TRUE,"Task Status";#N/A,#N/A,TRUE,"Document Status";#N/A,#N/A,TRUE,"Percent Complete";#N/A,#N/A,TRUE,"Manhour Sum"}</definedName>
    <definedName name="EL_1" localSheetId="1" hidden="1">{#N/A,#N/A,TRUE,"Task Status";#N/A,#N/A,TRUE,"Document Status";#N/A,#N/A,TRUE,"Percent Complete";#N/A,#N/A,TRUE,"Manhour Sum"}</definedName>
    <definedName name="EL_1" localSheetId="2" hidden="1">{#N/A,#N/A,TRUE,"Task Status";#N/A,#N/A,TRUE,"Document Status";#N/A,#N/A,TRUE,"Percent Complete";#N/A,#N/A,TRUE,"Manhour Sum"}</definedName>
    <definedName name="EL_1" hidden="1">{#N/A,#N/A,TRUE,"Task Status";#N/A,#N/A,TRUE,"Document Status";#N/A,#N/A,TRUE,"Percent Complete";#N/A,#N/A,TRUE,"Manhour Sum"}</definedName>
    <definedName name="EL_2" localSheetId="0" hidden="1">{#N/A,#N/A,TRUE,"Task Status";#N/A,#N/A,TRUE,"Document Status";#N/A,#N/A,TRUE,"Percent Complete";#N/A,#N/A,TRUE,"Manhour Sum"}</definedName>
    <definedName name="EL_2" localSheetId="1" hidden="1">{#N/A,#N/A,TRUE,"Task Status";#N/A,#N/A,TRUE,"Document Status";#N/A,#N/A,TRUE,"Percent Complete";#N/A,#N/A,TRUE,"Manhour Sum"}</definedName>
    <definedName name="EL_2" localSheetId="2" hidden="1">{#N/A,#N/A,TRUE,"Task Status";#N/A,#N/A,TRUE,"Document Status";#N/A,#N/A,TRUE,"Percent Complete";#N/A,#N/A,TRUE,"Manhour Sum"}</definedName>
    <definedName name="EL_2" hidden="1">{#N/A,#N/A,TRUE,"Task Status";#N/A,#N/A,TRUE,"Document Status";#N/A,#N/A,TRUE,"Percent Complete";#N/A,#N/A,TRUE,"Manhour Sum"}</definedName>
    <definedName name="Electrical" localSheetId="0" hidden="1">{#N/A,#N/A,TRUE,"Task Status";#N/A,#N/A,TRUE,"Document Status";#N/A,#N/A,TRUE,"Percent Complete";#N/A,#N/A,TRUE,"Manhour Sum"}</definedName>
    <definedName name="Electrical" localSheetId="1" hidden="1">{#N/A,#N/A,TRUE,"Task Status";#N/A,#N/A,TRUE,"Document Status";#N/A,#N/A,TRUE,"Percent Complete";#N/A,#N/A,TRUE,"Manhour Sum"}</definedName>
    <definedName name="Electrical" localSheetId="2" hidden="1">{#N/A,#N/A,TRUE,"Task Status";#N/A,#N/A,TRUE,"Document Status";#N/A,#N/A,TRUE,"Percent Complete";#N/A,#N/A,TRUE,"Manhour Sum"}</definedName>
    <definedName name="Electrical" hidden="1">{#N/A,#N/A,TRUE,"Task Status";#N/A,#N/A,TRUE,"Document Status";#N/A,#N/A,TRUE,"Percent Complete";#N/A,#N/A,TRUE,"Manhour Sum"}</definedName>
    <definedName name="Electrical_1" localSheetId="0" hidden="1">{#N/A,#N/A,TRUE,"Task Status";#N/A,#N/A,TRUE,"Document Status";#N/A,#N/A,TRUE,"Percent Complete";#N/A,#N/A,TRUE,"Manhour Sum"}</definedName>
    <definedName name="Electrical_1" localSheetId="1" hidden="1">{#N/A,#N/A,TRUE,"Task Status";#N/A,#N/A,TRUE,"Document Status";#N/A,#N/A,TRUE,"Percent Complete";#N/A,#N/A,TRUE,"Manhour Sum"}</definedName>
    <definedName name="Electrical_1" localSheetId="2" hidden="1">{#N/A,#N/A,TRUE,"Task Status";#N/A,#N/A,TRUE,"Document Status";#N/A,#N/A,TRUE,"Percent Complete";#N/A,#N/A,TRUE,"Manhour Sum"}</definedName>
    <definedName name="Electrical_1" hidden="1">{#N/A,#N/A,TRUE,"Task Status";#N/A,#N/A,TRUE,"Document Status";#N/A,#N/A,TRUE,"Percent Complete";#N/A,#N/A,TRUE,"Manhour Sum"}</definedName>
    <definedName name="Electrical_2" localSheetId="0" hidden="1">{#N/A,#N/A,TRUE,"Task Status";#N/A,#N/A,TRUE,"Document Status";#N/A,#N/A,TRUE,"Percent Complete";#N/A,#N/A,TRUE,"Manhour Sum"}</definedName>
    <definedName name="Electrical_2" localSheetId="1" hidden="1">{#N/A,#N/A,TRUE,"Task Status";#N/A,#N/A,TRUE,"Document Status";#N/A,#N/A,TRUE,"Percent Complete";#N/A,#N/A,TRUE,"Manhour Sum"}</definedName>
    <definedName name="Electrical_2" localSheetId="2" hidden="1">{#N/A,#N/A,TRUE,"Task Status";#N/A,#N/A,TRUE,"Document Status";#N/A,#N/A,TRUE,"Percent Complete";#N/A,#N/A,TRUE,"Manhour Sum"}</definedName>
    <definedName name="Electrical_2" hidden="1">{#N/A,#N/A,TRUE,"Task Status";#N/A,#N/A,TRUE,"Document Status";#N/A,#N/A,TRUE,"Percent Complete";#N/A,#N/A,TRUE,"Manhour Sum"}</definedName>
    <definedName name="erqwer" localSheetId="0" hidden="1">{#N/A,#N/A,FALSE,"Sum6 (1)"}</definedName>
    <definedName name="erqwer" localSheetId="1" hidden="1">{#N/A,#N/A,FALSE,"Sum6 (1)"}</definedName>
    <definedName name="erqwer" localSheetId="2" hidden="1">{#N/A,#N/A,FALSE,"Sum6 (1)"}</definedName>
    <definedName name="erqwer" hidden="1">{#N/A,#N/A,FALSE,"Sum6 (1)"}</definedName>
    <definedName name="erwerty" localSheetId="0" hidden="1">{#N/A,#N/A,FALSE,"Sum6 (1)"}</definedName>
    <definedName name="erwerty" localSheetId="1" hidden="1">{#N/A,#N/A,FALSE,"Sum6 (1)"}</definedName>
    <definedName name="erwerty" localSheetId="2" hidden="1">{#N/A,#N/A,FALSE,"Sum6 (1)"}</definedName>
    <definedName name="erwerty" hidden="1">{#N/A,#N/A,FALSE,"Sum6 (1)"}</definedName>
    <definedName name="erymk" localSheetId="0" hidden="1">{#N/A,#N/A,TRUE,"Task Status";#N/A,#N/A,TRUE,"Document Status";#N/A,#N/A,TRUE,"Percent Complete";#N/A,#N/A,TRUE,"Manhour Sum"}</definedName>
    <definedName name="erymk" localSheetId="1" hidden="1">{#N/A,#N/A,TRUE,"Task Status";#N/A,#N/A,TRUE,"Document Status";#N/A,#N/A,TRUE,"Percent Complete";#N/A,#N/A,TRUE,"Manhour Sum"}</definedName>
    <definedName name="erymk" localSheetId="2" hidden="1">{#N/A,#N/A,TRUE,"Task Status";#N/A,#N/A,TRUE,"Document Status";#N/A,#N/A,TRUE,"Percent Complete";#N/A,#N/A,TRUE,"Manhour Sum"}</definedName>
    <definedName name="erymk" hidden="1">{#N/A,#N/A,TRUE,"Task Status";#N/A,#N/A,TRUE,"Document Status";#N/A,#N/A,TRUE,"Percent Complete";#N/A,#N/A,TRUE,"Manhour Sum"}</definedName>
    <definedName name="EstimateNumber">'[2]Data Input sheet'!$C$4</definedName>
    <definedName name="etyik" localSheetId="0" hidden="1">{#N/A,#N/A,TRUE,"Task Status";#N/A,#N/A,TRUE,"Document Status";#N/A,#N/A,TRUE,"Percent Complete";#N/A,#N/A,TRUE,"Manhour Sum"}</definedName>
    <definedName name="etyik" localSheetId="1" hidden="1">{#N/A,#N/A,TRUE,"Task Status";#N/A,#N/A,TRUE,"Document Status";#N/A,#N/A,TRUE,"Percent Complete";#N/A,#N/A,TRUE,"Manhour Sum"}</definedName>
    <definedName name="etyik" localSheetId="2" hidden="1">{#N/A,#N/A,TRUE,"Task Status";#N/A,#N/A,TRUE,"Document Status";#N/A,#N/A,TRUE,"Percent Complete";#N/A,#N/A,TRUE,"Manhour Sum"}</definedName>
    <definedName name="etyik" hidden="1">{#N/A,#N/A,TRUE,"Task Status";#N/A,#N/A,TRUE,"Document Status";#N/A,#N/A,TRUE,"Percent Complete";#N/A,#N/A,TRUE,"Manhour Sum"}</definedName>
    <definedName name="f" localSheetId="0" hidden="1">{#N/A,#N/A,TRUE,"Task Status";#N/A,#N/A,TRUE,"Document Status";#N/A,#N/A,TRUE,"Percent Complete";#N/A,#N/A,TRUE,"Manhour Sum"}</definedName>
    <definedName name="f" localSheetId="1" hidden="1">{#N/A,#N/A,TRUE,"Task Status";#N/A,#N/A,TRUE,"Document Status";#N/A,#N/A,TRUE,"Percent Complete";#N/A,#N/A,TRUE,"Manhour Sum"}</definedName>
    <definedName name="f" localSheetId="2" hidden="1">{#N/A,#N/A,TRUE,"Task Status";#N/A,#N/A,TRUE,"Document Status";#N/A,#N/A,TRUE,"Percent Complete";#N/A,#N/A,TRUE,"Manhour Sum"}</definedName>
    <definedName name="f" hidden="1">{#N/A,#N/A,TRUE,"Task Status";#N/A,#N/A,TRUE,"Document Status";#N/A,#N/A,TRUE,"Percent Complete";#N/A,#N/A,TRUE,"Manhour Sum"}</definedName>
    <definedName name="fff" localSheetId="0" hidden="1">{#N/A,#N/A,TRUE,"Task Status";#N/A,#N/A,TRUE,"Document Status";#N/A,#N/A,TRUE,"Percent Complete";#N/A,#N/A,TRUE,"Manhour Sum"}</definedName>
    <definedName name="fff" localSheetId="1" hidden="1">{#N/A,#N/A,TRUE,"Task Status";#N/A,#N/A,TRUE,"Document Status";#N/A,#N/A,TRUE,"Percent Complete";#N/A,#N/A,TRUE,"Manhour Sum"}</definedName>
    <definedName name="fff" localSheetId="2" hidden="1">{#N/A,#N/A,TRUE,"Task Status";#N/A,#N/A,TRUE,"Document Status";#N/A,#N/A,TRUE,"Percent Complete";#N/A,#N/A,TRUE,"Manhour Sum"}</definedName>
    <definedName name="fff" hidden="1">{#N/A,#N/A,TRUE,"Task Status";#N/A,#N/A,TRUE,"Document Status";#N/A,#N/A,TRUE,"Percent Complete";#N/A,#N/A,TRUE,"Manhour Sum"}</definedName>
    <definedName name="ggfsf" localSheetId="0" hidden="1">{#N/A,#N/A,TRUE,"Task Status";#N/A,#N/A,TRUE,"Document Status";#N/A,#N/A,TRUE,"Percent Complete";#N/A,#N/A,TRUE,"Manhour Sum"}</definedName>
    <definedName name="ggfsf" localSheetId="1" hidden="1">{#N/A,#N/A,TRUE,"Task Status";#N/A,#N/A,TRUE,"Document Status";#N/A,#N/A,TRUE,"Percent Complete";#N/A,#N/A,TRUE,"Manhour Sum"}</definedName>
    <definedName name="ggfsf" localSheetId="2" hidden="1">{#N/A,#N/A,TRUE,"Task Status";#N/A,#N/A,TRUE,"Document Status";#N/A,#N/A,TRUE,"Percent Complete";#N/A,#N/A,TRUE,"Manhour Sum"}</definedName>
    <definedName name="ggfsf" hidden="1">{#N/A,#N/A,TRUE,"Task Status";#N/A,#N/A,TRUE,"Document Status";#N/A,#N/A,TRUE,"Percent Complete";#N/A,#N/A,TRUE,"Manhour Sum"}</definedName>
    <definedName name="gonogo" localSheetId="0" hidden="1">{#N/A,#N/A,FALSE,"F. Tax Analysis";#N/A,#N/A,FALSE,"G. Bond Analysis";#N/A,#N/A,FALSE,"H. Insurance Analysis"}</definedName>
    <definedName name="gonogo" localSheetId="1" hidden="1">{#N/A,#N/A,FALSE,"F. Tax Analysis";#N/A,#N/A,FALSE,"G. Bond Analysis";#N/A,#N/A,FALSE,"H. Insurance Analysis"}</definedName>
    <definedName name="gonogo" localSheetId="2" hidden="1">{#N/A,#N/A,FALSE,"F. Tax Analysis";#N/A,#N/A,FALSE,"G. Bond Analysis";#N/A,#N/A,FALSE,"H. Insurance Analysis"}</definedName>
    <definedName name="gonogo" hidden="1">{#N/A,#N/A,FALSE,"F. Tax Analysis";#N/A,#N/A,FALSE,"G. Bond Analysis";#N/A,#N/A,FALSE,"H. Insurance Analysis"}</definedName>
    <definedName name="grasdf" localSheetId="0" hidden="1">{#N/A,#N/A,FALSE,"Sum6 (1)"}</definedName>
    <definedName name="grasdf" localSheetId="1" hidden="1">{#N/A,#N/A,FALSE,"Sum6 (1)"}</definedName>
    <definedName name="grasdf" localSheetId="2" hidden="1">{#N/A,#N/A,FALSE,"Sum6 (1)"}</definedName>
    <definedName name="grasdf" hidden="1">{#N/A,#N/A,FALSE,"Sum6 (1)"}</definedName>
    <definedName name="grog" localSheetId="0" hidden="1">{#N/A,#N/A,TRUE,"Task Status";#N/A,#N/A,TRUE,"Document Status";#N/A,#N/A,TRUE,"Percent Complete";#N/A,#N/A,TRUE,"Manhour Sum"}</definedName>
    <definedName name="grog" localSheetId="1" hidden="1">{#N/A,#N/A,TRUE,"Task Status";#N/A,#N/A,TRUE,"Document Status";#N/A,#N/A,TRUE,"Percent Complete";#N/A,#N/A,TRUE,"Manhour Sum"}</definedName>
    <definedName name="grog" localSheetId="2" hidden="1">{#N/A,#N/A,TRUE,"Task Status";#N/A,#N/A,TRUE,"Document Status";#N/A,#N/A,TRUE,"Percent Complete";#N/A,#N/A,TRUE,"Manhour Sum"}</definedName>
    <definedName name="grog" hidden="1">{#N/A,#N/A,TRUE,"Task Status";#N/A,#N/A,TRUE,"Document Status";#N/A,#N/A,TRUE,"Percent Complete";#N/A,#N/A,TRUE,"Manhour Sum"}</definedName>
    <definedName name="HHeight">#REF!</definedName>
    <definedName name="ID" localSheetId="0" hidden="1">"f475782a-6346-43d8-9792-dcc7277fa3e6"</definedName>
    <definedName name="ID" localSheetId="1" hidden="1">"f475782a-6346-43d8-9792-dcc7277fa3e6"</definedName>
    <definedName name="j" localSheetId="0" hidden="1">{#N/A,#N/A,TRUE,"Task Status";#N/A,#N/A,TRUE,"Document Status";#N/A,#N/A,TRUE,"Percent Complete";#N/A,#N/A,TRUE,"Manhour Sum"}</definedName>
    <definedName name="j" localSheetId="1" hidden="1">{#N/A,#N/A,TRUE,"Task Status";#N/A,#N/A,TRUE,"Document Status";#N/A,#N/A,TRUE,"Percent Complete";#N/A,#N/A,TRUE,"Manhour Sum"}</definedName>
    <definedName name="j" localSheetId="2" hidden="1">{#N/A,#N/A,TRUE,"Task Status";#N/A,#N/A,TRUE,"Document Status";#N/A,#N/A,TRUE,"Percent Complete";#N/A,#N/A,TRUE,"Manhour Sum"}</definedName>
    <definedName name="j" hidden="1">{#N/A,#N/A,TRUE,"Task Status";#N/A,#N/A,TRUE,"Document Status";#N/A,#N/A,TRUE,"Percent Complete";#N/A,#N/A,TRUE,"Manhour Sum"}</definedName>
    <definedName name="JAN_OF_CASHFLOW_START_YEAR">#N/A</definedName>
    <definedName name="jjjj" localSheetId="0" hidden="1">{#N/A,#N/A,TRUE,"Task Status";#N/A,#N/A,TRUE,"Document Status";#N/A,#N/A,TRUE,"Percent Complete";#N/A,#N/A,TRUE,"Manhour Sum"}</definedName>
    <definedName name="jjjj" localSheetId="1" hidden="1">{#N/A,#N/A,TRUE,"Task Status";#N/A,#N/A,TRUE,"Document Status";#N/A,#N/A,TRUE,"Percent Complete";#N/A,#N/A,TRUE,"Manhour Sum"}</definedName>
    <definedName name="jjjj" localSheetId="2" hidden="1">{#N/A,#N/A,TRUE,"Task Status";#N/A,#N/A,TRUE,"Document Status";#N/A,#N/A,TRUE,"Percent Complete";#N/A,#N/A,TRUE,"Manhour Sum"}</definedName>
    <definedName name="jjjj" hidden="1">{#N/A,#N/A,TRUE,"Task Status";#N/A,#N/A,TRUE,"Document Status";#N/A,#N/A,TRUE,"Percent Complete";#N/A,#N/A,TRUE,"Manhour Sum"}</definedName>
    <definedName name="jjjjjj" localSheetId="0" hidden="1">{#N/A,#N/A,TRUE,"Task Status";#N/A,#N/A,TRUE,"Document Status";#N/A,#N/A,TRUE,"Percent Complete";#N/A,#N/A,TRUE,"Manhour Sum"}</definedName>
    <definedName name="jjjjjj" localSheetId="1" hidden="1">{#N/A,#N/A,TRUE,"Task Status";#N/A,#N/A,TRUE,"Document Status";#N/A,#N/A,TRUE,"Percent Complete";#N/A,#N/A,TRUE,"Manhour Sum"}</definedName>
    <definedName name="jjjjjj" localSheetId="2" hidden="1">{#N/A,#N/A,TRUE,"Task Status";#N/A,#N/A,TRUE,"Document Status";#N/A,#N/A,TRUE,"Percent Complete";#N/A,#N/A,TRUE,"Manhour Sum"}</definedName>
    <definedName name="jjjjjj" hidden="1">{#N/A,#N/A,TRUE,"Task Status";#N/A,#N/A,TRUE,"Document Status";#N/A,#N/A,TRUE,"Percent Complete";#N/A,#N/A,TRUE,"Manhour Sum"}</definedName>
    <definedName name="jrmk" localSheetId="0" hidden="1">{#N/A,#N/A,TRUE,"Task Status";#N/A,#N/A,TRUE,"Document Status";#N/A,#N/A,TRUE,"Percent Complete";#N/A,#N/A,TRUE,"Manhour Sum"}</definedName>
    <definedName name="jrmk" localSheetId="1" hidden="1">{#N/A,#N/A,TRUE,"Task Status";#N/A,#N/A,TRUE,"Document Status";#N/A,#N/A,TRUE,"Percent Complete";#N/A,#N/A,TRUE,"Manhour Sum"}</definedName>
    <definedName name="jrmk" localSheetId="2" hidden="1">{#N/A,#N/A,TRUE,"Task Status";#N/A,#N/A,TRUE,"Document Status";#N/A,#N/A,TRUE,"Percent Complete";#N/A,#N/A,TRUE,"Manhour Sum"}</definedName>
    <definedName name="jrmk" hidden="1">{#N/A,#N/A,TRUE,"Task Status";#N/A,#N/A,TRUE,"Document Status";#N/A,#N/A,TRUE,"Percent Complete";#N/A,#N/A,TRUE,"Manhour Sum"}</definedName>
    <definedName name="kk" localSheetId="0" hidden="1">{#N/A,#N/A,TRUE,"Task Status";#N/A,#N/A,TRUE,"Document Status";#N/A,#N/A,TRUE,"Percent Complete";#N/A,#N/A,TRUE,"Manhour Sum"}</definedName>
    <definedName name="kk" localSheetId="1" hidden="1">{#N/A,#N/A,TRUE,"Task Status";#N/A,#N/A,TRUE,"Document Status";#N/A,#N/A,TRUE,"Percent Complete";#N/A,#N/A,TRUE,"Manhour Sum"}</definedName>
    <definedName name="kk" localSheetId="2" hidden="1">{#N/A,#N/A,TRUE,"Task Status";#N/A,#N/A,TRUE,"Document Status";#N/A,#N/A,TRUE,"Percent Complete";#N/A,#N/A,TRUE,"Manhour Sum"}</definedName>
    <definedName name="kk" hidden="1">{#N/A,#N/A,TRUE,"Task Status";#N/A,#N/A,TRUE,"Document Status";#N/A,#N/A,TRUE,"Percent Complete";#N/A,#N/A,TRUE,"Manhour Sum"}</definedName>
    <definedName name="leaders" localSheetId="0" hidden="1">{#N/A,#N/A,FALSE,"Sum6 (1)"}</definedName>
    <definedName name="leaders" localSheetId="1" hidden="1">{#N/A,#N/A,FALSE,"Sum6 (1)"}</definedName>
    <definedName name="leaders" localSheetId="2" hidden="1">{#N/A,#N/A,FALSE,"Sum6 (1)"}</definedName>
    <definedName name="leaders" hidden="1">{#N/A,#N/A,FALSE,"Sum6 (1)"}</definedName>
    <definedName name="leroy" localSheetId="0" hidden="1">{#N/A,#N/A,TRUE,"Task Status";#N/A,#N/A,TRUE,"Document Status";#N/A,#N/A,TRUE,"Percent Complete";#N/A,#N/A,TRUE,"Manhour Sum"}</definedName>
    <definedName name="leroy" localSheetId="1" hidden="1">{#N/A,#N/A,TRUE,"Task Status";#N/A,#N/A,TRUE,"Document Status";#N/A,#N/A,TRUE,"Percent Complete";#N/A,#N/A,TRUE,"Manhour Sum"}</definedName>
    <definedName name="leroy" localSheetId="2" hidden="1">{#N/A,#N/A,TRUE,"Task Status";#N/A,#N/A,TRUE,"Document Status";#N/A,#N/A,TRUE,"Percent Complete";#N/A,#N/A,TRUE,"Manhour Sum"}</definedName>
    <definedName name="leroy" hidden="1">{#N/A,#N/A,TRUE,"Task Status";#N/A,#N/A,TRUE,"Document Status";#N/A,#N/A,TRUE,"Percent Complete";#N/A,#N/A,TRUE,"Manhour Sum"}</definedName>
    <definedName name="Mult_CashHome_Per">1</definedName>
    <definedName name="Mult_CashSite_Per">1</definedName>
    <definedName name="nertujh" localSheetId="0" hidden="1">{#N/A,#N/A,TRUE,"Task Status";#N/A,#N/A,TRUE,"Document Status";#N/A,#N/A,TRUE,"Percent Complete";#N/A,#N/A,TRUE,"Manhour Sum"}</definedName>
    <definedName name="nertujh" localSheetId="1" hidden="1">{#N/A,#N/A,TRUE,"Task Status";#N/A,#N/A,TRUE,"Document Status";#N/A,#N/A,TRUE,"Percent Complete";#N/A,#N/A,TRUE,"Manhour Sum"}</definedName>
    <definedName name="nertujh" localSheetId="2" hidden="1">{#N/A,#N/A,TRUE,"Task Status";#N/A,#N/A,TRUE,"Document Status";#N/A,#N/A,TRUE,"Percent Complete";#N/A,#N/A,TRUE,"Manhour Sum"}</definedName>
    <definedName name="nertujh" hidden="1">{#N/A,#N/A,TRUE,"Task Status";#N/A,#N/A,TRUE,"Document Status";#N/A,#N/A,TRUE,"Percent Complete";#N/A,#N/A,TRUE,"Manhour Sum"}</definedName>
    <definedName name="o" localSheetId="0" hidden="1">{#N/A,#N/A,TRUE,"Task Status";#N/A,#N/A,TRUE,"Document Status";#N/A,#N/A,TRUE,"Percent Complete";#N/A,#N/A,TRUE,"Manhour Sum"}</definedName>
    <definedName name="o" localSheetId="1" hidden="1">{#N/A,#N/A,TRUE,"Task Status";#N/A,#N/A,TRUE,"Document Status";#N/A,#N/A,TRUE,"Percent Complete";#N/A,#N/A,TRUE,"Manhour Sum"}</definedName>
    <definedName name="o" localSheetId="2" hidden="1">{#N/A,#N/A,TRUE,"Task Status";#N/A,#N/A,TRUE,"Document Status";#N/A,#N/A,TRUE,"Percent Complete";#N/A,#N/A,TRUE,"Manhour Sum"}</definedName>
    <definedName name="o" hidden="1">{#N/A,#N/A,TRUE,"Task Status";#N/A,#N/A,TRUE,"Document Status";#N/A,#N/A,TRUE,"Percent Complete";#N/A,#N/A,TRUE,"Manhour Sum"}</definedName>
    <definedName name="one" localSheetId="0" hidden="1">{#N/A,#N/A,FALSE,"Sum6 (1)"}</definedName>
    <definedName name="one" localSheetId="1" hidden="1">{#N/A,#N/A,FALSE,"Sum6 (1)"}</definedName>
    <definedName name="one" localSheetId="2" hidden="1">{#N/A,#N/A,FALSE,"Sum6 (1)"}</definedName>
    <definedName name="one" hidden="1">{#N/A,#N/A,FALSE,"Sum6 (1)"}</definedName>
    <definedName name="OPTexponents">"0 3 6"</definedName>
    <definedName name="OPTvec">"1 1 4 6 0 0 0 0 1 0 1 8 6 0 20 30 1 1 0 1 1 0 1 0 0 0 0 0 0 2 1 0 100 300 2 0 0 0 14 0 0 0 0"</definedName>
    <definedName name="p" localSheetId="0" hidden="1">{#N/A,#N/A,TRUE,"Task Status";#N/A,#N/A,TRUE,"Document Status";#N/A,#N/A,TRUE,"Percent Complete";#N/A,#N/A,TRUE,"Manhour Sum"}</definedName>
    <definedName name="p" localSheetId="1" hidden="1">{#N/A,#N/A,TRUE,"Task Status";#N/A,#N/A,TRUE,"Document Status";#N/A,#N/A,TRUE,"Percent Complete";#N/A,#N/A,TRUE,"Manhour Sum"}</definedName>
    <definedName name="p" localSheetId="2" hidden="1">{#N/A,#N/A,TRUE,"Task Status";#N/A,#N/A,TRUE,"Document Status";#N/A,#N/A,TRUE,"Percent Complete";#N/A,#N/A,TRUE,"Manhour Sum"}</definedName>
    <definedName name="p" hidden="1">{#N/A,#N/A,TRUE,"Task Status";#N/A,#N/A,TRUE,"Document Status";#N/A,#N/A,TRUE,"Percent Complete";#N/A,#N/A,TRUE,"Manhour Sum"}</definedName>
    <definedName name="PAGE3" localSheetId="0">[1]DETAILS!#REF!</definedName>
    <definedName name="PAGE3" localSheetId="1">[1]DETAILS!#REF!</definedName>
    <definedName name="PAGE3">[1]DETAILS!#REF!</definedName>
    <definedName name="Pal_Workbook_GUID" hidden="1">"WCCJ2XGKG89JGSKWGQEQTPXV"</definedName>
    <definedName name="PO" localSheetId="0" hidden="1">{#N/A,#N/A,TRUE,"Task Status";#N/A,#N/A,TRUE,"Document Status";#N/A,#N/A,TRUE,"Percent Complete";#N/A,#N/A,TRUE,"Manhour Sum"}</definedName>
    <definedName name="PO" localSheetId="1" hidden="1">{#N/A,#N/A,TRUE,"Task Status";#N/A,#N/A,TRUE,"Document Status";#N/A,#N/A,TRUE,"Percent Complete";#N/A,#N/A,TRUE,"Manhour Sum"}</definedName>
    <definedName name="PO" localSheetId="2" hidden="1">{#N/A,#N/A,TRUE,"Task Status";#N/A,#N/A,TRUE,"Document Status";#N/A,#N/A,TRUE,"Percent Complete";#N/A,#N/A,TRUE,"Manhour Sum"}</definedName>
    <definedName name="PO" hidden="1">{#N/A,#N/A,TRUE,"Task Status";#N/A,#N/A,TRUE,"Document Status";#N/A,#N/A,TRUE,"Percent Complete";#N/A,#N/A,TRUE,"Manhour Sum"}</definedName>
    <definedName name="ppppp" localSheetId="0" hidden="1">{#N/A,#N/A,FALSE,"Sum6 (1)"}</definedName>
    <definedName name="ppppp" localSheetId="1" hidden="1">{#N/A,#N/A,FALSE,"Sum6 (1)"}</definedName>
    <definedName name="ppppp" localSheetId="2" hidden="1">{#N/A,#N/A,FALSE,"Sum6 (1)"}</definedName>
    <definedName name="ppppp" hidden="1">{#N/A,#N/A,FALSE,"Sum6 (1)"}</definedName>
    <definedName name="_xlnm.Print_Area" localSheetId="0">'Cost Input'!$A$3:$U$72</definedName>
    <definedName name="_xlnm.Print_Area" localSheetId="1">'Detailed Breakout'!$A$3:$Y$100</definedName>
    <definedName name="qqqqqqq" localSheetId="0" hidden="1">{#N/A,#N/A,FALSE,"Sum6 (1)"}</definedName>
    <definedName name="qqqqqqq" localSheetId="1" hidden="1">{#N/A,#N/A,FALSE,"Sum6 (1)"}</definedName>
    <definedName name="qqqqqqq" localSheetId="2" hidden="1">{#N/A,#N/A,FALSE,"Sum6 (1)"}</definedName>
    <definedName name="qqqqqqq" hidden="1">{#N/A,#N/A,FALSE,"Sum6 (1)"}</definedName>
    <definedName name="qqqqqqq_1" localSheetId="0" hidden="1">{#N/A,#N/A,FALSE,"Sum6 (1)"}</definedName>
    <definedName name="qqqqqqq_1" localSheetId="1" hidden="1">{#N/A,#N/A,FALSE,"Sum6 (1)"}</definedName>
    <definedName name="qqqqqqq_1" localSheetId="2" hidden="1">{#N/A,#N/A,FALSE,"Sum6 (1)"}</definedName>
    <definedName name="qqqqqqq_1" hidden="1">{#N/A,#N/A,FALSE,"Sum6 (1)"}</definedName>
    <definedName name="qqqqqqq_2" localSheetId="0" hidden="1">{#N/A,#N/A,FALSE,"Sum6 (1)"}</definedName>
    <definedName name="qqqqqqq_2" localSheetId="1" hidden="1">{#N/A,#N/A,FALSE,"Sum6 (1)"}</definedName>
    <definedName name="qqqqqqq_2" localSheetId="2" hidden="1">{#N/A,#N/A,FALSE,"Sum6 (1)"}</definedName>
    <definedName name="qqqqqqq_2" hidden="1">{#N/A,#N/A,FALSE,"Sum6 (1)"}</definedName>
    <definedName name="qwer" localSheetId="0" hidden="1">{#N/A,#N/A,TRUE,"Task Status";#N/A,#N/A,TRUE,"Document Status";#N/A,#N/A,TRUE,"Percent Complete";#N/A,#N/A,TRUE,"Manhour Sum"}</definedName>
    <definedName name="qwer" localSheetId="1" hidden="1">{#N/A,#N/A,TRUE,"Task Status";#N/A,#N/A,TRUE,"Document Status";#N/A,#N/A,TRUE,"Percent Complete";#N/A,#N/A,TRUE,"Manhour Sum"}</definedName>
    <definedName name="qwer" localSheetId="2" hidden="1">{#N/A,#N/A,TRUE,"Task Status";#N/A,#N/A,TRUE,"Document Status";#N/A,#N/A,TRUE,"Percent Complete";#N/A,#N/A,TRUE,"Manhour Sum"}</definedName>
    <definedName name="qwer" hidden="1">{#N/A,#N/A,TRUE,"Task Status";#N/A,#N/A,TRUE,"Document Status";#N/A,#N/A,TRUE,"Percent Complete";#N/A,#N/A,TRUE,"Manhour Sum"}</definedName>
    <definedName name="qwer_1" localSheetId="0" hidden="1">{#N/A,#N/A,TRUE,"Task Status";#N/A,#N/A,TRUE,"Document Status";#N/A,#N/A,TRUE,"Percent Complete";#N/A,#N/A,TRUE,"Manhour Sum"}</definedName>
    <definedName name="qwer_1" localSheetId="1" hidden="1">{#N/A,#N/A,TRUE,"Task Status";#N/A,#N/A,TRUE,"Document Status";#N/A,#N/A,TRUE,"Percent Complete";#N/A,#N/A,TRUE,"Manhour Sum"}</definedName>
    <definedName name="qwer_1" localSheetId="2" hidden="1">{#N/A,#N/A,TRUE,"Task Status";#N/A,#N/A,TRUE,"Document Status";#N/A,#N/A,TRUE,"Percent Complete";#N/A,#N/A,TRUE,"Manhour Sum"}</definedName>
    <definedName name="qwer_1" hidden="1">{#N/A,#N/A,TRUE,"Task Status";#N/A,#N/A,TRUE,"Document Status";#N/A,#N/A,TRUE,"Percent Complete";#N/A,#N/A,TRUE,"Manhour Sum"}</definedName>
    <definedName name="qwer_2" localSheetId="0" hidden="1">{#N/A,#N/A,TRUE,"Task Status";#N/A,#N/A,TRUE,"Document Status";#N/A,#N/A,TRUE,"Percent Complete";#N/A,#N/A,TRUE,"Manhour Sum"}</definedName>
    <definedName name="qwer_2" localSheetId="1" hidden="1">{#N/A,#N/A,TRUE,"Task Status";#N/A,#N/A,TRUE,"Document Status";#N/A,#N/A,TRUE,"Percent Complete";#N/A,#N/A,TRUE,"Manhour Sum"}</definedName>
    <definedName name="qwer_2" localSheetId="2" hidden="1">{#N/A,#N/A,TRUE,"Task Status";#N/A,#N/A,TRUE,"Document Status";#N/A,#N/A,TRUE,"Percent Complete";#N/A,#N/A,TRUE,"Manhour Sum"}</definedName>
    <definedName name="qwer_2" hidden="1">{#N/A,#N/A,TRUE,"Task Status";#N/A,#N/A,TRUE,"Document Status";#N/A,#N/A,TRUE,"Percent Complete";#N/A,#N/A,TRUE,"Manhour Sum"}</definedName>
    <definedName name="Review" hidden="1">{#N/A,#N/A,TRUE,"Task Status";#N/A,#N/A,TRUE,"Document Status";#N/A,#N/A,TRUE,"Percent Complete";#N/A,#N/A,TRUE,"Manhour Sum"}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ty" localSheetId="0" hidden="1">{"Budget",#N/A,TRUE,"Criteria";"Summary",#N/A,TRUE,"Summary";"Detail",#N/A,TRUE,"Detail";"Staff",#N/A,TRUE,"Staffing";"Equip",#N/A,TRUE,"Equipment"}</definedName>
    <definedName name="rty" localSheetId="1" hidden="1">{"Budget",#N/A,TRUE,"Criteria";"Summary",#N/A,TRUE,"Summary";"Detail",#N/A,TRUE,"Detail";"Staff",#N/A,TRUE,"Staffing";"Equip",#N/A,TRUE,"Equipment"}</definedName>
    <definedName name="rty" localSheetId="2" hidden="1">{"Budget",#N/A,TRUE,"Criteria";"Summary",#N/A,TRUE,"Summary";"Detail",#N/A,TRUE,"Detail";"Staff",#N/A,TRUE,"Staffing";"Equip",#N/A,TRUE,"Equipment"}</definedName>
    <definedName name="rty" hidden="1">{"Budget",#N/A,TRUE,"Criteria";"Summary",#N/A,TRUE,"Summary";"Detail",#N/A,TRUE,"Detail";"Staff",#N/A,TRUE,"Staffing";"Equip",#N/A,TRUE,"Equipment"}</definedName>
    <definedName name="s" localSheetId="0" hidden="1">{#N/A,#N/A,TRUE,"Task Status";#N/A,#N/A,TRUE,"Document Status";#N/A,#N/A,TRUE,"Percent Complete";#N/A,#N/A,TRUE,"Manhour Sum"}</definedName>
    <definedName name="s" localSheetId="1" hidden="1">{#N/A,#N/A,TRUE,"Task Status";#N/A,#N/A,TRUE,"Document Status";#N/A,#N/A,TRUE,"Percent Complete";#N/A,#N/A,TRUE,"Manhour Sum"}</definedName>
    <definedName name="s" localSheetId="2" hidden="1">{#N/A,#N/A,TRUE,"Task Status";#N/A,#N/A,TRUE,"Document Status";#N/A,#N/A,TRUE,"Percent Complete";#N/A,#N/A,TRUE,"Manhour Sum"}</definedName>
    <definedName name="s" hidden="1">{#N/A,#N/A,TRUE,"Task Status";#N/A,#N/A,TRUE,"Document Status";#N/A,#N/A,TRUE,"Percent Complete";#N/A,#N/A,TRUE,"Manhour Sum"}</definedName>
    <definedName name="s_1" localSheetId="0" hidden="1">{#N/A,#N/A,TRUE,"Task Status";#N/A,#N/A,TRUE,"Document Status";#N/A,#N/A,TRUE,"Percent Complete";#N/A,#N/A,TRUE,"Manhour Sum"}</definedName>
    <definedName name="s_1" localSheetId="1" hidden="1">{#N/A,#N/A,TRUE,"Task Status";#N/A,#N/A,TRUE,"Document Status";#N/A,#N/A,TRUE,"Percent Complete";#N/A,#N/A,TRUE,"Manhour Sum"}</definedName>
    <definedName name="s_1" localSheetId="2" hidden="1">{#N/A,#N/A,TRUE,"Task Status";#N/A,#N/A,TRUE,"Document Status";#N/A,#N/A,TRUE,"Percent Complete";#N/A,#N/A,TRUE,"Manhour Sum"}</definedName>
    <definedName name="s_1" hidden="1">{#N/A,#N/A,TRUE,"Task Status";#N/A,#N/A,TRUE,"Document Status";#N/A,#N/A,TRUE,"Percent Complete";#N/A,#N/A,TRUE,"Manhour Sum"}</definedName>
    <definedName name="s_2" localSheetId="0" hidden="1">{#N/A,#N/A,TRUE,"Task Status";#N/A,#N/A,TRUE,"Document Status";#N/A,#N/A,TRUE,"Percent Complete";#N/A,#N/A,TRUE,"Manhour Sum"}</definedName>
    <definedName name="s_2" localSheetId="1" hidden="1">{#N/A,#N/A,TRUE,"Task Status";#N/A,#N/A,TRUE,"Document Status";#N/A,#N/A,TRUE,"Percent Complete";#N/A,#N/A,TRUE,"Manhour Sum"}</definedName>
    <definedName name="s_2" localSheetId="2" hidden="1">{#N/A,#N/A,TRUE,"Task Status";#N/A,#N/A,TRUE,"Document Status";#N/A,#N/A,TRUE,"Percent Complete";#N/A,#N/A,TRUE,"Manhour Sum"}</definedName>
    <definedName name="s_2" hidden="1">{#N/A,#N/A,TRUE,"Task Status";#N/A,#N/A,TRUE,"Document Status";#N/A,#N/A,TRUE,"Percent Complete";#N/A,#N/A,TRUE,"Manhour Sum"}</definedName>
    <definedName name="Schedule" localSheetId="0" hidden="1">{#N/A,#N/A,TRUE,"Task Status";#N/A,#N/A,TRUE,"Document Status";#N/A,#N/A,TRUE,"Percent Complete";#N/A,#N/A,TRUE,"Manhour Sum"}</definedName>
    <definedName name="Schedule" localSheetId="1" hidden="1">{#N/A,#N/A,TRUE,"Task Status";#N/A,#N/A,TRUE,"Document Status";#N/A,#N/A,TRUE,"Percent Complete";#N/A,#N/A,TRUE,"Manhour Sum"}</definedName>
    <definedName name="Schedule" localSheetId="2" hidden="1">{#N/A,#N/A,TRUE,"Task Status";#N/A,#N/A,TRUE,"Document Status";#N/A,#N/A,TRUE,"Percent Complete";#N/A,#N/A,TRUE,"Manhour Sum"}</definedName>
    <definedName name="Schedule" hidden="1">{#N/A,#N/A,TRUE,"Task Status";#N/A,#N/A,TRUE,"Document Status";#N/A,#N/A,TRUE,"Percent Complete";#N/A,#N/A,TRUE,"Manhour Sum"}</definedName>
    <definedName name="Schedule_1" localSheetId="0" hidden="1">{#N/A,#N/A,TRUE,"Task Status";#N/A,#N/A,TRUE,"Document Status";#N/A,#N/A,TRUE,"Percent Complete";#N/A,#N/A,TRUE,"Manhour Sum"}</definedName>
    <definedName name="Schedule_1" localSheetId="1" hidden="1">{#N/A,#N/A,TRUE,"Task Status";#N/A,#N/A,TRUE,"Document Status";#N/A,#N/A,TRUE,"Percent Complete";#N/A,#N/A,TRUE,"Manhour Sum"}</definedName>
    <definedName name="Schedule_1" localSheetId="2" hidden="1">{#N/A,#N/A,TRUE,"Task Status";#N/A,#N/A,TRUE,"Document Status";#N/A,#N/A,TRUE,"Percent Complete";#N/A,#N/A,TRUE,"Manhour Sum"}</definedName>
    <definedName name="Schedule_1" hidden="1">{#N/A,#N/A,TRUE,"Task Status";#N/A,#N/A,TRUE,"Document Status";#N/A,#N/A,TRUE,"Percent Complete";#N/A,#N/A,TRUE,"Manhour Sum"}</definedName>
    <definedName name="Schedule_2" localSheetId="0" hidden="1">{#N/A,#N/A,TRUE,"Task Status";#N/A,#N/A,TRUE,"Document Status";#N/A,#N/A,TRUE,"Percent Complete";#N/A,#N/A,TRUE,"Manhour Sum"}</definedName>
    <definedName name="Schedule_2" localSheetId="1" hidden="1">{#N/A,#N/A,TRUE,"Task Status";#N/A,#N/A,TRUE,"Document Status";#N/A,#N/A,TRUE,"Percent Complete";#N/A,#N/A,TRUE,"Manhour Sum"}</definedName>
    <definedName name="Schedule_2" localSheetId="2" hidden="1">{#N/A,#N/A,TRUE,"Task Status";#N/A,#N/A,TRUE,"Document Status";#N/A,#N/A,TRUE,"Percent Complete";#N/A,#N/A,TRUE,"Manhour Sum"}</definedName>
    <definedName name="Schedule_2" hidden="1">{#N/A,#N/A,TRUE,"Task Status";#N/A,#N/A,TRUE,"Document Status";#N/A,#N/A,TRUE,"Percent Complete";#N/A,#N/A,TRUE,"Manhour Sum"}</definedName>
    <definedName name="sdfji" localSheetId="0" hidden="1">{"Detail",#N/A,FALSE,"Detail"}</definedName>
    <definedName name="sdfji" localSheetId="1" hidden="1">{"Detail",#N/A,FALSE,"Detail"}</definedName>
    <definedName name="sdfji" localSheetId="2" hidden="1">{"Detail",#N/A,FALSE,"Detail"}</definedName>
    <definedName name="sdfji" hidden="1">{"Detail",#N/A,FALSE,"Detail"}</definedName>
    <definedName name="sf" localSheetId="0" hidden="1">{#N/A,#N/A,TRUE,"Task Status";#N/A,#N/A,TRUE,"Document Status";#N/A,#N/A,TRUE,"Percent Complete";#N/A,#N/A,TRUE,"Manhour Sum"}</definedName>
    <definedName name="sf" localSheetId="1" hidden="1">{#N/A,#N/A,TRUE,"Task Status";#N/A,#N/A,TRUE,"Document Status";#N/A,#N/A,TRUE,"Percent Complete";#N/A,#N/A,TRUE,"Manhour Sum"}</definedName>
    <definedName name="sf" localSheetId="2" hidden="1">{#N/A,#N/A,TRUE,"Task Status";#N/A,#N/A,TRUE,"Document Status";#N/A,#N/A,TRUE,"Percent Complete";#N/A,#N/A,TRUE,"Manhour Sum"}</definedName>
    <definedName name="sf" hidden="1">{#N/A,#N/A,TRUE,"Task Status";#N/A,#N/A,TRUE,"Document Status";#N/A,#N/A,TRUE,"Percent Complete";#N/A,#N/A,TRUE,"Manhour Sum"}</definedName>
    <definedName name="Sub" localSheetId="0" hidden="1">{#N/A,#N/A,TRUE,"Task Status";#N/A,#N/A,TRUE,"Document Status";#N/A,#N/A,TRUE,"Percent Complete";#N/A,#N/A,TRUE,"Manhour Sum"}</definedName>
    <definedName name="Sub" localSheetId="1" hidden="1">{#N/A,#N/A,TRUE,"Task Status";#N/A,#N/A,TRUE,"Document Status";#N/A,#N/A,TRUE,"Percent Complete";#N/A,#N/A,TRUE,"Manhour Sum"}</definedName>
    <definedName name="Sub" localSheetId="2" hidden="1">{#N/A,#N/A,TRUE,"Task Status";#N/A,#N/A,TRUE,"Document Status";#N/A,#N/A,TRUE,"Percent Complete";#N/A,#N/A,TRUE,"Manhour Sum"}</definedName>
    <definedName name="Sub" hidden="1">{#N/A,#N/A,TRUE,"Task Status";#N/A,#N/A,TRUE,"Document Status";#N/A,#N/A,TRUE,"Percent Complete";#N/A,#N/A,TRUE,"Manhour Sum"}</definedName>
    <definedName name="Sub_1" localSheetId="0" hidden="1">{#N/A,#N/A,TRUE,"Task Status";#N/A,#N/A,TRUE,"Document Status";#N/A,#N/A,TRUE,"Percent Complete";#N/A,#N/A,TRUE,"Manhour Sum"}</definedName>
    <definedName name="Sub_1" localSheetId="1" hidden="1">{#N/A,#N/A,TRUE,"Task Status";#N/A,#N/A,TRUE,"Document Status";#N/A,#N/A,TRUE,"Percent Complete";#N/A,#N/A,TRUE,"Manhour Sum"}</definedName>
    <definedName name="Sub_1" localSheetId="2" hidden="1">{#N/A,#N/A,TRUE,"Task Status";#N/A,#N/A,TRUE,"Document Status";#N/A,#N/A,TRUE,"Percent Complete";#N/A,#N/A,TRUE,"Manhour Sum"}</definedName>
    <definedName name="Sub_1" hidden="1">{#N/A,#N/A,TRUE,"Task Status";#N/A,#N/A,TRUE,"Document Status";#N/A,#N/A,TRUE,"Percent Complete";#N/A,#N/A,TRUE,"Manhour Sum"}</definedName>
    <definedName name="Sub_2" localSheetId="0" hidden="1">{#N/A,#N/A,TRUE,"Task Status";#N/A,#N/A,TRUE,"Document Status";#N/A,#N/A,TRUE,"Percent Complete";#N/A,#N/A,TRUE,"Manhour Sum"}</definedName>
    <definedName name="Sub_2" localSheetId="1" hidden="1">{#N/A,#N/A,TRUE,"Task Status";#N/A,#N/A,TRUE,"Document Status";#N/A,#N/A,TRUE,"Percent Complete";#N/A,#N/A,TRUE,"Manhour Sum"}</definedName>
    <definedName name="Sub_2" localSheetId="2" hidden="1">{#N/A,#N/A,TRUE,"Task Status";#N/A,#N/A,TRUE,"Document Status";#N/A,#N/A,TRUE,"Percent Complete";#N/A,#N/A,TRUE,"Manhour Sum"}</definedName>
    <definedName name="Sub_2" hidden="1">{#N/A,#N/A,TRUE,"Task Status";#N/A,#N/A,TRUE,"Document Status";#N/A,#N/A,TRUE,"Percent Complete";#N/A,#N/A,TRUE,"Manhour Sum"}</definedName>
    <definedName name="temp" localSheetId="0" hidden="1">{#N/A,#N/A,TRUE,"Task Status";#N/A,#N/A,TRUE,"Document Status";#N/A,#N/A,TRUE,"Percent Complete";#N/A,#N/A,TRUE,"Manhour Sum"}</definedName>
    <definedName name="temp" localSheetId="1" hidden="1">{#N/A,#N/A,TRUE,"Task Status";#N/A,#N/A,TRUE,"Document Status";#N/A,#N/A,TRUE,"Percent Complete";#N/A,#N/A,TRUE,"Manhour Sum"}</definedName>
    <definedName name="temp" localSheetId="2" hidden="1">{#N/A,#N/A,TRUE,"Task Status";#N/A,#N/A,TRUE,"Document Status";#N/A,#N/A,TRUE,"Percent Complete";#N/A,#N/A,TRUE,"Manhour Sum"}</definedName>
    <definedName name="temp" hidden="1">{#N/A,#N/A,TRUE,"Task Status";#N/A,#N/A,TRUE,"Document Status";#N/A,#N/A,TRUE,"Percent Complete";#N/A,#N/A,TRUE,"Manhour Sum"}</definedName>
    <definedName name="temp_1" localSheetId="0" hidden="1">{#N/A,#N/A,TRUE,"Task Status";#N/A,#N/A,TRUE,"Document Status";#N/A,#N/A,TRUE,"Percent Complete";#N/A,#N/A,TRUE,"Manhour Sum"}</definedName>
    <definedName name="temp_1" localSheetId="1" hidden="1">{#N/A,#N/A,TRUE,"Task Status";#N/A,#N/A,TRUE,"Document Status";#N/A,#N/A,TRUE,"Percent Complete";#N/A,#N/A,TRUE,"Manhour Sum"}</definedName>
    <definedName name="temp_1" localSheetId="2" hidden="1">{#N/A,#N/A,TRUE,"Task Status";#N/A,#N/A,TRUE,"Document Status";#N/A,#N/A,TRUE,"Percent Complete";#N/A,#N/A,TRUE,"Manhour Sum"}</definedName>
    <definedName name="temp_1" hidden="1">{#N/A,#N/A,TRUE,"Task Status";#N/A,#N/A,TRUE,"Document Status";#N/A,#N/A,TRUE,"Percent Complete";#N/A,#N/A,TRUE,"Manhour Sum"}</definedName>
    <definedName name="temp_2" localSheetId="0" hidden="1">{#N/A,#N/A,TRUE,"Task Status";#N/A,#N/A,TRUE,"Document Status";#N/A,#N/A,TRUE,"Percent Complete";#N/A,#N/A,TRUE,"Manhour Sum"}</definedName>
    <definedName name="temp_2" localSheetId="1" hidden="1">{#N/A,#N/A,TRUE,"Task Status";#N/A,#N/A,TRUE,"Document Status";#N/A,#N/A,TRUE,"Percent Complete";#N/A,#N/A,TRUE,"Manhour Sum"}</definedName>
    <definedName name="temp_2" localSheetId="2" hidden="1">{#N/A,#N/A,TRUE,"Task Status";#N/A,#N/A,TRUE,"Document Status";#N/A,#N/A,TRUE,"Percent Complete";#N/A,#N/A,TRUE,"Manhour Sum"}</definedName>
    <definedName name="temp_2" hidden="1">{#N/A,#N/A,TRUE,"Task Status";#N/A,#N/A,TRUE,"Document Status";#N/A,#N/A,TRUE,"Percent Complete";#N/A,#N/A,TRUE,"Manhour Sum"}</definedName>
    <definedName name="temp1" localSheetId="0" hidden="1">{#N/A,#N/A,TRUE,"Task Status";#N/A,#N/A,TRUE,"Document Status";#N/A,#N/A,TRUE,"Percent Complete";#N/A,#N/A,TRUE,"Manhour Sum"}</definedName>
    <definedName name="temp1" localSheetId="1" hidden="1">{#N/A,#N/A,TRUE,"Task Status";#N/A,#N/A,TRUE,"Document Status";#N/A,#N/A,TRUE,"Percent Complete";#N/A,#N/A,TRUE,"Manhour Sum"}</definedName>
    <definedName name="temp1" localSheetId="2" hidden="1">{#N/A,#N/A,TRUE,"Task Status";#N/A,#N/A,TRUE,"Document Status";#N/A,#N/A,TRUE,"Percent Complete";#N/A,#N/A,TRUE,"Manhour Sum"}</definedName>
    <definedName name="temp1" hidden="1">{#N/A,#N/A,TRUE,"Task Status";#N/A,#N/A,TRUE,"Document Status";#N/A,#N/A,TRUE,"Percent Complete";#N/A,#N/A,TRUE,"Manhour Sum"}</definedName>
    <definedName name="temp1_1" localSheetId="0" hidden="1">{#N/A,#N/A,TRUE,"Task Status";#N/A,#N/A,TRUE,"Document Status";#N/A,#N/A,TRUE,"Percent Complete";#N/A,#N/A,TRUE,"Manhour Sum"}</definedName>
    <definedName name="temp1_1" localSheetId="1" hidden="1">{#N/A,#N/A,TRUE,"Task Status";#N/A,#N/A,TRUE,"Document Status";#N/A,#N/A,TRUE,"Percent Complete";#N/A,#N/A,TRUE,"Manhour Sum"}</definedName>
    <definedName name="temp1_1" localSheetId="2" hidden="1">{#N/A,#N/A,TRUE,"Task Status";#N/A,#N/A,TRUE,"Document Status";#N/A,#N/A,TRUE,"Percent Complete";#N/A,#N/A,TRUE,"Manhour Sum"}</definedName>
    <definedName name="temp1_1" hidden="1">{#N/A,#N/A,TRUE,"Task Status";#N/A,#N/A,TRUE,"Document Status";#N/A,#N/A,TRUE,"Percent Complete";#N/A,#N/A,TRUE,"Manhour Sum"}</definedName>
    <definedName name="temp1_2" localSheetId="0" hidden="1">{#N/A,#N/A,TRUE,"Task Status";#N/A,#N/A,TRUE,"Document Status";#N/A,#N/A,TRUE,"Percent Complete";#N/A,#N/A,TRUE,"Manhour Sum"}</definedName>
    <definedName name="temp1_2" localSheetId="1" hidden="1">{#N/A,#N/A,TRUE,"Task Status";#N/A,#N/A,TRUE,"Document Status";#N/A,#N/A,TRUE,"Percent Complete";#N/A,#N/A,TRUE,"Manhour Sum"}</definedName>
    <definedName name="temp1_2" localSheetId="2" hidden="1">{#N/A,#N/A,TRUE,"Task Status";#N/A,#N/A,TRUE,"Document Status";#N/A,#N/A,TRUE,"Percent Complete";#N/A,#N/A,TRUE,"Manhour Sum"}</definedName>
    <definedName name="temp1_2" hidden="1">{#N/A,#N/A,TRUE,"Task Status";#N/A,#N/A,TRUE,"Document Status";#N/A,#N/A,TRUE,"Percent Complete";#N/A,#N/A,TRUE,"Manhour Sum"}</definedName>
    <definedName name="temp2" localSheetId="0" hidden="1">{#N/A,#N/A,TRUE,"Task Status";#N/A,#N/A,TRUE,"Document Status";#N/A,#N/A,TRUE,"Percent Complete";#N/A,#N/A,TRUE,"Manhour Sum"}</definedName>
    <definedName name="temp2" localSheetId="1" hidden="1">{#N/A,#N/A,TRUE,"Task Status";#N/A,#N/A,TRUE,"Document Status";#N/A,#N/A,TRUE,"Percent Complete";#N/A,#N/A,TRUE,"Manhour Sum"}</definedName>
    <definedName name="temp2" localSheetId="2" hidden="1">{#N/A,#N/A,TRUE,"Task Status";#N/A,#N/A,TRUE,"Document Status";#N/A,#N/A,TRUE,"Percent Complete";#N/A,#N/A,TRUE,"Manhour Sum"}</definedName>
    <definedName name="temp2" hidden="1">{#N/A,#N/A,TRUE,"Task Status";#N/A,#N/A,TRUE,"Document Status";#N/A,#N/A,TRUE,"Percent Complete";#N/A,#N/A,TRUE,"Manhour Sum"}</definedName>
    <definedName name="temp2_1" localSheetId="0" hidden="1">{#N/A,#N/A,TRUE,"Task Status";#N/A,#N/A,TRUE,"Document Status";#N/A,#N/A,TRUE,"Percent Complete";#N/A,#N/A,TRUE,"Manhour Sum"}</definedName>
    <definedName name="temp2_1" localSheetId="1" hidden="1">{#N/A,#N/A,TRUE,"Task Status";#N/A,#N/A,TRUE,"Document Status";#N/A,#N/A,TRUE,"Percent Complete";#N/A,#N/A,TRUE,"Manhour Sum"}</definedName>
    <definedName name="temp2_1" localSheetId="2" hidden="1">{#N/A,#N/A,TRUE,"Task Status";#N/A,#N/A,TRUE,"Document Status";#N/A,#N/A,TRUE,"Percent Complete";#N/A,#N/A,TRUE,"Manhour Sum"}</definedName>
    <definedName name="temp2_1" hidden="1">{#N/A,#N/A,TRUE,"Task Status";#N/A,#N/A,TRUE,"Document Status";#N/A,#N/A,TRUE,"Percent Complete";#N/A,#N/A,TRUE,"Manhour Sum"}</definedName>
    <definedName name="temp2_2" localSheetId="0" hidden="1">{#N/A,#N/A,TRUE,"Task Status";#N/A,#N/A,TRUE,"Document Status";#N/A,#N/A,TRUE,"Percent Complete";#N/A,#N/A,TRUE,"Manhour Sum"}</definedName>
    <definedName name="temp2_2" localSheetId="1" hidden="1">{#N/A,#N/A,TRUE,"Task Status";#N/A,#N/A,TRUE,"Document Status";#N/A,#N/A,TRUE,"Percent Complete";#N/A,#N/A,TRUE,"Manhour Sum"}</definedName>
    <definedName name="temp2_2" localSheetId="2" hidden="1">{#N/A,#N/A,TRUE,"Task Status";#N/A,#N/A,TRUE,"Document Status";#N/A,#N/A,TRUE,"Percent Complete";#N/A,#N/A,TRUE,"Manhour Sum"}</definedName>
    <definedName name="temp2_2" hidden="1">{#N/A,#N/A,TRUE,"Task Status";#N/A,#N/A,TRUE,"Document Status";#N/A,#N/A,TRUE,"Percent Complete";#N/A,#N/A,TRUE,"Manhour Sum"}</definedName>
    <definedName name="temp3" localSheetId="0" hidden="1">{#N/A,#N/A,TRUE,"Task Status";#N/A,#N/A,TRUE,"Document Status";#N/A,#N/A,TRUE,"Percent Complete";#N/A,#N/A,TRUE,"Manhour Sum"}</definedName>
    <definedName name="temp3" localSheetId="1" hidden="1">{#N/A,#N/A,TRUE,"Task Status";#N/A,#N/A,TRUE,"Document Status";#N/A,#N/A,TRUE,"Percent Complete";#N/A,#N/A,TRUE,"Manhour Sum"}</definedName>
    <definedName name="temp3" localSheetId="2" hidden="1">{#N/A,#N/A,TRUE,"Task Status";#N/A,#N/A,TRUE,"Document Status";#N/A,#N/A,TRUE,"Percent Complete";#N/A,#N/A,TRUE,"Manhour Sum"}</definedName>
    <definedName name="temp3" hidden="1">{#N/A,#N/A,TRUE,"Task Status";#N/A,#N/A,TRUE,"Document Status";#N/A,#N/A,TRUE,"Percent Complete";#N/A,#N/A,TRUE,"Manhour Sum"}</definedName>
    <definedName name="TM1REBUILDOPTION">1</definedName>
    <definedName name="tyikrto" localSheetId="0" hidden="1">{#N/A,#N/A,FALSE,"F. Tax Analysis";#N/A,#N/A,FALSE,"G. Bond Analysis";#N/A,#N/A,FALSE,"H. Insurance Analysis"}</definedName>
    <definedName name="tyikrto" localSheetId="1" hidden="1">{#N/A,#N/A,FALSE,"F. Tax Analysis";#N/A,#N/A,FALSE,"G. Bond Analysis";#N/A,#N/A,FALSE,"H. Insurance Analysis"}</definedName>
    <definedName name="tyikrto" localSheetId="2" hidden="1">{#N/A,#N/A,FALSE,"F. Tax Analysis";#N/A,#N/A,FALSE,"G. Bond Analysis";#N/A,#N/A,FALSE,"H. Insurance Analysis"}</definedName>
    <definedName name="tyikrto" hidden="1">{#N/A,#N/A,FALSE,"F. Tax Analysis";#N/A,#N/A,FALSE,"G. Bond Analysis";#N/A,#N/A,FALSE,"H. Insurance Analysis"}</definedName>
    <definedName name="vasdrfawer" localSheetId="0" hidden="1">{#N/A,#N/A,TRUE,"Task Status";#N/A,#N/A,TRUE,"Document Status";#N/A,#N/A,TRUE,"Percent Complete";#N/A,#N/A,TRUE,"Manhour Sum"}</definedName>
    <definedName name="vasdrfawer" localSheetId="1" hidden="1">{#N/A,#N/A,TRUE,"Task Status";#N/A,#N/A,TRUE,"Document Status";#N/A,#N/A,TRUE,"Percent Complete";#N/A,#N/A,TRUE,"Manhour Sum"}</definedName>
    <definedName name="vasdrfawer" localSheetId="2" hidden="1">{#N/A,#N/A,TRUE,"Task Status";#N/A,#N/A,TRUE,"Document Status";#N/A,#N/A,TRUE,"Percent Complete";#N/A,#N/A,TRUE,"Manhour Sum"}</definedName>
    <definedName name="vasdrfawer" hidden="1">{#N/A,#N/A,TRUE,"Task Status";#N/A,#N/A,TRUE,"Document Status";#N/A,#N/A,TRUE,"Percent Complete";#N/A,#N/A,TRUE,"Manhour Sum"}</definedName>
    <definedName name="vate" localSheetId="0" hidden="1">{#N/A,#N/A,TRUE,"Task Status";#N/A,#N/A,TRUE,"Document Status";#N/A,#N/A,TRUE,"Percent Complete";#N/A,#N/A,TRUE,"Manhour Sum"}</definedName>
    <definedName name="vate" localSheetId="1" hidden="1">{#N/A,#N/A,TRUE,"Task Status";#N/A,#N/A,TRUE,"Document Status";#N/A,#N/A,TRUE,"Percent Complete";#N/A,#N/A,TRUE,"Manhour Sum"}</definedName>
    <definedName name="vate" localSheetId="2" hidden="1">{#N/A,#N/A,TRUE,"Task Status";#N/A,#N/A,TRUE,"Document Status";#N/A,#N/A,TRUE,"Percent Complete";#N/A,#N/A,TRUE,"Manhour Sum"}</definedName>
    <definedName name="vate" hidden="1">{#N/A,#N/A,TRUE,"Task Status";#N/A,#N/A,TRUE,"Document Status";#N/A,#N/A,TRUE,"Percent Complete";#N/A,#N/A,TRUE,"Manhour Sum"}</definedName>
    <definedName name="VHeight">#REF!</definedName>
    <definedName name="vk" localSheetId="0" hidden="1">{"Summary",#N/A,FALSE,"Summary"}</definedName>
    <definedName name="vk" localSheetId="1" hidden="1">{"Summary",#N/A,FALSE,"Summary"}</definedName>
    <definedName name="vk" localSheetId="2" hidden="1">{"Summary",#N/A,FALSE,"Summary"}</definedName>
    <definedName name="vk" hidden="1">{"Summary",#N/A,FALSE,"Summary"}</definedName>
    <definedName name="vl" localSheetId="0" hidden="1">{#N/A,#N/A,FALSE,"Sum6 (1)"}</definedName>
    <definedName name="vl" localSheetId="1" hidden="1">{#N/A,#N/A,FALSE,"Sum6 (1)"}</definedName>
    <definedName name="vl" localSheetId="2" hidden="1">{#N/A,#N/A,FALSE,"Sum6 (1)"}</definedName>
    <definedName name="vl" hidden="1">{#N/A,#N/A,FALSE,"Sum6 (1)"}</definedName>
    <definedName name="wrn.Allowance._.Analysis." localSheetId="0" hidden="1">{#N/A,#N/A,FALSE,"F. Tax Analysis";#N/A,#N/A,FALSE,"G. Bond Analysis";#N/A,#N/A,FALSE,"H. Insurance Analysis"}</definedName>
    <definedName name="wrn.Allowance._.Analysis." localSheetId="1" hidden="1">{#N/A,#N/A,FALSE,"F. Tax Analysis";#N/A,#N/A,FALSE,"G. Bond Analysis";#N/A,#N/A,FALSE,"H. Insurance Analysis"}</definedName>
    <definedName name="wrn.Allowance._.Analysis." localSheetId="2" hidden="1">{#N/A,#N/A,FALSE,"F. Tax Analysis";#N/A,#N/A,FALSE,"G. Bond Analysis";#N/A,#N/A,FALSE,"H. Insurance Analysis"}</definedName>
    <definedName name="wrn.Allowance._.Analysis." hidden="1">{#N/A,#N/A,FALSE,"F. Tax Analysis";#N/A,#N/A,FALSE,"G. Bond Analysis";#N/A,#N/A,FALSE,"H. Insurance Analysis"}</definedName>
    <definedName name="wrn.Allowance._.Analysis._1" localSheetId="0" hidden="1">{#N/A,#N/A,FALSE,"F. Tax Analysis";#N/A,#N/A,FALSE,"G. Bond Analysis";#N/A,#N/A,FALSE,"H. Insurance Analysis"}</definedName>
    <definedName name="wrn.Allowance._.Analysis._1" localSheetId="1" hidden="1">{#N/A,#N/A,FALSE,"F. Tax Analysis";#N/A,#N/A,FALSE,"G. Bond Analysis";#N/A,#N/A,FALSE,"H. Insurance Analysis"}</definedName>
    <definedName name="wrn.Allowance._.Analysis._1" localSheetId="2" hidden="1">{#N/A,#N/A,FALSE,"F. Tax Analysis";#N/A,#N/A,FALSE,"G. Bond Analysis";#N/A,#N/A,FALSE,"H. Insurance Analysis"}</definedName>
    <definedName name="wrn.Allowance._.Analysis._1" hidden="1">{#N/A,#N/A,FALSE,"F. Tax Analysis";#N/A,#N/A,FALSE,"G. Bond Analysis";#N/A,#N/A,FALSE,"H. Insurance Analysis"}</definedName>
    <definedName name="wrn.Allowance._.Analysis._2" localSheetId="0" hidden="1">{#N/A,#N/A,FALSE,"F. Tax Analysis";#N/A,#N/A,FALSE,"G. Bond Analysis";#N/A,#N/A,FALSE,"H. Insurance Analysis"}</definedName>
    <definedName name="wrn.Allowance._.Analysis._2" localSheetId="1" hidden="1">{#N/A,#N/A,FALSE,"F. Tax Analysis";#N/A,#N/A,FALSE,"G. Bond Analysis";#N/A,#N/A,FALSE,"H. Insurance Analysis"}</definedName>
    <definedName name="wrn.Allowance._.Analysis._2" localSheetId="2" hidden="1">{#N/A,#N/A,FALSE,"F. Tax Analysis";#N/A,#N/A,FALSE,"G. Bond Analysis";#N/A,#N/A,FALSE,"H. Insurance Analysis"}</definedName>
    <definedName name="wrn.Allowance._.Analysis._2" hidden="1">{#N/A,#N/A,FALSE,"F. Tax Analysis";#N/A,#N/A,FALSE,"G. Bond Analysis";#N/A,#N/A,FALSE,"H. Insurance Analysis"}</definedName>
    <definedName name="wrn.Citgo._.Status." localSheetId="0" hidden="1">{#N/A,#N/A,TRUE,"Task Status";#N/A,#N/A,TRUE,"Document Status";#N/A,#N/A,TRUE,"Percent Complete";#N/A,#N/A,TRUE,"Manhour Sum"}</definedName>
    <definedName name="wrn.Citgo._.Status." localSheetId="1" hidden="1">{#N/A,#N/A,TRUE,"Task Status";#N/A,#N/A,TRUE,"Document Status";#N/A,#N/A,TRUE,"Percent Complete";#N/A,#N/A,TRUE,"Manhour Sum"}</definedName>
    <definedName name="wrn.Citgo._.Status." localSheetId="2" hidden="1">{#N/A,#N/A,TRUE,"Task Status";#N/A,#N/A,TRUE,"Document Status";#N/A,#N/A,TRUE,"Percent Complete";#N/A,#N/A,TRUE,"Manhour Sum"}</definedName>
    <definedName name="wrn.Citgo._.Status." hidden="1">{#N/A,#N/A,TRUE,"Task Status";#N/A,#N/A,TRUE,"Document Status";#N/A,#N/A,TRUE,"Percent Complete";#N/A,#N/A,TRUE,"Manhour Sum"}</definedName>
    <definedName name="wrn.Citgo._.Status._1" localSheetId="0" hidden="1">{#N/A,#N/A,TRUE,"Task Status";#N/A,#N/A,TRUE,"Document Status";#N/A,#N/A,TRUE,"Percent Complete";#N/A,#N/A,TRUE,"Manhour Sum"}</definedName>
    <definedName name="wrn.Citgo._.Status._1" localSheetId="1" hidden="1">{#N/A,#N/A,TRUE,"Task Status";#N/A,#N/A,TRUE,"Document Status";#N/A,#N/A,TRUE,"Percent Complete";#N/A,#N/A,TRUE,"Manhour Sum"}</definedName>
    <definedName name="wrn.Citgo._.Status._1" localSheetId="2" hidden="1">{#N/A,#N/A,TRUE,"Task Status";#N/A,#N/A,TRUE,"Document Status";#N/A,#N/A,TRUE,"Percent Complete";#N/A,#N/A,TRUE,"Manhour Sum"}</definedName>
    <definedName name="wrn.Citgo._.Status._1" hidden="1">{#N/A,#N/A,TRUE,"Task Status";#N/A,#N/A,TRUE,"Document Status";#N/A,#N/A,TRUE,"Percent Complete";#N/A,#N/A,TRUE,"Manhour Sum"}</definedName>
    <definedName name="wrn.Citgo._.Status._2" localSheetId="0" hidden="1">{#N/A,#N/A,TRUE,"Task Status";#N/A,#N/A,TRUE,"Document Status";#N/A,#N/A,TRUE,"Percent Complete";#N/A,#N/A,TRUE,"Manhour Sum"}</definedName>
    <definedName name="wrn.Citgo._.Status._2" localSheetId="1" hidden="1">{#N/A,#N/A,TRUE,"Task Status";#N/A,#N/A,TRUE,"Document Status";#N/A,#N/A,TRUE,"Percent Complete";#N/A,#N/A,TRUE,"Manhour Sum"}</definedName>
    <definedName name="wrn.Citgo._.Status._2" localSheetId="2" hidden="1">{#N/A,#N/A,TRUE,"Task Status";#N/A,#N/A,TRUE,"Document Status";#N/A,#N/A,TRUE,"Percent Complete";#N/A,#N/A,TRUE,"Manhour Sum"}</definedName>
    <definedName name="wrn.Citgo._.Status._2" hidden="1">{#N/A,#N/A,TRUE,"Task Status";#N/A,#N/A,TRUE,"Document Status";#N/A,#N/A,TRUE,"Percent Complete";#N/A,#N/A,TRUE,"Manhour Sum"}</definedName>
    <definedName name="wrn.Detail." localSheetId="0" hidden="1">{"Detail",#N/A,FALSE,"Detail"}</definedName>
    <definedName name="wrn.Detail." localSheetId="1" hidden="1">{"Detail",#N/A,FALSE,"Detail"}</definedName>
    <definedName name="wrn.Detail." localSheetId="2" hidden="1">{"Detail",#N/A,FALSE,"Detail"}</definedName>
    <definedName name="wrn.Detail." hidden="1">{"Detail",#N/A,FALSE,"Detail"}</definedName>
    <definedName name="wrn.Detail._1" localSheetId="0" hidden="1">{"Detail",#N/A,FALSE,"Detail"}</definedName>
    <definedName name="wrn.Detail._1" localSheetId="1" hidden="1">{"Detail",#N/A,FALSE,"Detail"}</definedName>
    <definedName name="wrn.Detail._1" localSheetId="2" hidden="1">{"Detail",#N/A,FALSE,"Detail"}</definedName>
    <definedName name="wrn.Detail._1" hidden="1">{"Detail",#N/A,FALSE,"Detail"}</definedName>
    <definedName name="wrn.Detail._2" localSheetId="0" hidden="1">{"Detail",#N/A,FALSE,"Detail"}</definedName>
    <definedName name="wrn.Detail._2" localSheetId="1" hidden="1">{"Detail",#N/A,FALSE,"Detail"}</definedName>
    <definedName name="wrn.Detail._2" localSheetId="2" hidden="1">{"Detail",#N/A,FALSE,"Detail"}</definedName>
    <definedName name="wrn.Detail._2" hidden="1">{"Detail",#N/A,FALSE,"Detail"}</definedName>
    <definedName name="wrn.Executive._.Review._.Report." localSheetId="0" hidden="1">{#N/A,#N/A,FALSE,"Executive Review Sheet";#N/A,#N/A,FALSE,"Summary of Estimate Components";#N/A,#N/A,FALSE,"Summary of Allowances"}</definedName>
    <definedName name="wrn.Executive._.Review._.Report." localSheetId="1" hidden="1">{#N/A,#N/A,FALSE,"Executive Review Sheet";#N/A,#N/A,FALSE,"Summary of Estimate Components";#N/A,#N/A,FALSE,"Summary of Allowances"}</definedName>
    <definedName name="wrn.Executive._.Review._.Report." localSheetId="2" hidden="1">{#N/A,#N/A,FALSE,"Executive Review Sheet";#N/A,#N/A,FALSE,"Summary of Estimate Components";#N/A,#N/A,FALSE,"Summary of Allowances"}</definedName>
    <definedName name="wrn.Executive._.Review._.Report." hidden="1">{#N/A,#N/A,FALSE,"Executive Review Sheet";#N/A,#N/A,FALSE,"Summary of Estimate Components";#N/A,#N/A,FALSE,"Summary of Allowances"}</definedName>
    <definedName name="wrn.Executive._.Review._.Report._1" localSheetId="0" hidden="1">{#N/A,#N/A,FALSE,"Executive Review Sheet";#N/A,#N/A,FALSE,"Summary of Estimate Components";#N/A,#N/A,FALSE,"Summary of Allowances"}</definedName>
    <definedName name="wrn.Executive._.Review._.Report._1" localSheetId="1" hidden="1">{#N/A,#N/A,FALSE,"Executive Review Sheet";#N/A,#N/A,FALSE,"Summary of Estimate Components";#N/A,#N/A,FALSE,"Summary of Allowances"}</definedName>
    <definedName name="wrn.Executive._.Review._.Report._1" localSheetId="2" hidden="1">{#N/A,#N/A,FALSE,"Executive Review Sheet";#N/A,#N/A,FALSE,"Summary of Estimate Components";#N/A,#N/A,FALSE,"Summary of Allowances"}</definedName>
    <definedName name="wrn.Executive._.Review._.Report._1" hidden="1">{#N/A,#N/A,FALSE,"Executive Review Sheet";#N/A,#N/A,FALSE,"Summary of Estimate Components";#N/A,#N/A,FALSE,"Summary of Allowances"}</definedName>
    <definedName name="wrn.Executive._.Review._.Report._2" localSheetId="0" hidden="1">{#N/A,#N/A,FALSE,"Executive Review Sheet";#N/A,#N/A,FALSE,"Summary of Estimate Components";#N/A,#N/A,FALSE,"Summary of Allowances"}</definedName>
    <definedName name="wrn.Executive._.Review._.Report._2" localSheetId="1" hidden="1">{#N/A,#N/A,FALSE,"Executive Review Sheet";#N/A,#N/A,FALSE,"Summary of Estimate Components";#N/A,#N/A,FALSE,"Summary of Allowances"}</definedName>
    <definedName name="wrn.Executive._.Review._.Report._2" localSheetId="2" hidden="1">{#N/A,#N/A,FALSE,"Executive Review Sheet";#N/A,#N/A,FALSE,"Summary of Estimate Components";#N/A,#N/A,FALSE,"Summary of Allowances"}</definedName>
    <definedName name="wrn.Executive._.Review._.Report._2" hidden="1">{#N/A,#N/A,FALSE,"Executive Review Sheet";#N/A,#N/A,FALSE,"Summary of Estimate Components";#N/A,#N/A,FALSE,"Summary of Allowances"}</definedName>
    <definedName name="wrn.FNM._.Graph." localSheetId="0" hidden="1">{"fnm graph",#N/A,FALSE,"Graphs"}</definedName>
    <definedName name="wrn.FNM._.Graph." localSheetId="1" hidden="1">{"fnm graph",#N/A,FALSE,"Graphs"}</definedName>
    <definedName name="wrn.FNM._.Graph." localSheetId="2" hidden="1">{"fnm graph",#N/A,FALSE,"Graphs"}</definedName>
    <definedName name="wrn.FNM._.Graph." hidden="1">{"fnm graph",#N/A,FALSE,"Graphs"}</definedName>
    <definedName name="wrn.Indirects." localSheetId="0" hidden="1">{"Budget",#N/A,TRUE,"Criteria";"Summary",#N/A,TRUE,"Summary";"Detail",#N/A,TRUE,"Detail";"Staff",#N/A,TRUE,"Staffing";"Equip",#N/A,TRUE,"Equipment"}</definedName>
    <definedName name="wrn.Indirects." localSheetId="1" hidden="1">{"Budget",#N/A,TRUE,"Criteria";"Summary",#N/A,TRUE,"Summary";"Detail",#N/A,TRUE,"Detail";"Staff",#N/A,TRUE,"Staffing";"Equip",#N/A,TRUE,"Equipment"}</definedName>
    <definedName name="wrn.Indirects." localSheetId="2" hidden="1">{"Budget",#N/A,TRUE,"Criteria";"Summary",#N/A,TRUE,"Summary";"Detail",#N/A,TRUE,"Detail";"Staff",#N/A,TRUE,"Staffing";"Equip",#N/A,TRUE,"Equipment"}</definedName>
    <definedName name="wrn.Indirects." hidden="1">{"Budget",#N/A,TRUE,"Criteria";"Summary",#N/A,TRUE,"Summary";"Detail",#N/A,TRUE,"Detail";"Staff",#N/A,TRUE,"Staffing";"Equip",#N/A,TRUE,"Equipment"}</definedName>
    <definedName name="wrn.Indirects._1" localSheetId="0" hidden="1">{"Budget",#N/A,TRUE,"Criteria";"Summary",#N/A,TRUE,"Summary";"Detail",#N/A,TRUE,"Detail";"Staff",#N/A,TRUE,"Staffing";"Equip",#N/A,TRUE,"Equipment"}</definedName>
    <definedName name="wrn.Indirects._1" localSheetId="1" hidden="1">{"Budget",#N/A,TRUE,"Criteria";"Summary",#N/A,TRUE,"Summary";"Detail",#N/A,TRUE,"Detail";"Staff",#N/A,TRUE,"Staffing";"Equip",#N/A,TRUE,"Equipment"}</definedName>
    <definedName name="wrn.Indirects._1" localSheetId="2" hidden="1">{"Budget",#N/A,TRUE,"Criteria";"Summary",#N/A,TRUE,"Summary";"Detail",#N/A,TRUE,"Detail";"Staff",#N/A,TRUE,"Staffing";"Equip",#N/A,TRUE,"Equipment"}</definedName>
    <definedName name="wrn.Indirects._1" hidden="1">{"Budget",#N/A,TRUE,"Criteria";"Summary",#N/A,TRUE,"Summary";"Detail",#N/A,TRUE,"Detail";"Staff",#N/A,TRUE,"Staffing";"Equip",#N/A,TRUE,"Equipment"}</definedName>
    <definedName name="wrn.Indirects._2" localSheetId="0" hidden="1">{"Budget",#N/A,TRUE,"Criteria";"Summary",#N/A,TRUE,"Summary";"Detail",#N/A,TRUE,"Detail";"Staff",#N/A,TRUE,"Staffing";"Equip",#N/A,TRUE,"Equipment"}</definedName>
    <definedName name="wrn.Indirects._2" localSheetId="1" hidden="1">{"Budget",#N/A,TRUE,"Criteria";"Summary",#N/A,TRUE,"Summary";"Detail",#N/A,TRUE,"Detail";"Staff",#N/A,TRUE,"Staffing";"Equip",#N/A,TRUE,"Equipment"}</definedName>
    <definedName name="wrn.Indirects._2" localSheetId="2" hidden="1">{"Budget",#N/A,TRUE,"Criteria";"Summary",#N/A,TRUE,"Summary";"Detail",#N/A,TRUE,"Detail";"Staff",#N/A,TRUE,"Staffing";"Equip",#N/A,TRUE,"Equipment"}</definedName>
    <definedName name="wrn.Indirects._2" hidden="1">{"Budget",#N/A,TRUE,"Criteria";"Summary",#N/A,TRUE,"Summary";"Detail",#N/A,TRUE,"Detail";"Staff",#N/A,TRUE,"Staffing";"Equip",#N/A,TRUE,"Equipment"}</definedName>
    <definedName name="wrn.leroy." localSheetId="0" hidden="1">{"Summary",#N/A,FALSE,"Summary"}</definedName>
    <definedName name="wrn.leroy." localSheetId="1" hidden="1">{"Summary",#N/A,FALSE,"Summary"}</definedName>
    <definedName name="wrn.leroy." localSheetId="2" hidden="1">{"Summary",#N/A,FALSE,"Summary"}</definedName>
    <definedName name="wrn.leroy." hidden="1">{"Summary",#N/A,FALSE,"Summary"}</definedName>
    <definedName name="wrn.Profile._.and._.Basis." localSheetId="0" hidden="1">{#N/A,#N/A,FALSE,"Project Profile";#N/A,#N/A,FALSE,"Basis of Estimate"}</definedName>
    <definedName name="wrn.Profile._.and._.Basis." localSheetId="1" hidden="1">{#N/A,#N/A,FALSE,"Project Profile";#N/A,#N/A,FALSE,"Basis of Estimate"}</definedName>
    <definedName name="wrn.Profile._.and._.Basis." localSheetId="2" hidden="1">{#N/A,#N/A,FALSE,"Project Profile";#N/A,#N/A,FALSE,"Basis of Estimate"}</definedName>
    <definedName name="wrn.Profile._.and._.Basis." hidden="1">{#N/A,#N/A,FALSE,"Project Profile";#N/A,#N/A,FALSE,"Basis of Estimate"}</definedName>
    <definedName name="wrn.Profile._.and._.Basis._1" localSheetId="0" hidden="1">{#N/A,#N/A,FALSE,"Project Profile";#N/A,#N/A,FALSE,"Basis of Estimate"}</definedName>
    <definedName name="wrn.Profile._.and._.Basis._1" localSheetId="1" hidden="1">{#N/A,#N/A,FALSE,"Project Profile";#N/A,#N/A,FALSE,"Basis of Estimate"}</definedName>
    <definedName name="wrn.Profile._.and._.Basis._1" localSheetId="2" hidden="1">{#N/A,#N/A,FALSE,"Project Profile";#N/A,#N/A,FALSE,"Basis of Estimate"}</definedName>
    <definedName name="wrn.Profile._.and._.Basis._1" hidden="1">{#N/A,#N/A,FALSE,"Project Profile";#N/A,#N/A,FALSE,"Basis of Estimate"}</definedName>
    <definedName name="wrn.Profile._.and._.Basis._2" localSheetId="0" hidden="1">{#N/A,#N/A,FALSE,"Project Profile";#N/A,#N/A,FALSE,"Basis of Estimate"}</definedName>
    <definedName name="wrn.Profile._.and._.Basis._2" localSheetId="1" hidden="1">{#N/A,#N/A,FALSE,"Project Profile";#N/A,#N/A,FALSE,"Basis of Estimate"}</definedName>
    <definedName name="wrn.Profile._.and._.Basis._2" localSheetId="2" hidden="1">{#N/A,#N/A,FALSE,"Project Profile";#N/A,#N/A,FALSE,"Basis of Estimate"}</definedName>
    <definedName name="wrn.Profile._.and._.Basis._2" hidden="1">{#N/A,#N/A,FALSE,"Project Profile";#N/A,#N/A,FALSE,"Basis of Estimate"}</definedName>
    <definedName name="wrn.Rev._.0." localSheetId="0" hidden="1">{"Rev 0 Normal",#N/A,FALSE,"FNM Plan-Rev 0";"Rev 0 Pricing",#N/A,FALSE,"FNM Plan-Rev 0"}</definedName>
    <definedName name="wrn.Rev._.0." localSheetId="1" hidden="1">{"Rev 0 Normal",#N/A,FALSE,"FNM Plan-Rev 0";"Rev 0 Pricing",#N/A,FALSE,"FNM Plan-Rev 0"}</definedName>
    <definedName name="wrn.Rev._.0." localSheetId="2" hidden="1">{"Rev 0 Normal",#N/A,FALSE,"FNM Plan-Rev 0";"Rev 0 Pricing",#N/A,FALSE,"FNM Plan-Rev 0"}</definedName>
    <definedName name="wrn.Rev._.0." hidden="1">{"Rev 0 Normal",#N/A,FALSE,"FNM Plan-Rev 0";"Rev 0 Pricing",#N/A,FALSE,"FNM Plan-Rev 0"}</definedName>
    <definedName name="wrn.Rev._.0._1" localSheetId="0" hidden="1">{"Rev 0 Normal",#N/A,FALSE,"FNM Plan-Rev 0";"Rev 0 Pricing",#N/A,FALSE,"FNM Plan-Rev 0"}</definedName>
    <definedName name="wrn.Rev._.0._1" localSheetId="1" hidden="1">{"Rev 0 Normal",#N/A,FALSE,"FNM Plan-Rev 0";"Rev 0 Pricing",#N/A,FALSE,"FNM Plan-Rev 0"}</definedName>
    <definedName name="wrn.Rev._.0._1" localSheetId="2" hidden="1">{"Rev 0 Normal",#N/A,FALSE,"FNM Plan-Rev 0";"Rev 0 Pricing",#N/A,FALSE,"FNM Plan-Rev 0"}</definedName>
    <definedName name="wrn.Rev._.0._1" hidden="1">{"Rev 0 Normal",#N/A,FALSE,"FNM Plan-Rev 0";"Rev 0 Pricing",#N/A,FALSE,"FNM Plan-Rev 0"}</definedName>
    <definedName name="wrn.Rev._.0._2" localSheetId="0" hidden="1">{"Rev 0 Normal",#N/A,FALSE,"FNM Plan-Rev 0";"Rev 0 Pricing",#N/A,FALSE,"FNM Plan-Rev 0"}</definedName>
    <definedName name="wrn.Rev._.0._2" localSheetId="1" hidden="1">{"Rev 0 Normal",#N/A,FALSE,"FNM Plan-Rev 0";"Rev 0 Pricing",#N/A,FALSE,"FNM Plan-Rev 0"}</definedName>
    <definedName name="wrn.Rev._.0._2" localSheetId="2" hidden="1">{"Rev 0 Normal",#N/A,FALSE,"FNM Plan-Rev 0";"Rev 0 Pricing",#N/A,FALSE,"FNM Plan-Rev 0"}</definedName>
    <definedName name="wrn.Rev._.0._2" hidden="1">{"Rev 0 Normal",#N/A,FALSE,"FNM Plan-Rev 0";"Rev 0 Pricing",#N/A,FALSE,"FNM Plan-Rev 0"}</definedName>
    <definedName name="wrn.Summary." localSheetId="0" hidden="1">{"Summary",#N/A,FALSE,"Summary"}</definedName>
    <definedName name="wrn.Summary." localSheetId="1" hidden="1">{"Summary",#N/A,FALSE,"Summary"}</definedName>
    <definedName name="wrn.Summary." localSheetId="2" hidden="1">{"Summary",#N/A,FALSE,"Summary"}</definedName>
    <definedName name="wrn.Summary." hidden="1">{"Summary",#N/A,FALSE,"Summary"}</definedName>
    <definedName name="wrn.Summary._1" localSheetId="0" hidden="1">{"Summary",#N/A,FALSE,"Summary"}</definedName>
    <definedName name="wrn.Summary._1" localSheetId="1" hidden="1">{"Summary",#N/A,FALSE,"Summary"}</definedName>
    <definedName name="wrn.Summary._1" localSheetId="2" hidden="1">{"Summary",#N/A,FALSE,"Summary"}</definedName>
    <definedName name="wrn.Summary._1" hidden="1">{"Summary",#N/A,FALSE,"Summary"}</definedName>
    <definedName name="wrn.Summary._2" localSheetId="0" hidden="1">{"Summary",#N/A,FALSE,"Summary"}</definedName>
    <definedName name="wrn.Summary._2" localSheetId="1" hidden="1">{"Summary",#N/A,FALSE,"Summary"}</definedName>
    <definedName name="wrn.Summary._2" localSheetId="2" hidden="1">{"Summary",#N/A,FALSE,"Summary"}</definedName>
    <definedName name="wrn.Summary._2" hidden="1">{"Summary",#N/A,FALSE,"Summary"}</definedName>
    <definedName name="wrtywy" localSheetId="0" hidden="1">{#N/A,#N/A,TRUE,"Task Status";#N/A,#N/A,TRUE,"Document Status";#N/A,#N/A,TRUE,"Percent Complete";#N/A,#N/A,TRUE,"Manhour Sum"}</definedName>
    <definedName name="wrtywy" localSheetId="1" hidden="1">{#N/A,#N/A,TRUE,"Task Status";#N/A,#N/A,TRUE,"Document Status";#N/A,#N/A,TRUE,"Percent Complete";#N/A,#N/A,TRUE,"Manhour Sum"}</definedName>
    <definedName name="wrtywy" localSheetId="2" hidden="1">{#N/A,#N/A,TRUE,"Task Status";#N/A,#N/A,TRUE,"Document Status";#N/A,#N/A,TRUE,"Percent Complete";#N/A,#N/A,TRUE,"Manhour Sum"}</definedName>
    <definedName name="wrtywy" hidden="1">{#N/A,#N/A,TRUE,"Task Status";#N/A,#N/A,TRUE,"Document Status";#N/A,#N/A,TRUE,"Percent Complete";#N/A,#N/A,TRUE,"Manhour Sum"}</definedName>
    <definedName name="x" localSheetId="0" hidden="1">{#N/A,#N/A,TRUE,"Task Status";#N/A,#N/A,TRUE,"Document Status";#N/A,#N/A,TRUE,"Percent Complete";#N/A,#N/A,TRUE,"Manhour Sum"}</definedName>
    <definedName name="x" localSheetId="1" hidden="1">{#N/A,#N/A,TRUE,"Task Status";#N/A,#N/A,TRUE,"Document Status";#N/A,#N/A,TRUE,"Percent Complete";#N/A,#N/A,TRUE,"Manhour Sum"}</definedName>
    <definedName name="x" localSheetId="2" hidden="1">{#N/A,#N/A,TRUE,"Task Status";#N/A,#N/A,TRUE,"Document Status";#N/A,#N/A,TRUE,"Percent Complete";#N/A,#N/A,TRUE,"Manhour Sum"}</definedName>
    <definedName name="x" hidden="1">{#N/A,#N/A,TRUE,"Task Status";#N/A,#N/A,TRUE,"Document Status";#N/A,#N/A,TRUE,"Percent Complete";#N/A,#N/A,TRUE,"Manhour Sum"}</definedName>
    <definedName name="xch" localSheetId="0" hidden="1">{#N/A,#N/A,FALSE,"Project Profile";#N/A,#N/A,FALSE,"Basis of Estimate"}</definedName>
    <definedName name="xch" localSheetId="1" hidden="1">{#N/A,#N/A,FALSE,"Project Profile";#N/A,#N/A,FALSE,"Basis of Estimate"}</definedName>
    <definedName name="xch" localSheetId="2" hidden="1">{#N/A,#N/A,FALSE,"Project Profile";#N/A,#N/A,FALSE,"Basis of Estimate"}</definedName>
    <definedName name="xch" hidden="1">{#N/A,#N/A,FALSE,"Project Profile";#N/A,#N/A,FALSE,"Basis of Estimate"}</definedName>
    <definedName name="XLOPTvec">"12 14 1 125 1 0 1 1 1 1 1 1 0 0 1 0 0 0 0 0"</definedName>
    <definedName name="xxx" localSheetId="0" hidden="1">{#N/A,#N/A,FALSE,"Sum6 (1)"}</definedName>
    <definedName name="xxx" localSheetId="1" hidden="1">{#N/A,#N/A,FALSE,"Sum6 (1)"}</definedName>
    <definedName name="xxx" localSheetId="2" hidden="1">{#N/A,#N/A,FALSE,"Sum6 (1)"}</definedName>
    <definedName name="xxx" hidden="1">{#N/A,#N/A,FALSE,"Sum6 (1)"}</definedName>
    <definedName name="xxxxxxx" localSheetId="0" hidden="1">{#N/A,#N/A,FALSE,"Sum6 (1)"}</definedName>
    <definedName name="xxxxxxx" localSheetId="1" hidden="1">{#N/A,#N/A,FALSE,"Sum6 (1)"}</definedName>
    <definedName name="xxxxxxx" localSheetId="2" hidden="1">{#N/A,#N/A,FALSE,"Sum6 (1)"}</definedName>
    <definedName name="xxxxxxx" hidden="1">{#N/A,#N/A,FALSE,"Sum6 (1)"}</definedName>
    <definedName name="xxxxxxx_1" localSheetId="0" hidden="1">{#N/A,#N/A,FALSE,"Sum6 (1)"}</definedName>
    <definedName name="xxxxxxx_1" localSheetId="1" hidden="1">{#N/A,#N/A,FALSE,"Sum6 (1)"}</definedName>
    <definedName name="xxxxxxx_1" localSheetId="2" hidden="1">{#N/A,#N/A,FALSE,"Sum6 (1)"}</definedName>
    <definedName name="xxxxxxx_1" hidden="1">{#N/A,#N/A,FALSE,"Sum6 (1)"}</definedName>
    <definedName name="xxxxxxx_2" localSheetId="0" hidden="1">{#N/A,#N/A,FALSE,"Sum6 (1)"}</definedName>
    <definedName name="xxxxxxx_2" localSheetId="1" hidden="1">{#N/A,#N/A,FALSE,"Sum6 (1)"}</definedName>
    <definedName name="xxxxxxx_2" localSheetId="2" hidden="1">{#N/A,#N/A,FALSE,"Sum6 (1)"}</definedName>
    <definedName name="xxxxxxx_2" hidden="1">{#N/A,#N/A,FALSE,"Sum6 (1)"}</definedName>
    <definedName name="yipkiedyu" localSheetId="0" hidden="1">{#N/A,#N/A,FALSE,"Executive Review Sheet";#N/A,#N/A,FALSE,"Summary of Estimate Components";#N/A,#N/A,FALSE,"Summary of Allowances"}</definedName>
    <definedName name="yipkiedyu" localSheetId="1" hidden="1">{#N/A,#N/A,FALSE,"Executive Review Sheet";#N/A,#N/A,FALSE,"Summary of Estimate Components";#N/A,#N/A,FALSE,"Summary of Allowances"}</definedName>
    <definedName name="yipkiedyu" localSheetId="2" hidden="1">{#N/A,#N/A,FALSE,"Executive Review Sheet";#N/A,#N/A,FALSE,"Summary of Estimate Components";#N/A,#N/A,FALSE,"Summary of Allowances"}</definedName>
    <definedName name="yipkiedyu" hidden="1">{#N/A,#N/A,FALSE,"Executive Review Sheet";#N/A,#N/A,FALSE,"Summary of Estimate Components";#N/A,#N/A,FALSE,"Summary of Allowances"}</definedName>
    <definedName name="ypt" localSheetId="0" hidden="1">{#N/A,#N/A,TRUE,"Task Status";#N/A,#N/A,TRUE,"Document Status";#N/A,#N/A,TRUE,"Percent Complete";#N/A,#N/A,TRUE,"Manhour Sum"}</definedName>
    <definedName name="ypt" localSheetId="1" hidden="1">{#N/A,#N/A,TRUE,"Task Status";#N/A,#N/A,TRUE,"Document Status";#N/A,#N/A,TRUE,"Percent Complete";#N/A,#N/A,TRUE,"Manhour Sum"}</definedName>
    <definedName name="ypt" localSheetId="2" hidden="1">{#N/A,#N/A,TRUE,"Task Status";#N/A,#N/A,TRUE,"Document Status";#N/A,#N/A,TRUE,"Percent Complete";#N/A,#N/A,TRUE,"Manhour Sum"}</definedName>
    <definedName name="ypt" hidden="1">{#N/A,#N/A,TRUE,"Task Status";#N/A,#N/A,TRUE,"Document Status";#N/A,#N/A,TRUE,"Percent Complete";#N/A,#N/A,TRUE,"Manhour Sum"}</definedName>
    <definedName name="yy" localSheetId="0" hidden="1">{#N/A,#N/A,FALSE,"Sum6 (1)"}</definedName>
    <definedName name="yy" localSheetId="1" hidden="1">{#N/A,#N/A,FALSE,"Sum6 (1)"}</definedName>
    <definedName name="yy" localSheetId="2" hidden="1">{#N/A,#N/A,FALSE,"Sum6 (1)"}</definedName>
    <definedName name="yy" hidden="1">{#N/A,#N/A,FALSE,"Sum6 (1)"}</definedName>
    <definedName name="Z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3" l="1"/>
  <c r="K53" i="3"/>
  <c r="K52" i="3"/>
  <c r="K51" i="3"/>
  <c r="K41" i="3"/>
  <c r="K40" i="3"/>
  <c r="K39" i="3"/>
  <c r="K32" i="3"/>
  <c r="K31" i="3"/>
  <c r="K30" i="3"/>
  <c r="K29" i="3"/>
  <c r="I42" i="3"/>
  <c r="G42" i="3"/>
  <c r="I33" i="3"/>
  <c r="G33" i="3"/>
  <c r="C69" i="3"/>
  <c r="E69" i="3"/>
  <c r="E96" i="2"/>
  <c r="C96" i="2"/>
  <c r="E85" i="2"/>
  <c r="C85" i="2"/>
  <c r="Q82" i="2"/>
  <c r="Q81" i="2"/>
  <c r="O72" i="2"/>
  <c r="M72" i="2"/>
  <c r="K72" i="2"/>
  <c r="I72" i="2"/>
  <c r="G72" i="2"/>
  <c r="Q72" i="2" s="1"/>
  <c r="Q71" i="2"/>
  <c r="Q70" i="2"/>
  <c r="Q69" i="2"/>
  <c r="O63" i="2"/>
  <c r="M63" i="2"/>
  <c r="K63" i="2"/>
  <c r="I63" i="2"/>
  <c r="Q63" i="2" s="1"/>
  <c r="G63" i="2"/>
  <c r="Q62" i="2"/>
  <c r="Q61" i="2"/>
  <c r="Q60" i="2"/>
  <c r="Q59" i="2"/>
  <c r="E57" i="2"/>
  <c r="E99" i="2" s="1"/>
  <c r="C57" i="2"/>
  <c r="C99" i="2" s="1"/>
  <c r="Q54" i="2"/>
  <c r="Q53" i="2"/>
  <c r="O44" i="2"/>
  <c r="Q44" i="2" s="1"/>
  <c r="M44" i="2"/>
  <c r="K44" i="2"/>
  <c r="I44" i="2"/>
  <c r="G44" i="2"/>
  <c r="Q43" i="2"/>
  <c r="Q42" i="2"/>
  <c r="Q41" i="2"/>
  <c r="O35" i="2"/>
  <c r="M35" i="2"/>
  <c r="I35" i="2"/>
  <c r="G35" i="2"/>
  <c r="Q35" i="2" s="1"/>
  <c r="Q34" i="2"/>
  <c r="Q33" i="2"/>
  <c r="Q32" i="2"/>
  <c r="Q31" i="2"/>
  <c r="K42" i="3" l="1"/>
  <c r="K33" i="3"/>
  <c r="Q57" i="2"/>
  <c r="Q85" i="2"/>
  <c r="K69" i="3" l="1"/>
  <c r="K71" i="3" s="1"/>
  <c r="Q99" i="2"/>
  <c r="D49" i="1" l="1"/>
  <c r="D47" i="1"/>
  <c r="D32" i="1"/>
  <c r="D45" i="1"/>
  <c r="D43" i="1"/>
  <c r="D42" i="1"/>
  <c r="D30" i="1"/>
  <c r="D41" i="1"/>
  <c r="D46" i="1"/>
  <c r="D44" i="1"/>
  <c r="D31" i="1"/>
  <c r="D29" i="1"/>
  <c r="D28" i="1"/>
  <c r="D27" i="1"/>
  <c r="D26" i="1"/>
  <c r="B13" i="1"/>
  <c r="B14" i="1"/>
  <c r="B10" i="1"/>
  <c r="B9" i="1"/>
  <c r="B17" i="1"/>
  <c r="B18" i="1"/>
  <c r="B8" i="1"/>
  <c r="B4" i="1"/>
  <c r="B5" i="1"/>
  <c r="B6" i="1"/>
  <c r="B7" i="1"/>
  <c r="D34" i="1" l="1"/>
  <c r="B11" i="1"/>
  <c r="C36" i="1" l="1"/>
  <c r="C51" i="1"/>
  <c r="B15" i="1"/>
  <c r="B12" i="1"/>
  <c r="D54" i="1" l="1"/>
  <c r="B16" i="1"/>
  <c r="C19" i="1"/>
  <c r="D19" i="1" l="1"/>
  <c r="B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tc={150E1E9C-7E88-4DFC-AFF0-AE6E678ED3F7}</author>
  </authors>
  <commentList>
    <comment ref="E28" authorId="0" shapeId="0" xr:uid="{150E1E9C-7E88-4DFC-AFF0-AE6E678ED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@Duszkiewicz-Cenda, Kasia (EN SPECIALTY SERVICES LLC) currently filling out the PF Template for estimating. You provided the actuals &amp; PO's issued ($4,859,700) but I need it broken down and input into he green columns below the highlighted number. Can you please assist?
Reply:
    Hi Adam ------ actuals to date portion is typically filled out by asset management or the estimator (not cost analyst). Thank you.
</t>
      </text>
    </comment>
  </commentList>
</comments>
</file>

<file path=xl/sharedStrings.xml><?xml version="1.0" encoding="utf-8"?>
<sst xmlns="http://schemas.openxmlformats.org/spreadsheetml/2006/main" count="346" uniqueCount="208">
  <si>
    <t>Partial Funding Financial Input Submittal to Cost Estimating</t>
  </si>
  <si>
    <t>Rev 2</t>
  </si>
  <si>
    <t>(5/27/25)</t>
  </si>
  <si>
    <t>Project Number:</t>
  </si>
  <si>
    <t>EPAC FF date:</t>
  </si>
  <si>
    <t>Work Order Number:</t>
  </si>
  <si>
    <t>Date of Request:</t>
  </si>
  <si>
    <t>Project Title:</t>
  </si>
  <si>
    <t>Input project title</t>
  </si>
  <si>
    <t>Submitted by:</t>
  </si>
  <si>
    <t>Adam Kelley</t>
  </si>
  <si>
    <t>Transmission or Distribution:</t>
  </si>
  <si>
    <t>T</t>
  </si>
  <si>
    <t>Instructions:</t>
  </si>
  <si>
    <t>Type of Project:</t>
  </si>
  <si>
    <t>Station</t>
  </si>
  <si>
    <t>1. Input the project and activity information into the green highlighted cells (Rows 3-9)</t>
  </si>
  <si>
    <t>State / Region:</t>
  </si>
  <si>
    <t>EMA</t>
  </si>
  <si>
    <t>2. Input total of prior authorized amount (FULL DOLLAR AMOUNT) into the green highlighted cell C28</t>
  </si>
  <si>
    <t>PM/Lead:</t>
  </si>
  <si>
    <t>3. Input actuals to date (Full DOLLAR AMOUNTS) into the green highlighted cells by WBS (Column E)</t>
  </si>
  <si>
    <t>4. Input requested partial funding direct costs (FULL DOLLARS AMOUNTS) into the green highlighted cells by WBS (Column G internal, Column I external)</t>
  </si>
  <si>
    <t>??</t>
  </si>
  <si>
    <t>5. Input activity start and finish dates (Column C15-C-20 &amp; E16-E21). Finish dates are the full funding / SDC planned date, not the finish dates of construction.</t>
  </si>
  <si>
    <t>Cost Estimating will generate the correct indirects and AFUDC for the project funding request</t>
  </si>
  <si>
    <t>Activity</t>
  </si>
  <si>
    <t>Start</t>
  </si>
  <si>
    <t>Finish</t>
  </si>
  <si>
    <t>Project cost start date</t>
  </si>
  <si>
    <t>N/A</t>
  </si>
  <si>
    <t>Date the work order was created in powerplan</t>
  </si>
  <si>
    <t>Approvals and Permits</t>
  </si>
  <si>
    <t>00/00/0000</t>
  </si>
  <si>
    <t>Siting &amp; Environmental</t>
  </si>
  <si>
    <t>Project Management</t>
  </si>
  <si>
    <t>All PM Support</t>
  </si>
  <si>
    <t>Engineering &amp; Design</t>
  </si>
  <si>
    <t xml:space="preserve">Typically time up to preliminary design </t>
  </si>
  <si>
    <t>Material Procurement</t>
  </si>
  <si>
    <t>Long lead items</t>
  </si>
  <si>
    <t>Construction</t>
  </si>
  <si>
    <t xml:space="preserve">Construction Rep / PMT Walkdown </t>
  </si>
  <si>
    <t>ISD (EPAC/SDC presentation)</t>
  </si>
  <si>
    <t>When is the planned EPAC full funding or SDC planned date?</t>
  </si>
  <si>
    <t>Dates above should also be used for the estimate request activity / milestone dates</t>
  </si>
  <si>
    <t>Scope</t>
  </si>
  <si>
    <t>Input summary of the project scope of work</t>
  </si>
  <si>
    <t>WBS Code</t>
  </si>
  <si>
    <t>WBS Description</t>
  </si>
  <si>
    <t>Prior Authorized</t>
  </si>
  <si>
    <t>Actuals To Date</t>
  </si>
  <si>
    <t>PF Amount
Internal</t>
  </si>
  <si>
    <t>PF Amount
External</t>
  </si>
  <si>
    <t>"To Go" Total</t>
  </si>
  <si>
    <t xml:space="preserve">Form Notes </t>
  </si>
  <si>
    <t>Requester Notes (back-up information, etc.)</t>
  </si>
  <si>
    <t>Real Estate, Land, Easements</t>
  </si>
  <si>
    <t>This would include land surveys</t>
  </si>
  <si>
    <t>Environmental</t>
  </si>
  <si>
    <t>Outreach</t>
  </si>
  <si>
    <t>Includes EJ (Environmental Justice) dollars</t>
  </si>
  <si>
    <t>Siting Approvals and Permits</t>
  </si>
  <si>
    <t>Engineering</t>
  </si>
  <si>
    <t xml:space="preserve">Will roll-up as a consolidated Engineering total </t>
  </si>
  <si>
    <t xml:space="preserve"> OH Line </t>
  </si>
  <si>
    <t xml:space="preserve">UG Line </t>
  </si>
  <si>
    <t>This would include UG surveys</t>
  </si>
  <si>
    <t xml:space="preserve"> Stations </t>
  </si>
  <si>
    <t xml:space="preserve">P&amp;C </t>
  </si>
  <si>
    <t xml:space="preserve">Telecomm </t>
  </si>
  <si>
    <t>Materials</t>
  </si>
  <si>
    <t>Material quotes or material authorization form $s</t>
  </si>
  <si>
    <t>Testing / Commissioning</t>
  </si>
  <si>
    <t>PMT</t>
  </si>
  <si>
    <t xml:space="preserve">Will roll-up as a consolidated PMT total </t>
  </si>
  <si>
    <t>Project Manager</t>
  </si>
  <si>
    <t>PM &amp; Scheduler</t>
  </si>
  <si>
    <t>Construction Rep</t>
  </si>
  <si>
    <t>Asset Management</t>
  </si>
  <si>
    <t>Legal</t>
  </si>
  <si>
    <t>Estimating</t>
  </si>
  <si>
    <t>Project Controls</t>
  </si>
  <si>
    <t>System Planning</t>
  </si>
  <si>
    <t>Vegetation Mgt</t>
  </si>
  <si>
    <t>Removals</t>
  </si>
  <si>
    <t>Other</t>
  </si>
  <si>
    <t>Risk (N/A for partial funding)</t>
  </si>
  <si>
    <t>Contingency (N/A for partial funding)</t>
  </si>
  <si>
    <t>Indirects</t>
  </si>
  <si>
    <r>
      <t>Non-Productive(</t>
    </r>
    <r>
      <rPr>
        <b/>
        <sz val="10"/>
        <color rgb="FF0070C0"/>
        <rFont val="Arial"/>
        <family val="2"/>
      </rPr>
      <t>ZNP</t>
    </r>
    <r>
      <rPr>
        <sz val="10"/>
        <color theme="1"/>
        <rFont val="Arial"/>
        <family val="2"/>
      </rPr>
      <t>)</t>
    </r>
  </si>
  <si>
    <r>
      <t>Payroll Benefits(</t>
    </r>
    <r>
      <rPr>
        <b/>
        <sz val="10"/>
        <color rgb="FF0070C0"/>
        <rFont val="Arial"/>
        <family val="2"/>
      </rPr>
      <t>ZPB</t>
    </r>
    <r>
      <rPr>
        <sz val="10"/>
        <color theme="1"/>
        <rFont val="Arial"/>
        <family val="2"/>
      </rPr>
      <t>)</t>
    </r>
  </si>
  <si>
    <r>
      <t>General Service(</t>
    </r>
    <r>
      <rPr>
        <b/>
        <sz val="10"/>
        <color rgb="FF0070C0"/>
        <rFont val="Arial"/>
        <family val="2"/>
      </rPr>
      <t>ZGS</t>
    </r>
    <r>
      <rPr>
        <sz val="10"/>
        <color theme="1"/>
        <rFont val="Arial"/>
        <family val="2"/>
      </rPr>
      <t>)</t>
    </r>
  </si>
  <si>
    <r>
      <t>MDEC(</t>
    </r>
    <r>
      <rPr>
        <b/>
        <sz val="10"/>
        <color rgb="FF0070C0"/>
        <rFont val="Arial"/>
        <family val="2"/>
      </rPr>
      <t>ZMI</t>
    </r>
    <r>
      <rPr>
        <sz val="10"/>
        <color theme="1"/>
        <rFont val="Arial"/>
        <family val="2"/>
      </rPr>
      <t>)</t>
    </r>
  </si>
  <si>
    <r>
      <t>E&amp;S(</t>
    </r>
    <r>
      <rPr>
        <b/>
        <sz val="10"/>
        <color rgb="FF0070C0"/>
        <rFont val="Arial"/>
        <family val="2"/>
      </rPr>
      <t>ZEB,ZEL,ZES</t>
    </r>
    <r>
      <rPr>
        <sz val="10"/>
        <color theme="1"/>
        <rFont val="Arial"/>
        <family val="2"/>
      </rPr>
      <t>)</t>
    </r>
  </si>
  <si>
    <r>
      <t>AS&amp;E(</t>
    </r>
    <r>
      <rPr>
        <b/>
        <sz val="10"/>
        <color rgb="FF0070C0"/>
        <rFont val="Arial"/>
        <family val="2"/>
      </rPr>
      <t>ZAS</t>
    </r>
    <r>
      <rPr>
        <sz val="10"/>
        <color theme="1"/>
        <rFont val="Arial"/>
        <family val="2"/>
      </rPr>
      <t>)</t>
    </r>
  </si>
  <si>
    <t>Lobby Stock</t>
  </si>
  <si>
    <r>
      <t>Stores (net rate)(</t>
    </r>
    <r>
      <rPr>
        <b/>
        <sz val="10"/>
        <color rgb="FF0070C0"/>
        <rFont val="Arial"/>
        <family val="2"/>
      </rPr>
      <t>ZST</t>
    </r>
    <r>
      <rPr>
        <sz val="10"/>
        <color theme="1"/>
        <rFont val="Arial"/>
        <family val="2"/>
      </rPr>
      <t>)</t>
    </r>
  </si>
  <si>
    <r>
      <t>Vehicles(</t>
    </r>
    <r>
      <rPr>
        <b/>
        <sz val="10"/>
        <color rgb="FF0070C0"/>
        <rFont val="Arial"/>
        <family val="2"/>
      </rPr>
      <t>ZVE</t>
    </r>
    <r>
      <rPr>
        <sz val="10"/>
        <color theme="1"/>
        <rFont val="Arial"/>
        <family val="2"/>
      </rPr>
      <t>)</t>
    </r>
  </si>
  <si>
    <t>Total</t>
  </si>
  <si>
    <t>AFUDC $'s</t>
  </si>
  <si>
    <t>Totals</t>
  </si>
  <si>
    <t>TOTAL</t>
  </si>
  <si>
    <t>Partial Funding Financial Submittal to Cost Estimating</t>
  </si>
  <si>
    <t xml:space="preserve">Template Version: </t>
  </si>
  <si>
    <t>Rev 5</t>
  </si>
  <si>
    <t>(1/6/26)</t>
  </si>
  <si>
    <t>Input project #</t>
  </si>
  <si>
    <t>00/00/00</t>
  </si>
  <si>
    <t>Input T or D</t>
  </si>
  <si>
    <t>Input either Station, UG, OH, land purchase, etc.</t>
  </si>
  <si>
    <t>1. Input the project type and activity information into the green cells (Rows 3-8)</t>
  </si>
  <si>
    <t>Input CT, EMA, WMA or NH</t>
  </si>
  <si>
    <t>2. Input prior authorized and actuals (DOLLARS AMOUNTS) in the green highlighted cells by WBS</t>
  </si>
  <si>
    <t>Input PM Name</t>
  </si>
  <si>
    <t>3. Input partial funding direct costs (DOLLARS AMOUNTS) in the green highlighted cells by WBS and by year</t>
  </si>
  <si>
    <t>4. Cost Estimating will generate the correct indirects and AFUDC for the project funding request</t>
  </si>
  <si>
    <t>Input Activity Dates (for Partial Funding request only, not for full project)</t>
  </si>
  <si>
    <t>Notes</t>
  </si>
  <si>
    <t>Date that work order was created</t>
  </si>
  <si>
    <t>Estimate cost start date</t>
  </si>
  <si>
    <t>What is your EPAC/SDC presentation date?</t>
  </si>
  <si>
    <t>Estimate ISD</t>
  </si>
  <si>
    <t xml:space="preserve">  *Note:</t>
  </si>
  <si>
    <t>Partial fundings are dollars typically requested to get the project to EPAC full funding stage</t>
  </si>
  <si>
    <t>This usually includes engineering, project management, siting, outreach and environmental, and sometimes long lead material purchases</t>
  </si>
  <si>
    <t>Are there Material / Engineering Quotes please attach? Material exemptions?  Do you have material authorization? Please attach.  </t>
  </si>
  <si>
    <t>Actuals to Date</t>
  </si>
  <si>
    <t>2026</t>
  </si>
  <si>
    <t>2027</t>
  </si>
  <si>
    <t>2028</t>
  </si>
  <si>
    <t>2029</t>
  </si>
  <si>
    <t>2030</t>
  </si>
  <si>
    <r>
      <t xml:space="preserve">Partial Funding </t>
    </r>
    <r>
      <rPr>
        <b/>
        <sz val="10"/>
        <color rgb="FFFF0000"/>
        <rFont val="Arial"/>
        <family val="2"/>
      </rPr>
      <t>Eversource Internal</t>
    </r>
  </si>
  <si>
    <t>Includes land surveys</t>
  </si>
  <si>
    <t>Includes EJ dollars</t>
  </si>
  <si>
    <t xml:space="preserve">No input, will roll-up as a consolidated Engineering total </t>
  </si>
  <si>
    <t xml:space="preserve">  Engineering Design - OH Line </t>
  </si>
  <si>
    <t xml:space="preserve">  Engineering Design - UG Line </t>
  </si>
  <si>
    <t>Includes UG surveys</t>
  </si>
  <si>
    <t xml:space="preserve">  Engineering Design - Stations </t>
  </si>
  <si>
    <t xml:space="preserve">  Engineering Design - P&amp;C </t>
  </si>
  <si>
    <t xml:space="preserve">  Engineering Design - Telecomm </t>
  </si>
  <si>
    <t>Material Quotes</t>
  </si>
  <si>
    <t xml:space="preserve">No input, will roll-up as a consolidated PMT total </t>
  </si>
  <si>
    <t xml:space="preserve">  PMT - Project Manager</t>
  </si>
  <si>
    <t xml:space="preserve">  PMT - Construction Rep</t>
  </si>
  <si>
    <t xml:space="preserve">  PMT - Asset Management</t>
  </si>
  <si>
    <t xml:space="preserve">  PMT - Legal</t>
  </si>
  <si>
    <t xml:space="preserve">  PMT - Estimating</t>
  </si>
  <si>
    <t xml:space="preserve">  PMT - Project Controls</t>
  </si>
  <si>
    <t xml:space="preserve">  PMT - System Planning</t>
  </si>
  <si>
    <t xml:space="preserve">  PMT - Vegetation Mgt</t>
  </si>
  <si>
    <t>Risk</t>
  </si>
  <si>
    <t>Contingency</t>
  </si>
  <si>
    <r>
      <t>Partial Funding</t>
    </r>
    <r>
      <rPr>
        <b/>
        <sz val="10"/>
        <color rgb="FFFF0000"/>
        <rFont val="Arial"/>
        <family val="2"/>
      </rPr>
      <t xml:space="preserve"> External Vendor / Contractor</t>
    </r>
  </si>
  <si>
    <t>Indirect Costs (only for actuals)</t>
  </si>
  <si>
    <t>TOTALS</t>
  </si>
  <si>
    <t>Project:</t>
  </si>
  <si>
    <t>1322 Line XLPE Replacement</t>
  </si>
  <si>
    <t>Group</t>
  </si>
  <si>
    <t>Outsource</t>
  </si>
  <si>
    <t>In House</t>
  </si>
  <si>
    <t>Activities</t>
  </si>
  <si>
    <t xml:space="preserve">T- Line Eng. </t>
  </si>
  <si>
    <r>
      <t xml:space="preserve">Preliminary, Detailed &amp; IFC Design Eng Packages (Vendor costs will be covered by available funding under 1st Partial Funding). </t>
    </r>
    <r>
      <rPr>
        <b/>
        <i/>
        <sz val="11"/>
        <color rgb="FFFF0000"/>
        <rFont val="Calibri"/>
        <family val="2"/>
        <scheme val="minor"/>
      </rPr>
      <t>Level A Survey</t>
    </r>
    <r>
      <rPr>
        <sz val="11"/>
        <rFont val="Calibri"/>
        <family val="2"/>
        <scheme val="minor"/>
      </rPr>
      <t>.</t>
    </r>
  </si>
  <si>
    <t>Telecom Eng.</t>
  </si>
  <si>
    <t>Preliminary, Detailed &amp; IFC Design Eng Packages</t>
  </si>
  <si>
    <t xml:space="preserve">P&amp;C Eng. </t>
  </si>
  <si>
    <t>Substation Eng. Design</t>
  </si>
  <si>
    <t>Preliminary, Detailed &amp; IFC Design Eng Packages (Vendor contract to be issue under 2nd Partial Funding)</t>
  </si>
  <si>
    <t>System Planing T-Line</t>
  </si>
  <si>
    <t>Project and Design Support</t>
  </si>
  <si>
    <t>Survey</t>
  </si>
  <si>
    <t>Quality Level A Survey</t>
  </si>
  <si>
    <t>ROW &amp; Real Estate</t>
  </si>
  <si>
    <t>Project Support, Easements, Assesment, etc</t>
  </si>
  <si>
    <t>Environmental (Licensing and Permitting)</t>
  </si>
  <si>
    <t>Project Support, Permitting, etc</t>
  </si>
  <si>
    <t>Outreach Plan (Environmental Justice)</t>
  </si>
  <si>
    <t>Community Relations</t>
  </si>
  <si>
    <t>Communication with Towns and Public</t>
  </si>
  <si>
    <t>Siting &amp; Legal</t>
  </si>
  <si>
    <t>Siting and Permitting, and DPU Letter revision based on comments (Vendor contract to be issued under 2nd Partial Funding)</t>
  </si>
  <si>
    <t>Project Management and Coordination</t>
  </si>
  <si>
    <t>Asset Management and Cost Estimate</t>
  </si>
  <si>
    <t>Partial Funding Approval and AM-Related Activities</t>
  </si>
  <si>
    <t xml:space="preserve">Walkdowns and Project Support </t>
  </si>
  <si>
    <t>Contingency/Miscellaneous/Risk (N/A)</t>
  </si>
  <si>
    <t>Total Direct Costs</t>
  </si>
  <si>
    <t>NOTE: All costs are approximate estimates and were obtained from the SMEs</t>
  </si>
  <si>
    <t>INTERNAL</t>
  </si>
  <si>
    <t>Notes (Overall Split = 100% in 2024)</t>
  </si>
  <si>
    <t>T-Line Eng Design</t>
  </si>
  <si>
    <t xml:space="preserve">T-Line Design, P&amp;C, Telecomm, System Planning </t>
  </si>
  <si>
    <t>S/S Eng Design</t>
  </si>
  <si>
    <t xml:space="preserve">Substation Design, P&amp;C, Telecomm, System Planning </t>
  </si>
  <si>
    <t>ROW/Real Estate/Surveys</t>
  </si>
  <si>
    <t>Survey/Real Estate</t>
  </si>
  <si>
    <t>Env. Approvals/Permits</t>
  </si>
  <si>
    <t>Siting Approvals/Permits</t>
  </si>
  <si>
    <t>Siting</t>
  </si>
  <si>
    <t>Asset Management &amp; Construction Rep</t>
  </si>
  <si>
    <t>TOTALS 2023/2024</t>
  </si>
  <si>
    <t>EXTERNAL</t>
  </si>
  <si>
    <r>
      <t xml:space="preserve">T-Line Design, P&amp;C, Telecomm, System Planning - </t>
    </r>
    <r>
      <rPr>
        <i/>
        <sz val="11"/>
        <color rgb="FFFF0000"/>
        <rFont val="Calibri"/>
        <family val="2"/>
        <scheme val="minor"/>
      </rPr>
      <t>1st Partial Funding</t>
    </r>
  </si>
  <si>
    <r>
      <t xml:space="preserve">Substation Design, P&amp;C, Telecomm, System Planning - </t>
    </r>
    <r>
      <rPr>
        <i/>
        <sz val="11"/>
        <color rgb="FFFF0000"/>
        <rFont val="Calibri"/>
        <family val="2"/>
        <scheme val="minor"/>
      </rPr>
      <t>1st Partial Funding</t>
    </r>
  </si>
  <si>
    <t>Total to be Requested under 2nd Partial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</si>
</sst>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_);_(&quot;$&quot;* \(#,##0\);_(&quot;$&quot;* &quot;-&quot;?_);_(@_)"/>
    <numFmt numFmtId="166" formatCode="mm/dd/yy;@"/>
    <numFmt numFmtId="167" formatCode="yyyy"/>
    <numFmt numFmtId="168" formatCode="0.0%"/>
    <numFmt numFmtId="169" formatCode="_(&quot;$&quot;* #,##0.0_);_(&quot;$&quot;* \(#,##0.0\);_(&quot;$&quot;* &quot;-&quot;?_);_(@_)"/>
    <numFmt numFmtId="170" formatCode="&quot;$&quot;#,##0.0"/>
    <numFmt numFmtId="171" formatCode="&quot;$&quot;#,##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 val="singleAccounting"/>
      <sz val="10"/>
      <color theme="1"/>
      <name val="Arial"/>
      <family val="2"/>
    </font>
    <font>
      <b/>
      <sz val="10"/>
      <color rgb="FF0070C0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6"/>
      <color theme="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lightGray">
        <bgColor theme="2" tint="-0.249977111117893"/>
      </patternFill>
    </fill>
    <fill>
      <patternFill patternType="gray125">
        <bgColor theme="7" tint="0.79995117038483843"/>
      </patternFill>
    </fill>
    <fill>
      <patternFill patternType="gray125">
        <bgColor theme="7" tint="0.7999206518753624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8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4" fontId="1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1" quotePrefix="1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6" fillId="0" borderId="1" xfId="1" applyNumberFormat="1" applyFont="1" applyFill="1" applyBorder="1" applyAlignment="1">
      <alignment vertical="center"/>
    </xf>
    <xf numFmtId="164" fontId="5" fillId="0" borderId="1" xfId="1" applyNumberFormat="1" applyFont="1" applyFill="1" applyBorder="1" applyAlignment="1">
      <alignment vertical="center"/>
    </xf>
    <xf numFmtId="164" fontId="6" fillId="2" borderId="2" xfId="1" applyNumberFormat="1" applyFont="1" applyFill="1" applyBorder="1" applyAlignment="1">
      <alignment horizontal="right" vertical="center"/>
    </xf>
    <xf numFmtId="164" fontId="6" fillId="2" borderId="2" xfId="0" applyNumberFormat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4" fontId="10" fillId="0" borderId="0" xfId="1" applyFont="1" applyAlignment="1">
      <alignment vertical="center"/>
    </xf>
    <xf numFmtId="44" fontId="2" fillId="0" borderId="1" xfId="1" applyFont="1" applyBorder="1" applyAlignment="1">
      <alignment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4" fontId="11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2" fillId="4" borderId="0" xfId="0" applyNumberFormat="1" applyFont="1" applyFill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7" fillId="0" borderId="1" xfId="1" quotePrefix="1" applyNumberFormat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11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1" applyNumberFormat="1" applyFont="1" applyFill="1" applyBorder="1" applyAlignment="1">
      <alignment vertical="center"/>
    </xf>
    <xf numFmtId="0" fontId="3" fillId="0" borderId="0" xfId="4"/>
    <xf numFmtId="164" fontId="0" fillId="0" borderId="0" xfId="2" applyNumberFormat="1" applyFont="1"/>
    <xf numFmtId="0" fontId="15" fillId="0" borderId="0" xfId="4" applyFont="1"/>
    <xf numFmtId="164" fontId="0" fillId="0" borderId="0" xfId="2" applyNumberFormat="1" applyFont="1" applyAlignment="1">
      <alignment horizontal="right"/>
    </xf>
    <xf numFmtId="0" fontId="16" fillId="0" borderId="0" xfId="4" applyFont="1" applyAlignment="1">
      <alignment horizontal="left"/>
    </xf>
    <xf numFmtId="0" fontId="17" fillId="7" borderId="0" xfId="4" applyFont="1" applyFill="1" applyAlignment="1">
      <alignment horizontal="left" vertical="center"/>
    </xf>
    <xf numFmtId="0" fontId="16" fillId="0" borderId="0" xfId="4" applyFont="1"/>
    <xf numFmtId="0" fontId="16" fillId="0" borderId="0" xfId="4" applyFont="1" applyAlignment="1">
      <alignment wrapText="1"/>
    </xf>
    <xf numFmtId="166" fontId="16" fillId="7" borderId="0" xfId="4" applyNumberFormat="1" applyFont="1" applyFill="1"/>
    <xf numFmtId="14" fontId="16" fillId="0" borderId="0" xfId="4" applyNumberFormat="1" applyFont="1" applyAlignment="1">
      <alignment horizontal="center"/>
    </xf>
    <xf numFmtId="0" fontId="18" fillId="0" borderId="0" xfId="4" applyFont="1"/>
    <xf numFmtId="0" fontId="16" fillId="7" borderId="0" xfId="4" applyFont="1" applyFill="1"/>
    <xf numFmtId="0" fontId="17" fillId="0" borderId="0" xfId="4" applyFont="1"/>
    <xf numFmtId="0" fontId="17" fillId="7" borderId="0" xfId="4" quotePrefix="1" applyFont="1" applyFill="1" applyAlignment="1">
      <alignment horizontal="left" vertical="center"/>
    </xf>
    <xf numFmtId="0" fontId="16" fillId="0" borderId="0" xfId="4" applyFont="1" applyAlignment="1">
      <alignment horizontal="center"/>
    </xf>
    <xf numFmtId="0" fontId="19" fillId="0" borderId="0" xfId="4" applyFont="1"/>
    <xf numFmtId="164" fontId="5" fillId="0" borderId="0" xfId="2" applyNumberFormat="1" applyFont="1"/>
    <xf numFmtId="0" fontId="17" fillId="0" borderId="0" xfId="4" quotePrefix="1" applyFont="1" applyAlignment="1">
      <alignment horizontal="left" vertical="center"/>
    </xf>
    <xf numFmtId="164" fontId="0" fillId="0" borderId="0" xfId="2" applyNumberFormat="1" applyFont="1" applyAlignment="1">
      <alignment vertical="center"/>
    </xf>
    <xf numFmtId="0" fontId="3" fillId="0" borderId="0" xfId="4" applyAlignment="1">
      <alignment vertical="center"/>
    </xf>
    <xf numFmtId="164" fontId="0" fillId="0" borderId="0" xfId="2" applyNumberFormat="1" applyFont="1" applyFill="1"/>
    <xf numFmtId="0" fontId="17" fillId="3" borderId="0" xfId="4" applyFont="1" applyFill="1" applyAlignment="1">
      <alignment horizontal="center"/>
    </xf>
    <xf numFmtId="0" fontId="17" fillId="3" borderId="0" xfId="4" quotePrefix="1" applyFont="1" applyFill="1" applyAlignment="1">
      <alignment horizontal="left" vertical="center"/>
    </xf>
    <xf numFmtId="0" fontId="17" fillId="3" borderId="0" xfId="4" applyFont="1" applyFill="1"/>
    <xf numFmtId="0" fontId="17" fillId="0" borderId="0" xfId="4" applyFont="1" applyAlignment="1">
      <alignment horizontal="left"/>
    </xf>
    <xf numFmtId="164" fontId="17" fillId="3" borderId="0" xfId="2" applyNumberFormat="1" applyFont="1" applyFill="1"/>
    <xf numFmtId="164" fontId="3" fillId="0" borderId="0" xfId="2" applyNumberFormat="1" applyFont="1"/>
    <xf numFmtId="164" fontId="17" fillId="6" borderId="0" xfId="2" applyNumberFormat="1" applyFont="1" applyFill="1"/>
    <xf numFmtId="0" fontId="17" fillId="6" borderId="0" xfId="4" applyFont="1" applyFill="1"/>
    <xf numFmtId="166" fontId="16" fillId="0" borderId="0" xfId="4" applyNumberFormat="1" applyFont="1"/>
    <xf numFmtId="164" fontId="3" fillId="0" borderId="0" xfId="2" applyNumberFormat="1" applyFont="1" applyFill="1"/>
    <xf numFmtId="0" fontId="21" fillId="0" borderId="0" xfId="4" applyFont="1"/>
    <xf numFmtId="0" fontId="20" fillId="0" borderId="0" xfId="4" applyFont="1" applyAlignment="1">
      <alignment horizontal="left"/>
    </xf>
    <xf numFmtId="0" fontId="20" fillId="0" borderId="0" xfId="4" applyFont="1"/>
    <xf numFmtId="0" fontId="22" fillId="0" borderId="0" xfId="4" applyFont="1" applyAlignment="1">
      <alignment horizontal="center" wrapText="1"/>
    </xf>
    <xf numFmtId="164" fontId="22" fillId="0" borderId="3" xfId="2" applyNumberFormat="1" applyFont="1" applyBorder="1" applyAlignment="1">
      <alignment horizontal="center" wrapText="1"/>
    </xf>
    <xf numFmtId="0" fontId="22" fillId="8" borderId="3" xfId="4" applyFont="1" applyFill="1" applyBorder="1" applyAlignment="1">
      <alignment horizontal="center" wrapText="1"/>
    </xf>
    <xf numFmtId="0" fontId="22" fillId="0" borderId="3" xfId="4" applyFont="1" applyBorder="1" applyAlignment="1">
      <alignment horizontal="center" wrapText="1"/>
    </xf>
    <xf numFmtId="49" fontId="22" fillId="0" borderId="3" xfId="4" applyNumberFormat="1" applyFont="1" applyBorder="1" applyAlignment="1">
      <alignment horizontal="center" wrapText="1"/>
    </xf>
    <xf numFmtId="167" fontId="22" fillId="0" borderId="0" xfId="4" applyNumberFormat="1" applyFont="1" applyAlignment="1">
      <alignment horizontal="center" wrapText="1"/>
    </xf>
    <xf numFmtId="0" fontId="3" fillId="0" borderId="0" xfId="4" applyAlignment="1">
      <alignment horizontal="center"/>
    </xf>
    <xf numFmtId="164" fontId="22" fillId="0" borderId="0" xfId="2" applyNumberFormat="1" applyFont="1" applyAlignment="1">
      <alignment horizontal="center" wrapText="1"/>
    </xf>
    <xf numFmtId="0" fontId="17" fillId="0" borderId="0" xfId="4" applyFont="1" applyAlignment="1">
      <alignment wrapText="1"/>
    </xf>
    <xf numFmtId="0" fontId="21" fillId="0" borderId="0" xfId="0" applyFont="1" applyAlignment="1">
      <alignment vertical="top" wrapText="1"/>
    </xf>
    <xf numFmtId="164" fontId="3" fillId="7" borderId="0" xfId="2" applyNumberFormat="1" applyFont="1" applyFill="1" applyProtection="1">
      <protection locked="0"/>
    </xf>
    <xf numFmtId="0" fontId="22" fillId="8" borderId="0" xfId="4" applyFont="1" applyFill="1" applyAlignment="1">
      <alignment horizontal="center" wrapText="1"/>
    </xf>
    <xf numFmtId="164" fontId="22" fillId="0" borderId="0" xfId="4" applyNumberFormat="1" applyFont="1" applyAlignment="1">
      <alignment horizontal="center" wrapText="1"/>
    </xf>
    <xf numFmtId="164" fontId="3" fillId="0" borderId="0" xfId="2" applyNumberFormat="1" applyFont="1" applyFill="1" applyAlignment="1" applyProtection="1">
      <alignment horizontal="left"/>
      <protection locked="0"/>
    </xf>
    <xf numFmtId="164" fontId="0" fillId="0" borderId="0" xfId="2" applyNumberFormat="1" applyFont="1" applyFill="1" applyProtection="1">
      <protection locked="0"/>
    </xf>
    <xf numFmtId="0" fontId="21" fillId="0" borderId="0" xfId="0" applyFont="1" applyAlignment="1">
      <alignment horizontal="left" vertical="top" wrapText="1"/>
    </xf>
    <xf numFmtId="164" fontId="3" fillId="9" borderId="0" xfId="2" applyNumberFormat="1" applyFont="1" applyFill="1" applyProtection="1">
      <protection locked="0"/>
    </xf>
    <xf numFmtId="164" fontId="3" fillId="0" borderId="0" xfId="2" applyNumberFormat="1" applyFont="1" applyFill="1" applyProtection="1">
      <protection locked="0"/>
    </xf>
    <xf numFmtId="0" fontId="21" fillId="0" borderId="0" xfId="0" applyFont="1" applyAlignment="1">
      <alignment horizontal="left" vertical="center" indent="1"/>
    </xf>
    <xf numFmtId="164" fontId="3" fillId="6" borderId="0" xfId="2" applyNumberFormat="1" applyFont="1" applyFill="1" applyProtection="1">
      <protection locked="0"/>
    </xf>
    <xf numFmtId="164" fontId="22" fillId="10" borderId="0" xfId="4" applyNumberFormat="1" applyFont="1" applyFill="1" applyAlignment="1">
      <alignment horizontal="center" wrapText="1"/>
    </xf>
    <xf numFmtId="0" fontId="20" fillId="0" borderId="0" xfId="0" applyFont="1" applyAlignment="1">
      <alignment vertical="top" wrapText="1"/>
    </xf>
    <xf numFmtId="0" fontId="17" fillId="0" borderId="0" xfId="4" applyFont="1" applyAlignment="1">
      <alignment horizontal="center"/>
    </xf>
    <xf numFmtId="164" fontId="3" fillId="7" borderId="0" xfId="2" applyNumberFormat="1" applyFont="1" applyFill="1"/>
    <xf numFmtId="168" fontId="3" fillId="8" borderId="0" xfId="3" applyNumberFormat="1" applyFont="1" applyFill="1" applyAlignment="1">
      <alignment horizontal="center"/>
    </xf>
    <xf numFmtId="168" fontId="3" fillId="0" borderId="0" xfId="3" applyNumberFormat="1" applyFont="1" applyAlignment="1">
      <alignment horizontal="center"/>
    </xf>
    <xf numFmtId="168" fontId="3" fillId="0" borderId="0" xfId="3" applyNumberFormat="1" applyFont="1" applyFill="1" applyAlignment="1">
      <alignment horizontal="center"/>
    </xf>
    <xf numFmtId="168" fontId="0" fillId="0" borderId="0" xfId="3" applyNumberFormat="1" applyFont="1" applyFill="1" applyAlignment="1">
      <alignment horizontal="center"/>
    </xf>
    <xf numFmtId="164" fontId="17" fillId="10" borderId="0" xfId="2" applyNumberFormat="1" applyFont="1" applyFill="1"/>
    <xf numFmtId="0" fontId="17" fillId="8" borderId="0" xfId="4" applyFont="1" applyFill="1"/>
    <xf numFmtId="0" fontId="3" fillId="8" borderId="0" xfId="4" applyFill="1"/>
    <xf numFmtId="3" fontId="17" fillId="0" borderId="3" xfId="2" applyNumberFormat="1" applyFont="1" applyFill="1" applyBorder="1" applyAlignment="1">
      <alignment horizontal="left"/>
    </xf>
    <xf numFmtId="3" fontId="3" fillId="0" borderId="3" xfId="2" applyNumberFormat="1" applyFont="1" applyFill="1" applyBorder="1" applyAlignment="1">
      <alignment horizontal="right"/>
    </xf>
    <xf numFmtId="164" fontId="3" fillId="7" borderId="3" xfId="2" applyNumberFormat="1" applyFont="1" applyFill="1" applyBorder="1"/>
    <xf numFmtId="164" fontId="3" fillId="8" borderId="3" xfId="2" applyNumberFormat="1" applyFont="1" applyFill="1" applyBorder="1"/>
    <xf numFmtId="0" fontId="3" fillId="0" borderId="3" xfId="4" applyBorder="1"/>
    <xf numFmtId="3" fontId="3" fillId="0" borderId="0" xfId="2" applyNumberFormat="1" applyFont="1" applyFill="1" applyBorder="1" applyAlignment="1">
      <alignment horizontal="right"/>
    </xf>
    <xf numFmtId="3" fontId="24" fillId="0" borderId="0" xfId="2" applyNumberFormat="1" applyFont="1" applyFill="1" applyBorder="1" applyAlignment="1">
      <alignment horizontal="right"/>
    </xf>
    <xf numFmtId="3" fontId="3" fillId="0" borderId="0" xfId="4" applyNumberFormat="1" applyAlignment="1">
      <alignment horizontal="right"/>
    </xf>
    <xf numFmtId="3" fontId="17" fillId="0" borderId="4" xfId="2" applyNumberFormat="1" applyFont="1" applyBorder="1" applyAlignment="1">
      <alignment horizontal="right"/>
    </xf>
    <xf numFmtId="3" fontId="3" fillId="0" borderId="4" xfId="2" applyNumberFormat="1" applyFont="1" applyBorder="1" applyAlignment="1">
      <alignment horizontal="right"/>
    </xf>
    <xf numFmtId="169" fontId="17" fillId="10" borderId="4" xfId="2" applyNumberFormat="1" applyFont="1" applyFill="1" applyBorder="1" applyAlignment="1">
      <alignment horizontal="right"/>
    </xf>
    <xf numFmtId="170" fontId="17" fillId="0" borderId="4" xfId="2" applyNumberFormat="1" applyFont="1" applyBorder="1" applyAlignment="1">
      <alignment horizontal="right"/>
    </xf>
    <xf numFmtId="44" fontId="17" fillId="10" borderId="4" xfId="1" applyFont="1" applyFill="1" applyBorder="1" applyAlignment="1">
      <alignment horizontal="right"/>
    </xf>
    <xf numFmtId="3" fontId="1" fillId="0" borderId="0" xfId="2" applyNumberFormat="1" applyFont="1" applyAlignment="1">
      <alignment horizontal="right"/>
    </xf>
    <xf numFmtId="3" fontId="1" fillId="0" borderId="0" xfId="2" applyNumberFormat="1" applyFont="1" applyFill="1" applyBorder="1" applyAlignment="1">
      <alignment horizontal="right"/>
    </xf>
    <xf numFmtId="3" fontId="1" fillId="0" borderId="0" xfId="2" applyNumberFormat="1" applyFont="1" applyFill="1" applyAlignment="1">
      <alignment horizontal="right"/>
    </xf>
    <xf numFmtId="3" fontId="3" fillId="0" borderId="0" xfId="1" applyNumberFormat="1" applyFont="1" applyFill="1" applyAlignment="1">
      <alignment horizontal="right"/>
    </xf>
    <xf numFmtId="3" fontId="0" fillId="0" borderId="0" xfId="2" applyNumberFormat="1" applyFont="1" applyAlignment="1">
      <alignment horizontal="right"/>
    </xf>
    <xf numFmtId="0" fontId="3" fillId="0" borderId="0" xfId="4" applyAlignment="1">
      <alignment horizontal="right"/>
    </xf>
    <xf numFmtId="0" fontId="21" fillId="0" borderId="0" xfId="0" applyFont="1" applyAlignment="1">
      <alignment horizontal="right" vertical="center" wrapText="1"/>
    </xf>
    <xf numFmtId="169" fontId="17" fillId="0" borderId="4" xfId="2" applyNumberFormat="1" applyFont="1" applyFill="1" applyBorder="1" applyAlignment="1">
      <alignment horizontal="right"/>
    </xf>
    <xf numFmtId="0" fontId="25" fillId="0" borderId="0" xfId="4" applyFont="1"/>
    <xf numFmtId="0" fontId="26" fillId="0" borderId="0" xfId="0" applyFont="1" applyAlignment="1">
      <alignment horizontal="left" vertical="top" wrapText="1" indent="4"/>
    </xf>
    <xf numFmtId="0" fontId="26" fillId="0" borderId="0" xfId="0" applyFont="1" applyAlignment="1">
      <alignment horizontal="left" vertical="center" wrapText="1" indent="4"/>
    </xf>
    <xf numFmtId="0" fontId="16" fillId="0" borderId="0" xfId="4" applyFont="1" applyAlignment="1">
      <alignment horizontal="left" wrapText="1"/>
    </xf>
    <xf numFmtId="164" fontId="3" fillId="11" borderId="0" xfId="2" applyNumberFormat="1" applyFont="1" applyFill="1" applyProtection="1"/>
    <xf numFmtId="164" fontId="22" fillId="13" borderId="0" xfId="4" applyNumberFormat="1" applyFont="1" applyFill="1" applyAlignment="1">
      <alignment horizontal="center" wrapText="1"/>
    </xf>
    <xf numFmtId="164" fontId="22" fillId="12" borderId="0" xfId="4" applyNumberFormat="1" applyFont="1" applyFill="1" applyAlignment="1">
      <alignment horizontal="center" wrapText="1"/>
    </xf>
    <xf numFmtId="164" fontId="17" fillId="10" borderId="0" xfId="2" applyNumberFormat="1" applyFont="1" applyFill="1" applyProtection="1"/>
    <xf numFmtId="0" fontId="27" fillId="14" borderId="0" xfId="4" applyFont="1" applyFill="1" applyAlignment="1">
      <alignment horizontal="center" vertical="center"/>
    </xf>
    <xf numFmtId="164" fontId="22" fillId="7" borderId="0" xfId="2" applyNumberFormat="1" applyFont="1" applyFill="1" applyAlignment="1" applyProtection="1">
      <alignment horizontal="center" wrapText="1"/>
      <protection locked="0"/>
    </xf>
    <xf numFmtId="164" fontId="3" fillId="7" borderId="3" xfId="2" applyNumberFormat="1" applyFont="1" applyFill="1" applyBorder="1" applyProtection="1">
      <protection locked="0"/>
    </xf>
    <xf numFmtId="0" fontId="0" fillId="0" borderId="0" xfId="0" applyAlignment="1">
      <alignment horizontal="left" vertical="center" indent="5"/>
    </xf>
    <xf numFmtId="164" fontId="3" fillId="8" borderId="0" xfId="2" applyNumberFormat="1" applyFont="1" applyFill="1"/>
    <xf numFmtId="0" fontId="17" fillId="7" borderId="0" xfId="4" quotePrefix="1" applyFont="1" applyFill="1" applyAlignment="1" applyProtection="1">
      <alignment horizontal="left" vertical="center"/>
      <protection locked="0"/>
    </xf>
    <xf numFmtId="0" fontId="17" fillId="7" borderId="0" xfId="4" applyFont="1" applyFill="1" applyAlignment="1" applyProtection="1">
      <alignment horizontal="left" vertical="center"/>
      <protection locked="0"/>
    </xf>
    <xf numFmtId="0" fontId="17" fillId="7" borderId="0" xfId="4" applyFont="1" applyFill="1" applyAlignment="1" applyProtection="1">
      <alignment horizontal="left" vertical="center" wrapText="1"/>
      <protection locked="0"/>
    </xf>
    <xf numFmtId="0" fontId="29" fillId="0" borderId="0" xfId="4" applyFont="1"/>
    <xf numFmtId="164" fontId="5" fillId="0" borderId="0" xfId="2" applyNumberFormat="1" applyFont="1" applyAlignment="1">
      <alignment vertical="center"/>
    </xf>
    <xf numFmtId="171" fontId="1" fillId="0" borderId="0" xfId="2" applyNumberFormat="1" applyFont="1" applyAlignment="1">
      <alignment horizontal="right"/>
    </xf>
    <xf numFmtId="42" fontId="22" fillId="10" borderId="0" xfId="4" applyNumberFormat="1" applyFont="1" applyFill="1" applyAlignment="1">
      <alignment horizontal="center" wrapText="1"/>
    </xf>
    <xf numFmtId="42" fontId="17" fillId="10" borderId="4" xfId="1" applyNumberFormat="1" applyFont="1" applyFill="1" applyBorder="1" applyAlignment="1" applyProtection="1">
      <alignment horizontal="right"/>
    </xf>
    <xf numFmtId="14" fontId="16" fillId="7" borderId="0" xfId="4" applyNumberFormat="1" applyFont="1" applyFill="1" applyAlignment="1">
      <alignment horizontal="center"/>
    </xf>
    <xf numFmtId="0" fontId="3" fillId="7" borderId="0" xfId="4" applyFill="1"/>
    <xf numFmtId="166" fontId="16" fillId="7" borderId="0" xfId="4" applyNumberFormat="1" applyFont="1" applyFill="1" applyAlignment="1" applyProtection="1">
      <alignment horizontal="left"/>
      <protection locked="0"/>
    </xf>
    <xf numFmtId="0" fontId="21" fillId="0" borderId="0" xfId="0" applyFont="1" applyAlignment="1">
      <alignment vertical="center"/>
    </xf>
    <xf numFmtId="0" fontId="30" fillId="0" borderId="0" xfId="4" applyFont="1" applyAlignment="1">
      <alignment horizontal="left"/>
    </xf>
    <xf numFmtId="0" fontId="30" fillId="0" borderId="0" xfId="4" applyFont="1"/>
    <xf numFmtId="164" fontId="7" fillId="0" borderId="0" xfId="2" applyNumberFormat="1" applyFont="1" applyFill="1"/>
    <xf numFmtId="164" fontId="7" fillId="0" borderId="0" xfId="2" applyNumberFormat="1" applyFont="1"/>
    <xf numFmtId="164" fontId="9" fillId="0" borderId="0" xfId="2" applyNumberFormat="1" applyFont="1"/>
    <xf numFmtId="3" fontId="22" fillId="0" borderId="0" xfId="4" applyNumberFormat="1" applyFont="1" applyAlignment="1">
      <alignment horizontal="center" wrapText="1"/>
    </xf>
    <xf numFmtId="4" fontId="22" fillId="0" borderId="0" xfId="4" applyNumberFormat="1" applyFont="1" applyAlignment="1">
      <alignment horizontal="center" wrapText="1"/>
    </xf>
    <xf numFmtId="0" fontId="3" fillId="4" borderId="0" xfId="4" applyFill="1" applyAlignment="1">
      <alignment horizontal="center"/>
    </xf>
    <xf numFmtId="49" fontId="17" fillId="7" borderId="0" xfId="4" applyNumberFormat="1" applyFont="1" applyFill="1" applyAlignment="1" applyProtection="1">
      <alignment horizontal="left"/>
      <protection locked="0"/>
    </xf>
    <xf numFmtId="0" fontId="14" fillId="6" borderId="0" xfId="4" applyFont="1" applyFill="1" applyAlignment="1">
      <alignment horizontal="center"/>
    </xf>
    <xf numFmtId="0" fontId="28" fillId="0" borderId="0" xfId="4" applyFont="1" applyAlignment="1">
      <alignment horizontal="left"/>
    </xf>
    <xf numFmtId="166" fontId="16" fillId="7" borderId="0" xfId="4" applyNumberFormat="1" applyFont="1" applyFill="1" applyAlignment="1" applyProtection="1">
      <alignment horizontal="left"/>
      <protection locked="0"/>
    </xf>
    <xf numFmtId="49" fontId="17" fillId="7" borderId="0" xfId="4" applyNumberFormat="1" applyFont="1" applyFill="1" applyAlignment="1">
      <alignment horizontal="left"/>
    </xf>
    <xf numFmtId="0" fontId="16" fillId="0" borderId="0" xfId="4" applyFont="1" applyAlignment="1">
      <alignment horizontal="left"/>
    </xf>
    <xf numFmtId="0" fontId="20" fillId="0" borderId="0" xfId="4" applyFont="1" applyAlignment="1">
      <alignment horizontal="left"/>
    </xf>
    <xf numFmtId="44" fontId="2" fillId="0" borderId="0" xfId="1" applyFont="1" applyAlignment="1">
      <alignment horizontal="right" vertical="center"/>
    </xf>
    <xf numFmtId="165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4" fontId="2" fillId="6" borderId="3" xfId="1" applyFont="1" applyFill="1" applyBorder="1" applyAlignment="1">
      <alignment horizontal="center" vertical="center"/>
    </xf>
    <xf numFmtId="4" fontId="22" fillId="0" borderId="0" xfId="4" applyNumberFormat="1" applyFont="1" applyFill="1" applyAlignment="1">
      <alignment horizontal="center" wrapText="1"/>
    </xf>
    <xf numFmtId="0" fontId="17" fillId="15" borderId="0" xfId="4" applyFont="1" applyFill="1" applyAlignment="1">
      <alignment horizontal="left" vertical="center" wrapText="1"/>
    </xf>
    <xf numFmtId="0" fontId="20" fillId="0" borderId="0" xfId="4" applyFont="1" applyAlignment="1"/>
  </cellXfs>
  <cellStyles count="5">
    <cellStyle name="Currency" xfId="1" builtinId="4"/>
    <cellStyle name="Currency 2" xfId="2" xr:uid="{49FA5DCD-1206-44BC-AE00-109C771A1E42}"/>
    <cellStyle name="Normal" xfId="0" builtinId="0"/>
    <cellStyle name="Normal 2" xfId="4" xr:uid="{5224D892-E571-41FC-B8F5-0E6583ABE28D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0D49596C-9464-493C-81D8-21A3C32D8EDF}">
    <Anchor>
      <Comment id="{150E1E9C-7E88-4DFC-AFF0-AE6E678ED3F7}"/>
    </Anchor>
    <History>
      <Event time="2026-06-02T18:24:21.30" id="{B7E2E10B-26D4-4F8D-A11E-8659F86BBF0D}">
        <Attribution userId="S::adam.kelley@eversource.com::1717fbee-0d3d-435a-baee-878289398f21" userName="Kelley, Adam S" userProvider="AD"/>
        <Anchor>
          <Comment id="{150E1E9C-7E88-4DFC-AFF0-AE6E678ED3F7}"/>
        </Anchor>
        <Create/>
      </Event>
      <Event time="2026-06-02T18:24:21.30" id="{BF7B0FA5-502B-436C-91F7-AEC44D0CEB96}">
        <Attribution userId="S::adam.kelley@eversource.com::1717fbee-0d3d-435a-baee-878289398f21" userName="Kelley, Adam S" userProvider="AD"/>
        <Anchor>
          <Comment id="{150E1E9C-7E88-4DFC-AFF0-AE6E678ED3F7}"/>
        </Anchor>
        <Assign userId="S::kasia.duszkiewicz-cenda@eversource.com::3d887e9d-fac8-491c-b994-9cb2b67c5cf1" userName="Duszkiewicz-Cenda, Kasia (EN SPECIALTY SERVICES LLC)" userProvider="AD"/>
      </Event>
      <Event time="2026-06-02T18:24:21.30" id="{520DDE74-2702-431D-AEAB-49F825834BFB}">
        <Attribution userId="S::adam.kelley@eversource.com::1717fbee-0d3d-435a-baee-878289398f21" userName="Kelley, Adam S" userProvider="AD"/>
        <Anchor>
          <Comment id="{150E1E9C-7E88-4DFC-AFF0-AE6E678ED3F7}"/>
        </Anchor>
        <SetTitle title="@Duszkiewicz-Cenda, Kasia (EN SPECIALTY SERVICES LLC) currently filling out the PF Template for estimating. You provided the actuals &amp; PO's issued ($4,859,700) but I need it broken down and input into he green columns below the highlighted number. Can …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HARED\COST\CRAIG\Estmate\Esttemp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stimating-R/6)%20Personnel/Murray,%20Caryn/Eversource%20Estimate%20Template%20rev%201.70b.xlsm" TargetMode="External"/><Relationship Id="rId1" Type="http://schemas.openxmlformats.org/officeDocument/2006/relationships/externalLinkPath" Target="/Estimating-R/6)%20Personnel/Murray,%20Caryn/Eversource%20Estimate%20Template%20rev%201.70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Input sheet"/>
      <sheetName val="RequestDetails"/>
      <sheetName val="Cover"/>
      <sheetName val="Cover (2)"/>
      <sheetName val="Delta"/>
      <sheetName val="DER customer summary"/>
      <sheetName val="DER Project Information"/>
      <sheetName val="PAF Summary (non WBS)"/>
      <sheetName val="PAF Summary"/>
      <sheetName val="PAF Summary (Full)"/>
      <sheetName val="ISO comparison table"/>
      <sheetName val="Cover (old)"/>
      <sheetName val="Unit Comparison"/>
      <sheetName val="Estimate Basis - Lines"/>
      <sheetName val="Estimate Basis - SS"/>
      <sheetName val="Estimate Closeout "/>
      <sheetName val="Chks and Balances"/>
      <sheetName val="PP4 Estimate and Schedule "/>
      <sheetName val="WBS by year"/>
      <sheetName val="Detail Summary"/>
      <sheetName val="Review Comments"/>
      <sheetName val="Summary-Scope"/>
      <sheetName val="PP4 Est Backup"/>
      <sheetName val="Milestone Summary"/>
      <sheetName val="Vendor Est Summary"/>
      <sheetName val="Estimated Risks"/>
      <sheetName val="Contingency"/>
      <sheetName val="Escalation"/>
      <sheetName val="Calc Sheet"/>
      <sheetName val="Additional  Est Input"/>
      <sheetName val="Structure replacements"/>
      <sheetName val="OH Constr"/>
      <sheetName val="OH Civil WS"/>
      <sheetName val="115 kV &amp; 345 kV HPFF"/>
      <sheetName val="115 kV Und XLPE"/>
      <sheetName val="345 kV Und XLPE"/>
      <sheetName val="Substation Const"/>
      <sheetName val="Substation_D"/>
      <sheetName val="Removals"/>
      <sheetName val="Eng &amp; Proj Supp"/>
      <sheetName val="Labor Rate Table 2021"/>
      <sheetName val="Indirect Rates"/>
      <sheetName val="AFUDC Rates"/>
      <sheetName val="SCS &amp; Siting Info"/>
      <sheetName val="Parameters"/>
      <sheetName val="Revision 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uszkiewicz-Cenda, Kasia (EN SPECIALTY SERVICES LLC)" id="{21F1EC65-1114-4EAB-BFBA-01EA6161766D}" userId="kasia.duszkiewicz-cenda@eversource.com" providerId="PeoplePicker"/>
  <person displayName="Kelley, Adam S" id="{8CAB8264-D96C-4537-B857-D5CF4B29F531}" userId="S::adam.kelley@eversource.com::1717fbee-0d3d-435a-baee-878289398f21" providerId="AD"/>
  <person displayName="Duszkiewicz-Cenda, Kasia (EN SPECIALTY SERVICES LLC)" id="{F167ECD5-2041-4F71-AC46-394B791FEC56}" userId="S::kasia.duszkiewicz-cenda@eversource.com::3d887e9d-fac8-491c-b994-9cb2b67c5c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8" dT="2026-06-02T18:24:21.18" personId="{8CAB8264-D96C-4537-B857-D5CF4B29F531}" id="{150E1E9C-7E88-4DFC-AFF0-AE6E678ED3F7}">
    <text>@Duszkiewicz-Cenda, Kasia (EN SPECIALTY SERVICES LLC) currently filling out the PF Template for estimating. You provided the actuals &amp; PO's issued ($4,859,700) but I need it broken down and input into he green columns below the highlighted number. Can you please assist?</text>
    <mentions>
      <mention mentionpersonId="{21F1EC65-1114-4EAB-BFBA-01EA6161766D}" mentionId="{10C3DA44-46E1-499E-8FB7-7723ADB8F84F}" startIndex="0" length="53"/>
    </mentions>
  </threadedComment>
  <threadedComment ref="E28" dT="2026-06-02T18:41:51.63" personId="{F167ECD5-2041-4F71-AC46-394B791FEC56}" id="{ABEC2641-5E96-495E-9B72-EA70EAC2E4F5}" parentId="{150E1E9C-7E88-4DFC-AFF0-AE6E678ED3F7}">
    <text xml:space="preserve">Hi Adam ------ actuals to date portion is typically filled out by asset management or the estimator (not cost analyst). Thank you.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F7FA-A1CC-4D6D-B0FD-E569E8EF8D7D}">
  <sheetPr>
    <tabColor theme="8" tint="-0.249977111117893"/>
    <pageSetUpPr fitToPage="1"/>
  </sheetPr>
  <dimension ref="A1:V178"/>
  <sheetViews>
    <sheetView showZeros="0" tabSelected="1" topLeftCell="A15" zoomScaleNormal="100" workbookViewId="0">
      <selection activeCell="M28" sqref="M28"/>
    </sheetView>
  </sheetViews>
  <sheetFormatPr defaultColWidth="8.85546875" defaultRowHeight="15"/>
  <cols>
    <col min="1" max="1" width="13.42578125" style="52" customWidth="1"/>
    <col min="2" max="2" width="30.85546875" style="53" customWidth="1"/>
    <col min="3" max="3" width="15.140625" style="53" customWidth="1"/>
    <col min="4" max="4" width="2.28515625" style="53" customWidth="1"/>
    <col min="5" max="5" width="12.28515625" style="52" customWidth="1"/>
    <col min="6" max="6" width="5.140625" style="52" customWidth="1"/>
    <col min="7" max="7" width="12.28515625" style="52" customWidth="1"/>
    <col min="8" max="8" width="2.85546875" style="52" customWidth="1"/>
    <col min="9" max="9" width="12.28515625" style="52" customWidth="1"/>
    <col min="10" max="10" width="3.28515625" style="52" customWidth="1"/>
    <col min="11" max="11" width="12.28515625" style="52" customWidth="1"/>
    <col min="12" max="12" width="3.28515625" style="52" customWidth="1"/>
    <col min="13" max="14" width="41.7109375" style="52" customWidth="1"/>
    <col min="15" max="15" width="51.85546875" style="52" customWidth="1"/>
    <col min="16" max="16" width="13.28515625" style="52" customWidth="1"/>
    <col min="17" max="17" width="3.140625" style="52" customWidth="1"/>
    <col min="18" max="18" width="13.28515625" style="52" customWidth="1"/>
    <col min="19" max="19" width="2.7109375" style="52" customWidth="1"/>
    <col min="20" max="20" width="14.85546875" style="52" customWidth="1"/>
    <col min="21" max="21" width="7.28515625" style="52" customWidth="1"/>
    <col min="22" max="22" width="18.85546875" style="52" customWidth="1"/>
    <col min="23" max="16384" width="8.85546875" style="52"/>
  </cols>
  <sheetData>
    <row r="1" spans="1:21" ht="31.5" customHeight="1">
      <c r="A1" s="172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21">
      <c r="L2" s="53"/>
      <c r="M2" s="55" t="s">
        <v>1</v>
      </c>
      <c r="N2" s="52" t="s">
        <v>2</v>
      </c>
    </row>
    <row r="3" spans="1:21">
      <c r="A3" s="56" t="s">
        <v>3</v>
      </c>
      <c r="B3" s="152">
        <v>21334</v>
      </c>
      <c r="C3" s="58"/>
      <c r="D3" s="58" t="s">
        <v>4</v>
      </c>
      <c r="E3" s="59"/>
      <c r="I3" s="174">
        <v>46356</v>
      </c>
      <c r="J3" s="174"/>
      <c r="K3" s="174"/>
      <c r="L3" s="53"/>
      <c r="M3" s="53"/>
    </row>
    <row r="4" spans="1:21">
      <c r="A4" s="56" t="s">
        <v>5</v>
      </c>
      <c r="B4" s="152">
        <v>80089926</v>
      </c>
      <c r="C4" s="58"/>
      <c r="D4" s="58" t="s">
        <v>6</v>
      </c>
      <c r="E4" s="59"/>
      <c r="I4" s="174">
        <v>46174</v>
      </c>
      <c r="J4" s="174"/>
      <c r="K4" s="174"/>
      <c r="L4" s="53"/>
      <c r="M4" s="53"/>
    </row>
    <row r="5" spans="1:21" ht="15.75">
      <c r="A5" s="56" t="s">
        <v>7</v>
      </c>
      <c r="B5" s="152" t="s">
        <v>8</v>
      </c>
      <c r="C5" s="58"/>
      <c r="D5" s="58" t="s">
        <v>9</v>
      </c>
      <c r="E5" s="59"/>
      <c r="I5" s="151" t="s">
        <v>10</v>
      </c>
      <c r="J5" s="159"/>
      <c r="K5" s="160"/>
      <c r="L5" s="53"/>
      <c r="M5" s="53"/>
      <c r="N5" s="62"/>
    </row>
    <row r="6" spans="1:21" ht="26.25">
      <c r="A6" s="141" t="s">
        <v>11</v>
      </c>
      <c r="B6" s="152" t="s">
        <v>12</v>
      </c>
      <c r="C6" s="58"/>
      <c r="D6" s="58"/>
      <c r="E6" s="58"/>
      <c r="G6" s="173" t="s">
        <v>13</v>
      </c>
      <c r="H6" s="173"/>
      <c r="I6" s="173"/>
      <c r="J6" s="173"/>
      <c r="K6" s="173"/>
      <c r="L6" s="173"/>
      <c r="M6" s="173"/>
      <c r="N6" s="173"/>
    </row>
    <row r="7" spans="1:21">
      <c r="A7" s="56" t="s">
        <v>14</v>
      </c>
      <c r="B7" s="153" t="s">
        <v>15</v>
      </c>
      <c r="C7" s="58"/>
      <c r="D7" s="58"/>
      <c r="E7" s="58"/>
      <c r="G7" s="67" t="s">
        <v>16</v>
      </c>
      <c r="H7" s="67"/>
      <c r="I7" s="67"/>
      <c r="J7" s="67"/>
      <c r="K7" s="67"/>
      <c r="L7" s="68"/>
      <c r="M7" s="68"/>
      <c r="N7" s="154"/>
    </row>
    <row r="8" spans="1:21">
      <c r="A8" s="56" t="s">
        <v>17</v>
      </c>
      <c r="B8" s="151" t="s">
        <v>18</v>
      </c>
      <c r="C8" s="58"/>
      <c r="D8" s="58"/>
      <c r="E8" s="58"/>
      <c r="G8" s="67" t="s">
        <v>19</v>
      </c>
      <c r="H8" s="67"/>
      <c r="I8" s="67"/>
      <c r="J8" s="67"/>
      <c r="K8" s="67"/>
      <c r="L8" s="68"/>
      <c r="M8" s="68"/>
      <c r="N8" s="154"/>
    </row>
    <row r="9" spans="1:21">
      <c r="A9" s="56" t="s">
        <v>20</v>
      </c>
      <c r="B9" s="151" t="s">
        <v>10</v>
      </c>
      <c r="C9" s="58"/>
      <c r="D9" s="58"/>
      <c r="E9" s="58"/>
      <c r="G9" s="67" t="s">
        <v>21</v>
      </c>
      <c r="H9" s="67"/>
      <c r="I9" s="67"/>
      <c r="J9" s="67"/>
      <c r="K9" s="67"/>
      <c r="L9" s="68"/>
      <c r="M9" s="68"/>
      <c r="N9" s="154"/>
    </row>
    <row r="10" spans="1:21">
      <c r="A10" s="66"/>
      <c r="B10" s="69"/>
      <c r="C10" s="58"/>
      <c r="D10" s="56"/>
      <c r="E10" s="53"/>
      <c r="G10" s="67" t="s">
        <v>22</v>
      </c>
      <c r="H10" s="67"/>
      <c r="I10" s="67"/>
      <c r="J10" s="67"/>
      <c r="K10" s="67"/>
      <c r="L10" s="155"/>
      <c r="M10" s="155"/>
      <c r="N10" s="154"/>
    </row>
    <row r="11" spans="1:21">
      <c r="A11" s="138"/>
      <c r="B11" s="56"/>
      <c r="C11" s="56"/>
      <c r="D11" s="56"/>
      <c r="E11" s="72"/>
      <c r="F11" s="170" t="s">
        <v>23</v>
      </c>
      <c r="G11" s="164" t="s">
        <v>24</v>
      </c>
      <c r="H11" s="163"/>
      <c r="I11" s="163"/>
      <c r="J11" s="163"/>
      <c r="K11" s="165"/>
      <c r="L11" s="67"/>
      <c r="M11" s="166"/>
      <c r="N11" s="67"/>
      <c r="O11" s="67"/>
    </row>
    <row r="12" spans="1:21">
      <c r="B12" s="130"/>
      <c r="C12" s="130"/>
      <c r="D12" s="130"/>
      <c r="E12" s="124"/>
      <c r="F12" s="124"/>
      <c r="G12" s="85" t="s">
        <v>25</v>
      </c>
      <c r="H12" s="85"/>
      <c r="I12" s="85"/>
      <c r="J12" s="85"/>
      <c r="K12" s="85"/>
      <c r="L12" s="167"/>
      <c r="M12" s="167"/>
      <c r="N12" s="124"/>
      <c r="O12" s="124"/>
      <c r="P12" s="124"/>
      <c r="Q12" s="124"/>
      <c r="R12" s="124"/>
      <c r="S12" s="124"/>
      <c r="T12" s="124"/>
      <c r="U12" s="124"/>
    </row>
    <row r="13" spans="1:21">
      <c r="B13" s="130"/>
      <c r="C13" s="130"/>
      <c r="D13" s="130"/>
      <c r="E13" s="124"/>
      <c r="F13" s="124"/>
      <c r="G13" s="67"/>
      <c r="H13" s="67"/>
      <c r="I13" s="67"/>
      <c r="J13" s="67"/>
      <c r="K13" s="67"/>
      <c r="L13" s="68"/>
      <c r="M13" s="68"/>
      <c r="N13" s="124"/>
      <c r="O13" s="124"/>
      <c r="P13" s="124"/>
      <c r="Q13" s="124"/>
      <c r="R13" s="124"/>
      <c r="S13" s="124"/>
      <c r="T13" s="124"/>
      <c r="U13" s="124"/>
    </row>
    <row r="14" spans="1:21" ht="12.75">
      <c r="A14" s="108"/>
      <c r="B14" s="74" t="s">
        <v>26</v>
      </c>
      <c r="C14" s="74" t="s">
        <v>27</v>
      </c>
      <c r="D14" s="74"/>
      <c r="E14" s="74" t="s">
        <v>28</v>
      </c>
      <c r="F14" s="74"/>
      <c r="G14" s="74"/>
      <c r="H14" s="74"/>
      <c r="I14" s="74"/>
      <c r="J14" s="74"/>
      <c r="K14" s="74"/>
      <c r="L14" s="74"/>
      <c r="M14" s="74"/>
    </row>
    <row r="15" spans="1:21" ht="12.75">
      <c r="A15" s="56"/>
      <c r="B15" s="69" t="s">
        <v>29</v>
      </c>
      <c r="C15" s="161">
        <v>44197</v>
      </c>
      <c r="D15" s="56"/>
      <c r="E15" s="79" t="s">
        <v>30</v>
      </c>
      <c r="G15" s="56" t="s">
        <v>31</v>
      </c>
      <c r="H15" s="61"/>
      <c r="J15" s="78"/>
      <c r="K15" s="78"/>
      <c r="L15" s="78"/>
      <c r="M15" s="78"/>
      <c r="O15" s="138"/>
    </row>
    <row r="16" spans="1:21" ht="12.75">
      <c r="A16" s="56"/>
      <c r="B16" s="69" t="s">
        <v>32</v>
      </c>
      <c r="C16" s="161" t="s">
        <v>33</v>
      </c>
      <c r="D16" s="56"/>
      <c r="E16" s="161" t="s">
        <v>33</v>
      </c>
      <c r="G16" s="56" t="s">
        <v>34</v>
      </c>
      <c r="H16" s="61"/>
      <c r="J16" s="78"/>
      <c r="K16" s="78"/>
      <c r="L16" s="78"/>
      <c r="M16" s="78"/>
    </row>
    <row r="17" spans="1:22" ht="12.75">
      <c r="A17" s="56"/>
      <c r="B17" s="69" t="s">
        <v>35</v>
      </c>
      <c r="C17" s="161" t="s">
        <v>33</v>
      </c>
      <c r="D17" s="56"/>
      <c r="E17" s="161" t="s">
        <v>33</v>
      </c>
      <c r="G17" s="56" t="s">
        <v>36</v>
      </c>
      <c r="H17" s="61"/>
      <c r="J17" s="78"/>
      <c r="K17" s="78"/>
      <c r="L17" s="78"/>
      <c r="M17" s="78"/>
      <c r="O17" s="138"/>
    </row>
    <row r="18" spans="1:22" ht="12.75">
      <c r="A18" s="56"/>
      <c r="B18" s="69" t="s">
        <v>37</v>
      </c>
      <c r="C18" s="161">
        <v>46105</v>
      </c>
      <c r="D18" s="56"/>
      <c r="E18" s="161">
        <v>46280</v>
      </c>
      <c r="G18" s="56" t="s">
        <v>38</v>
      </c>
      <c r="H18" s="61"/>
      <c r="J18" s="78"/>
      <c r="K18" s="78"/>
      <c r="L18" s="78"/>
      <c r="M18" s="78"/>
    </row>
    <row r="19" spans="1:22" ht="12.75">
      <c r="A19" s="56"/>
      <c r="B19" s="69" t="s">
        <v>39</v>
      </c>
      <c r="C19" s="161">
        <v>46082</v>
      </c>
      <c r="D19" s="56"/>
      <c r="E19" s="161">
        <v>46784</v>
      </c>
      <c r="G19" s="56" t="s">
        <v>40</v>
      </c>
      <c r="H19" s="61"/>
      <c r="J19" s="78"/>
      <c r="K19" s="78"/>
      <c r="L19" s="78"/>
      <c r="M19" s="78"/>
    </row>
    <row r="20" spans="1:22" ht="12.75">
      <c r="A20" s="56"/>
      <c r="B20" s="69" t="s">
        <v>41</v>
      </c>
      <c r="C20" s="161">
        <v>46811</v>
      </c>
      <c r="D20" s="56"/>
      <c r="E20" s="161">
        <v>47115</v>
      </c>
      <c r="G20" s="56" t="s">
        <v>42</v>
      </c>
      <c r="H20" s="61"/>
      <c r="J20" s="78"/>
      <c r="K20" s="78"/>
      <c r="L20" s="78"/>
      <c r="M20" s="78"/>
    </row>
    <row r="21" spans="1:22" ht="12.75">
      <c r="A21" s="56"/>
      <c r="B21" s="69" t="s">
        <v>43</v>
      </c>
      <c r="C21" s="80" t="s">
        <v>30</v>
      </c>
      <c r="D21" s="56"/>
      <c r="E21" s="161">
        <v>47115</v>
      </c>
      <c r="G21" s="56" t="s">
        <v>44</v>
      </c>
      <c r="H21" s="61"/>
      <c r="J21" s="78"/>
      <c r="K21" s="78"/>
      <c r="L21" s="78"/>
      <c r="M21" s="78"/>
    </row>
    <row r="22" spans="1:22">
      <c r="A22" s="52" t="s">
        <v>45</v>
      </c>
      <c r="B22" s="130"/>
      <c r="C22" s="130"/>
      <c r="D22" s="56"/>
      <c r="E22" s="81"/>
      <c r="J22" s="61"/>
      <c r="L22" s="78"/>
      <c r="M22" s="78"/>
    </row>
    <row r="23" spans="1:22" ht="12.75">
      <c r="A23" s="85"/>
      <c r="B23" s="85"/>
      <c r="C23" s="83"/>
      <c r="D23" s="83"/>
      <c r="E23" s="83"/>
      <c r="F23" s="83"/>
      <c r="G23" s="83"/>
      <c r="H23" s="83"/>
      <c r="I23" s="83"/>
      <c r="J23" s="83"/>
      <c r="K23" s="83"/>
    </row>
    <row r="24" spans="1:22" ht="28.5" customHeight="1">
      <c r="A24" s="146" t="s">
        <v>46</v>
      </c>
      <c r="B24" s="171" t="s">
        <v>47</v>
      </c>
      <c r="C24" s="171"/>
      <c r="D24" s="171"/>
      <c r="E24" s="171"/>
      <c r="F24" s="171"/>
      <c r="G24" s="171"/>
      <c r="H24" s="171"/>
      <c r="I24" s="171"/>
      <c r="J24" s="171"/>
      <c r="K24" s="171"/>
    </row>
    <row r="25" spans="1:22" ht="15.75" customHeight="1">
      <c r="A25" s="56"/>
      <c r="B25" s="76"/>
      <c r="C25" s="76"/>
      <c r="D25" s="76"/>
      <c r="E25" s="76"/>
      <c r="F25" s="76"/>
      <c r="G25" s="76"/>
      <c r="H25" s="76"/>
      <c r="I25" s="76"/>
      <c r="J25" s="76"/>
      <c r="K25" s="76"/>
    </row>
    <row r="26" spans="1:22" ht="30">
      <c r="A26" s="86" t="s">
        <v>48</v>
      </c>
      <c r="B26" s="86" t="s">
        <v>49</v>
      </c>
      <c r="C26" s="87" t="s">
        <v>50</v>
      </c>
      <c r="D26" s="88"/>
      <c r="E26" s="89" t="s">
        <v>51</v>
      </c>
      <c r="F26" s="88"/>
      <c r="G26" s="90" t="s">
        <v>52</v>
      </c>
      <c r="H26" s="89"/>
      <c r="I26" s="90" t="s">
        <v>53</v>
      </c>
      <c r="J26" s="89"/>
      <c r="K26" s="89" t="s">
        <v>54</v>
      </c>
      <c r="L26" s="89"/>
      <c r="M26" s="91" t="s">
        <v>55</v>
      </c>
      <c r="N26" s="91" t="s">
        <v>56</v>
      </c>
      <c r="O26" s="91"/>
      <c r="P26" s="91"/>
      <c r="Q26" s="86"/>
      <c r="R26" s="91"/>
      <c r="S26" s="86"/>
      <c r="T26" s="91"/>
      <c r="V26" s="86"/>
    </row>
    <row r="27" spans="1:22">
      <c r="A27" s="92"/>
      <c r="B27" s="64"/>
      <c r="C27" s="93"/>
      <c r="D27" s="97"/>
      <c r="E27" s="86"/>
      <c r="F27" s="97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V27" s="86"/>
    </row>
    <row r="28" spans="1:22" ht="19.5" customHeight="1">
      <c r="A28" s="92"/>
      <c r="B28" s="94" t="s">
        <v>50</v>
      </c>
      <c r="C28" s="147">
        <v>10312329.699999999</v>
      </c>
      <c r="D28" s="97"/>
      <c r="E28" s="182"/>
      <c r="F28" s="97"/>
      <c r="G28" s="168"/>
      <c r="H28" s="86"/>
      <c r="I28" s="169"/>
      <c r="J28" s="86"/>
      <c r="K28" s="86"/>
      <c r="L28" s="86"/>
      <c r="M28" s="183"/>
      <c r="N28" s="86"/>
      <c r="O28" s="86"/>
      <c r="P28" s="86"/>
      <c r="Q28" s="86"/>
      <c r="R28" s="86"/>
      <c r="S28" s="86"/>
      <c r="T28" s="86"/>
      <c r="V28" s="86"/>
    </row>
    <row r="29" spans="1:22" ht="16.5" customHeight="1">
      <c r="A29" s="92">
        <v>1</v>
      </c>
      <c r="B29" s="95" t="s">
        <v>57</v>
      </c>
      <c r="C29" s="124"/>
      <c r="D29" s="97"/>
      <c r="E29" s="96">
        <v>3072</v>
      </c>
      <c r="F29" s="97"/>
      <c r="G29" s="96">
        <v>0</v>
      </c>
      <c r="H29" s="86"/>
      <c r="I29" s="96">
        <v>0</v>
      </c>
      <c r="J29" s="86"/>
      <c r="K29" s="98">
        <f>SUM(G29:I29)</f>
        <v>0</v>
      </c>
      <c r="L29" s="86"/>
      <c r="M29" s="99" t="s">
        <v>58</v>
      </c>
      <c r="N29" s="99"/>
      <c r="O29" s="86"/>
      <c r="P29" s="100"/>
      <c r="Q29" s="86"/>
      <c r="R29" s="100"/>
      <c r="S29" s="86"/>
      <c r="T29" s="100"/>
      <c r="V29" s="98"/>
    </row>
    <row r="30" spans="1:22" ht="16.5" customHeight="1">
      <c r="A30" s="92">
        <v>2</v>
      </c>
      <c r="B30" s="95" t="s">
        <v>59</v>
      </c>
      <c r="C30" s="124"/>
      <c r="D30" s="97"/>
      <c r="E30" s="96">
        <v>18049</v>
      </c>
      <c r="F30" s="97"/>
      <c r="G30" s="96">
        <v>0</v>
      </c>
      <c r="H30" s="86"/>
      <c r="I30" s="96">
        <v>0</v>
      </c>
      <c r="J30" s="86"/>
      <c r="K30" s="98">
        <f>SUM(G30:I30)</f>
        <v>0</v>
      </c>
      <c r="L30" s="86"/>
      <c r="M30" s="99"/>
      <c r="N30" s="99"/>
      <c r="O30" s="86"/>
      <c r="P30" s="100"/>
      <c r="Q30" s="86"/>
      <c r="R30" s="100"/>
      <c r="S30" s="86"/>
      <c r="T30" s="100"/>
      <c r="V30" s="98"/>
    </row>
    <row r="31" spans="1:22" ht="16.5">
      <c r="A31" s="92">
        <v>3</v>
      </c>
      <c r="B31" s="95" t="s">
        <v>60</v>
      </c>
      <c r="C31" s="124"/>
      <c r="D31" s="97"/>
      <c r="E31" s="96">
        <v>63973</v>
      </c>
      <c r="F31" s="97"/>
      <c r="G31" s="96">
        <v>0</v>
      </c>
      <c r="H31" s="86"/>
      <c r="I31" s="96">
        <v>0</v>
      </c>
      <c r="J31" s="86"/>
      <c r="K31" s="98">
        <f>SUM(G31:I31)</f>
        <v>0</v>
      </c>
      <c r="L31" s="86"/>
      <c r="M31" s="99" t="s">
        <v>61</v>
      </c>
      <c r="N31" s="99"/>
      <c r="O31" s="86"/>
      <c r="P31" s="100"/>
      <c r="Q31" s="86"/>
      <c r="R31" s="100"/>
      <c r="S31" s="86"/>
      <c r="T31" s="100"/>
      <c r="V31" s="98"/>
    </row>
    <row r="32" spans="1:22" ht="16.5" customHeight="1">
      <c r="A32" s="92">
        <v>4</v>
      </c>
      <c r="B32" s="95" t="s">
        <v>62</v>
      </c>
      <c r="C32" s="124"/>
      <c r="D32" s="97"/>
      <c r="E32" s="96">
        <v>69781</v>
      </c>
      <c r="F32" s="97"/>
      <c r="G32" s="96">
        <v>25000</v>
      </c>
      <c r="H32" s="86"/>
      <c r="I32" s="96">
        <v>0</v>
      </c>
      <c r="J32" s="86"/>
      <c r="K32" s="98">
        <f>SUM(G32:I32)</f>
        <v>25000</v>
      </c>
      <c r="L32" s="86"/>
      <c r="M32" s="99"/>
      <c r="N32" s="99"/>
      <c r="O32" s="86"/>
      <c r="P32" s="100"/>
      <c r="Q32" s="86"/>
      <c r="R32" s="100"/>
      <c r="S32" s="86"/>
      <c r="T32" s="100"/>
      <c r="V32" s="98"/>
    </row>
    <row r="33" spans="1:22" ht="16.5" customHeight="1">
      <c r="A33" s="92">
        <v>5</v>
      </c>
      <c r="B33" s="101" t="s">
        <v>63</v>
      </c>
      <c r="C33" s="124"/>
      <c r="D33" s="97"/>
      <c r="E33" s="96">
        <v>291820</v>
      </c>
      <c r="F33" s="97"/>
      <c r="G33" s="143">
        <f>SUM(G34:G38)</f>
        <v>402062</v>
      </c>
      <c r="H33" s="86"/>
      <c r="I33" s="143">
        <f>SUM(I34:I38)</f>
        <v>2166882.7000000002</v>
      </c>
      <c r="J33" s="86"/>
      <c r="K33" s="98">
        <f>SUM(G33:I33)</f>
        <v>2568944.7000000002</v>
      </c>
      <c r="L33" s="86"/>
      <c r="M33" s="99" t="s">
        <v>64</v>
      </c>
      <c r="N33" s="99"/>
      <c r="O33" s="86"/>
      <c r="P33" s="100"/>
      <c r="Q33" s="86"/>
      <c r="R33" s="100"/>
      <c r="S33" s="86"/>
      <c r="T33" s="100"/>
      <c r="V33" s="98"/>
    </row>
    <row r="34" spans="1:22" ht="16.5" customHeight="1">
      <c r="A34" s="136"/>
      <c r="B34" s="139" t="s">
        <v>65</v>
      </c>
      <c r="C34" s="124"/>
      <c r="D34" s="97"/>
      <c r="E34" s="142"/>
      <c r="F34" s="97"/>
      <c r="G34" s="96">
        <v>0</v>
      </c>
      <c r="I34" s="96">
        <v>0</v>
      </c>
      <c r="K34" s="142"/>
      <c r="L34" s="86"/>
      <c r="M34" s="99"/>
      <c r="N34" s="99"/>
      <c r="O34" s="86"/>
      <c r="P34" s="100"/>
      <c r="Q34" s="86"/>
      <c r="R34" s="100"/>
      <c r="S34" s="86"/>
      <c r="T34" s="100"/>
      <c r="V34" s="98"/>
    </row>
    <row r="35" spans="1:22" ht="16.5" customHeight="1">
      <c r="A35" s="136"/>
      <c r="B35" s="139" t="s">
        <v>66</v>
      </c>
      <c r="C35" s="124"/>
      <c r="D35" s="97"/>
      <c r="E35" s="142"/>
      <c r="F35" s="97"/>
      <c r="G35" s="96">
        <v>0</v>
      </c>
      <c r="I35" s="96">
        <v>0</v>
      </c>
      <c r="K35" s="142"/>
      <c r="L35" s="86"/>
      <c r="M35" s="99" t="s">
        <v>67</v>
      </c>
      <c r="N35" s="99"/>
      <c r="O35" s="86"/>
      <c r="P35" s="100"/>
      <c r="Q35" s="86"/>
      <c r="R35" s="100"/>
      <c r="S35" s="86"/>
      <c r="T35" s="100"/>
      <c r="V35" s="98"/>
    </row>
    <row r="36" spans="1:22" ht="16.5" customHeight="1">
      <c r="A36" s="136"/>
      <c r="B36" s="139" t="s">
        <v>68</v>
      </c>
      <c r="C36" s="124"/>
      <c r="D36" s="97"/>
      <c r="E36" s="142"/>
      <c r="F36" s="97"/>
      <c r="G36" s="96">
        <v>250000</v>
      </c>
      <c r="I36" s="96">
        <v>2166882.7000000002</v>
      </c>
      <c r="K36" s="142"/>
      <c r="L36" s="86"/>
      <c r="M36" s="103"/>
      <c r="N36" s="103"/>
      <c r="O36" s="86"/>
      <c r="P36" s="100"/>
      <c r="Q36" s="86"/>
      <c r="R36" s="100"/>
      <c r="S36" s="86"/>
      <c r="T36" s="100"/>
      <c r="V36" s="98"/>
    </row>
    <row r="37" spans="1:22" ht="16.5" customHeight="1">
      <c r="A37" s="136"/>
      <c r="B37" s="139" t="s">
        <v>69</v>
      </c>
      <c r="C37" s="124"/>
      <c r="D37" s="97"/>
      <c r="E37" s="142"/>
      <c r="F37" s="97"/>
      <c r="G37" s="96">
        <v>100000</v>
      </c>
      <c r="I37" s="96">
        <v>0</v>
      </c>
      <c r="K37" s="142"/>
      <c r="L37" s="86"/>
      <c r="M37" s="103"/>
      <c r="N37" s="103"/>
      <c r="O37" s="86"/>
      <c r="P37" s="100"/>
      <c r="Q37" s="86"/>
      <c r="R37" s="100"/>
      <c r="S37" s="86"/>
      <c r="T37" s="100"/>
      <c r="V37" s="98"/>
    </row>
    <row r="38" spans="1:22" ht="16.5" customHeight="1">
      <c r="A38" s="136"/>
      <c r="B38" s="139" t="s">
        <v>70</v>
      </c>
      <c r="C38" s="124"/>
      <c r="D38" s="97"/>
      <c r="E38" s="142"/>
      <c r="F38" s="97"/>
      <c r="G38" s="96">
        <v>52062</v>
      </c>
      <c r="I38" s="96">
        <v>0</v>
      </c>
      <c r="K38" s="142"/>
      <c r="L38" s="86"/>
      <c r="M38" s="103"/>
      <c r="N38" s="103"/>
      <c r="O38" s="86"/>
      <c r="P38" s="100"/>
      <c r="Q38" s="86"/>
      <c r="R38" s="100"/>
      <c r="S38" s="86"/>
      <c r="T38" s="100"/>
      <c r="V38" s="98"/>
    </row>
    <row r="39" spans="1:22" ht="16.5" customHeight="1">
      <c r="A39" s="92">
        <v>6</v>
      </c>
      <c r="B39" s="95" t="s">
        <v>71</v>
      </c>
      <c r="C39" s="124"/>
      <c r="D39" s="97"/>
      <c r="E39" s="96">
        <v>607700</v>
      </c>
      <c r="F39" s="97"/>
      <c r="G39" s="96">
        <v>0</v>
      </c>
      <c r="H39" s="86"/>
      <c r="I39" s="96">
        <v>2610685</v>
      </c>
      <c r="J39" s="86"/>
      <c r="K39" s="98">
        <f>SUM(G39:I39)</f>
        <v>2610685</v>
      </c>
      <c r="L39" s="86"/>
      <c r="M39" s="162" t="s">
        <v>72</v>
      </c>
      <c r="N39" s="104"/>
      <c r="O39" s="86"/>
      <c r="P39" s="100"/>
      <c r="Q39" s="86"/>
      <c r="R39" s="100"/>
      <c r="S39" s="86"/>
      <c r="T39" s="100"/>
      <c r="V39" s="98"/>
    </row>
    <row r="40" spans="1:22" ht="15.75" customHeight="1">
      <c r="A40" s="92">
        <v>7</v>
      </c>
      <c r="B40" s="95" t="s">
        <v>41</v>
      </c>
      <c r="C40" s="124"/>
      <c r="D40" s="97"/>
      <c r="E40" s="96">
        <v>14044</v>
      </c>
      <c r="F40" s="97"/>
      <c r="G40" s="105">
        <v>0</v>
      </c>
      <c r="H40" s="86"/>
      <c r="I40" s="105">
        <v>0</v>
      </c>
      <c r="J40" s="86"/>
      <c r="K40" s="98">
        <f>SUM(G40:I40)</f>
        <v>0</v>
      </c>
      <c r="L40" s="86"/>
      <c r="M40" s="103"/>
      <c r="N40" s="103"/>
      <c r="O40" s="86"/>
      <c r="P40" s="100"/>
      <c r="Q40" s="86"/>
      <c r="R40" s="100"/>
      <c r="S40" s="86"/>
      <c r="T40" s="100"/>
      <c r="V40" s="98"/>
    </row>
    <row r="41" spans="1:22" ht="16.5" customHeight="1">
      <c r="A41" s="92">
        <v>8</v>
      </c>
      <c r="B41" s="95" t="s">
        <v>73</v>
      </c>
      <c r="C41" s="124"/>
      <c r="D41" s="97"/>
      <c r="E41" s="96">
        <v>0</v>
      </c>
      <c r="F41" s="97"/>
      <c r="G41" s="105">
        <v>0</v>
      </c>
      <c r="H41" s="86"/>
      <c r="I41" s="105">
        <v>0</v>
      </c>
      <c r="J41" s="86"/>
      <c r="K41" s="98">
        <f>SUM(G41:I41)</f>
        <v>0</v>
      </c>
      <c r="L41" s="86"/>
      <c r="M41" s="103"/>
      <c r="N41" s="103"/>
      <c r="O41" s="86"/>
      <c r="P41" s="100"/>
      <c r="Q41" s="86"/>
      <c r="R41" s="100"/>
      <c r="S41" s="86"/>
      <c r="T41" s="100"/>
      <c r="V41" s="98"/>
    </row>
    <row r="42" spans="1:22" ht="16.5" customHeight="1">
      <c r="A42" s="92">
        <v>9</v>
      </c>
      <c r="B42" s="95" t="s">
        <v>74</v>
      </c>
      <c r="C42" s="124"/>
      <c r="D42" s="97"/>
      <c r="E42" s="96">
        <v>767684</v>
      </c>
      <c r="F42" s="97"/>
      <c r="G42" s="144">
        <f>SUM(G43:G50)</f>
        <v>248000</v>
      </c>
      <c r="H42" s="86"/>
      <c r="I42" s="143">
        <f>SUM(I43:I50)</f>
        <v>100000</v>
      </c>
      <c r="J42" s="86"/>
      <c r="K42" s="98">
        <f>SUM(G42:I42)</f>
        <v>348000</v>
      </c>
      <c r="L42" s="86"/>
      <c r="M42" s="99" t="s">
        <v>75</v>
      </c>
      <c r="N42" s="99"/>
      <c r="O42" s="86"/>
      <c r="P42" s="100"/>
      <c r="Q42" s="86"/>
      <c r="R42" s="100"/>
      <c r="S42" s="86"/>
      <c r="T42" s="100"/>
      <c r="V42" s="98"/>
    </row>
    <row r="43" spans="1:22" ht="16.5" customHeight="1">
      <c r="A43" s="136"/>
      <c r="B43" s="140" t="s">
        <v>76</v>
      </c>
      <c r="C43" s="124"/>
      <c r="D43" s="97"/>
      <c r="E43" s="142"/>
      <c r="F43" s="97"/>
      <c r="G43" s="96">
        <v>248000</v>
      </c>
      <c r="H43" s="103"/>
      <c r="I43" s="96">
        <v>0</v>
      </c>
      <c r="J43" s="103"/>
      <c r="K43" s="142"/>
      <c r="L43" s="86"/>
      <c r="M43" s="103" t="s">
        <v>77</v>
      </c>
      <c r="N43" s="103"/>
      <c r="O43" s="86"/>
      <c r="P43" s="100"/>
      <c r="Q43" s="86"/>
      <c r="R43" s="100"/>
      <c r="S43" s="86"/>
      <c r="T43" s="100"/>
      <c r="V43" s="98"/>
    </row>
    <row r="44" spans="1:22" ht="16.5" customHeight="1">
      <c r="A44" s="136"/>
      <c r="B44" s="140" t="s">
        <v>78</v>
      </c>
      <c r="C44" s="124"/>
      <c r="D44" s="97"/>
      <c r="E44" s="142"/>
      <c r="F44" s="97"/>
      <c r="G44" s="96">
        <v>0</v>
      </c>
      <c r="H44" s="103"/>
      <c r="I44" s="96">
        <v>0</v>
      </c>
      <c r="J44" s="103"/>
      <c r="K44" s="142"/>
      <c r="L44" s="86"/>
      <c r="M44" s="103"/>
      <c r="N44" s="103"/>
      <c r="O44" s="86"/>
      <c r="P44" s="100"/>
      <c r="Q44" s="86"/>
      <c r="R44" s="100"/>
      <c r="S44" s="86"/>
      <c r="T44" s="100"/>
      <c r="V44" s="98"/>
    </row>
    <row r="45" spans="1:22" ht="16.5" customHeight="1">
      <c r="A45" s="136"/>
      <c r="B45" s="140" t="s">
        <v>79</v>
      </c>
      <c r="C45" s="124"/>
      <c r="D45" s="97"/>
      <c r="E45" s="142"/>
      <c r="F45" s="97"/>
      <c r="G45" s="96">
        <v>0</v>
      </c>
      <c r="H45" s="103"/>
      <c r="I45" s="96">
        <v>0</v>
      </c>
      <c r="J45" s="103"/>
      <c r="K45" s="142"/>
      <c r="L45" s="86"/>
      <c r="M45" s="103"/>
      <c r="N45" s="103"/>
      <c r="O45" s="86"/>
      <c r="P45" s="100"/>
      <c r="Q45" s="86"/>
      <c r="R45" s="100"/>
      <c r="S45" s="86"/>
      <c r="T45" s="100"/>
      <c r="V45" s="98"/>
    </row>
    <row r="46" spans="1:22" ht="16.5" customHeight="1">
      <c r="A46" s="136"/>
      <c r="B46" s="140" t="s">
        <v>80</v>
      </c>
      <c r="C46" s="124"/>
      <c r="D46" s="97"/>
      <c r="E46" s="142"/>
      <c r="F46" s="97"/>
      <c r="G46" s="96">
        <v>0</v>
      </c>
      <c r="H46" s="103"/>
      <c r="I46" s="96">
        <v>100000</v>
      </c>
      <c r="J46" s="103"/>
      <c r="K46" s="142"/>
      <c r="L46" s="86"/>
      <c r="M46" s="103"/>
      <c r="N46" s="103"/>
      <c r="O46" s="86"/>
      <c r="P46" s="100"/>
      <c r="Q46" s="86"/>
      <c r="R46" s="100"/>
      <c r="S46" s="86"/>
      <c r="T46" s="100"/>
      <c r="V46" s="98"/>
    </row>
    <row r="47" spans="1:22" ht="16.5" customHeight="1">
      <c r="A47" s="136"/>
      <c r="B47" s="140" t="s">
        <v>81</v>
      </c>
      <c r="C47" s="124"/>
      <c r="D47" s="97"/>
      <c r="E47" s="142"/>
      <c r="F47" s="97"/>
      <c r="G47" s="96">
        <v>0</v>
      </c>
      <c r="H47" s="103"/>
      <c r="I47" s="96">
        <v>0</v>
      </c>
      <c r="J47" s="103"/>
      <c r="K47" s="142"/>
      <c r="L47" s="86"/>
      <c r="M47" s="103"/>
      <c r="N47" s="103"/>
      <c r="O47" s="86"/>
      <c r="P47" s="100"/>
      <c r="Q47" s="86"/>
      <c r="R47" s="100"/>
      <c r="S47" s="86"/>
      <c r="T47" s="100"/>
      <c r="V47" s="98"/>
    </row>
    <row r="48" spans="1:22" ht="16.5" customHeight="1">
      <c r="A48" s="136"/>
      <c r="B48" s="140" t="s">
        <v>82</v>
      </c>
      <c r="C48" s="124"/>
      <c r="D48" s="97"/>
      <c r="E48" s="142"/>
      <c r="F48" s="97"/>
      <c r="G48" s="96">
        <v>0</v>
      </c>
      <c r="H48" s="103"/>
      <c r="I48" s="96">
        <v>0</v>
      </c>
      <c r="J48" s="103"/>
      <c r="K48" s="142"/>
      <c r="L48" s="86"/>
      <c r="M48" s="103"/>
      <c r="N48" s="103"/>
      <c r="O48" s="86"/>
      <c r="P48" s="100"/>
      <c r="Q48" s="86"/>
      <c r="R48" s="100"/>
      <c r="S48" s="86"/>
      <c r="T48" s="100"/>
      <c r="V48" s="98"/>
    </row>
    <row r="49" spans="1:22" ht="15.75" customHeight="1">
      <c r="A49" s="136"/>
      <c r="B49" s="140" t="s">
        <v>83</v>
      </c>
      <c r="C49" s="124"/>
      <c r="D49" s="97"/>
      <c r="E49" s="142"/>
      <c r="F49" s="97"/>
      <c r="G49" s="96">
        <v>0</v>
      </c>
      <c r="H49" s="103"/>
      <c r="I49" s="96">
        <v>0</v>
      </c>
      <c r="J49" s="103"/>
      <c r="K49" s="142"/>
      <c r="L49" s="86"/>
      <c r="M49" s="103"/>
      <c r="N49" s="103"/>
      <c r="O49" s="86"/>
      <c r="P49" s="100"/>
      <c r="Q49" s="86"/>
      <c r="R49" s="100"/>
      <c r="S49" s="86"/>
      <c r="T49" s="100"/>
      <c r="V49" s="98"/>
    </row>
    <row r="50" spans="1:22" ht="16.5" customHeight="1">
      <c r="A50" s="136"/>
      <c r="B50" s="140" t="s">
        <v>84</v>
      </c>
      <c r="C50" s="124"/>
      <c r="D50" s="97"/>
      <c r="E50" s="142"/>
      <c r="F50" s="97"/>
      <c r="G50" s="96">
        <v>0</v>
      </c>
      <c r="H50" s="103"/>
      <c r="I50" s="96">
        <v>0</v>
      </c>
      <c r="J50" s="103"/>
      <c r="K50" s="142"/>
      <c r="L50" s="86"/>
      <c r="M50" s="103"/>
      <c r="N50" s="103"/>
      <c r="O50" s="86"/>
      <c r="P50" s="100"/>
      <c r="Q50" s="86"/>
      <c r="R50" s="100"/>
      <c r="S50" s="86"/>
      <c r="T50" s="100"/>
      <c r="V50" s="98"/>
    </row>
    <row r="51" spans="1:22" ht="16.5" customHeight="1">
      <c r="A51" s="92">
        <v>10</v>
      </c>
      <c r="B51" s="95" t="s">
        <v>85</v>
      </c>
      <c r="C51" s="124"/>
      <c r="D51" s="97"/>
      <c r="E51" s="96">
        <v>14138</v>
      </c>
      <c r="F51" s="97"/>
      <c r="G51" s="105">
        <v>0</v>
      </c>
      <c r="H51" s="86"/>
      <c r="I51" s="105">
        <v>0</v>
      </c>
      <c r="J51" s="86"/>
      <c r="K51" s="98">
        <f>SUM(G51:I51)</f>
        <v>0</v>
      </c>
      <c r="L51" s="86"/>
      <c r="M51" s="103"/>
      <c r="N51" s="103"/>
      <c r="O51" s="86"/>
      <c r="P51" s="100"/>
      <c r="Q51" s="86"/>
      <c r="R51" s="100"/>
      <c r="S51" s="86"/>
      <c r="T51" s="100"/>
      <c r="V51" s="98"/>
    </row>
    <row r="52" spans="1:22" ht="16.5" customHeight="1">
      <c r="A52" s="92">
        <v>11</v>
      </c>
      <c r="B52" s="95" t="s">
        <v>86</v>
      </c>
      <c r="C52" s="124"/>
      <c r="D52" s="97"/>
      <c r="E52" s="96">
        <v>150371</v>
      </c>
      <c r="F52" s="97"/>
      <c r="G52" s="105">
        <v>0</v>
      </c>
      <c r="H52" s="86"/>
      <c r="I52" s="105">
        <v>0</v>
      </c>
      <c r="J52" s="86"/>
      <c r="K52" s="98">
        <f>SUM(G52:I52)</f>
        <v>0</v>
      </c>
      <c r="L52" s="86"/>
      <c r="M52" s="103"/>
      <c r="N52" s="103"/>
      <c r="O52" s="86"/>
      <c r="P52" s="100"/>
      <c r="Q52" s="86"/>
      <c r="R52" s="100"/>
      <c r="S52" s="86"/>
      <c r="T52" s="100"/>
      <c r="V52" s="98"/>
    </row>
    <row r="53" spans="1:22" ht="16.5" customHeight="1">
      <c r="A53" s="92">
        <v>12</v>
      </c>
      <c r="B53" s="95" t="s">
        <v>87</v>
      </c>
      <c r="C53" s="124"/>
      <c r="D53" s="97"/>
      <c r="E53" s="105">
        <v>0</v>
      </c>
      <c r="F53" s="97"/>
      <c r="G53" s="105">
        <v>0</v>
      </c>
      <c r="H53" s="86"/>
      <c r="I53" s="105">
        <v>0</v>
      </c>
      <c r="J53" s="86"/>
      <c r="K53" s="98">
        <f t="shared" ref="K53:K54" si="0">SUM(G53:I53)</f>
        <v>0</v>
      </c>
      <c r="L53" s="86"/>
      <c r="M53" s="103"/>
      <c r="N53" s="103"/>
      <c r="O53" s="86"/>
      <c r="P53" s="100"/>
      <c r="Q53" s="86"/>
      <c r="R53" s="100"/>
      <c r="S53" s="86"/>
      <c r="T53" s="100"/>
      <c r="V53" s="98"/>
    </row>
    <row r="54" spans="1:22" ht="28.5" customHeight="1">
      <c r="A54" s="92">
        <v>15</v>
      </c>
      <c r="B54" s="95" t="s">
        <v>88</v>
      </c>
      <c r="C54" s="124"/>
      <c r="D54" s="97"/>
      <c r="E54" s="105">
        <v>0</v>
      </c>
      <c r="F54" s="97"/>
      <c r="G54" s="105">
        <v>0</v>
      </c>
      <c r="H54" s="86"/>
      <c r="I54" s="105">
        <v>0</v>
      </c>
      <c r="J54" s="86"/>
      <c r="K54" s="98">
        <f t="shared" si="0"/>
        <v>0</v>
      </c>
      <c r="L54" s="86"/>
      <c r="M54" s="103"/>
      <c r="N54" s="103"/>
      <c r="O54" s="86"/>
      <c r="P54" s="100"/>
      <c r="Q54" s="86"/>
      <c r="R54" s="100"/>
      <c r="S54" s="86"/>
      <c r="T54" s="100"/>
      <c r="V54" s="98"/>
    </row>
    <row r="55" spans="1:22">
      <c r="A55" s="92"/>
      <c r="B55" s="95"/>
      <c r="C55" s="124"/>
      <c r="D55" s="82"/>
      <c r="E55" s="124"/>
      <c r="F55" s="82"/>
      <c r="K55" s="124"/>
      <c r="V55" s="86"/>
    </row>
    <row r="56" spans="1:22">
      <c r="A56" s="64" t="s">
        <v>89</v>
      </c>
      <c r="B56" s="52" t="s">
        <v>90</v>
      </c>
      <c r="C56" s="124"/>
      <c r="D56" s="110"/>
      <c r="E56" s="96">
        <v>0</v>
      </c>
      <c r="F56" s="110"/>
      <c r="G56" s="78"/>
      <c r="H56" s="111"/>
      <c r="I56" s="78"/>
      <c r="J56" s="111"/>
      <c r="K56" s="78"/>
      <c r="L56" s="111"/>
      <c r="M56" s="82"/>
      <c r="N56" s="82"/>
      <c r="O56" s="112"/>
      <c r="P56" s="72"/>
      <c r="Q56" s="113"/>
      <c r="R56" s="72"/>
      <c r="S56" s="113"/>
      <c r="T56" s="72"/>
      <c r="V56" s="72"/>
    </row>
    <row r="57" spans="1:22">
      <c r="B57" s="52" t="s">
        <v>91</v>
      </c>
      <c r="C57" s="124"/>
      <c r="D57" s="110"/>
      <c r="E57" s="96">
        <v>0</v>
      </c>
      <c r="F57" s="110"/>
      <c r="G57" s="78"/>
      <c r="H57" s="111"/>
      <c r="I57" s="78"/>
      <c r="J57" s="111"/>
      <c r="K57" s="78"/>
      <c r="L57" s="111"/>
      <c r="M57" s="82"/>
      <c r="N57" s="82"/>
      <c r="O57" s="112"/>
      <c r="P57" s="72"/>
      <c r="Q57" s="113"/>
      <c r="R57" s="72"/>
      <c r="S57" s="113"/>
      <c r="T57" s="72"/>
      <c r="V57" s="72"/>
    </row>
    <row r="58" spans="1:22">
      <c r="B58" s="52" t="s">
        <v>92</v>
      </c>
      <c r="C58" s="124"/>
      <c r="D58" s="110"/>
      <c r="E58" s="96">
        <v>0</v>
      </c>
      <c r="F58" s="110"/>
      <c r="G58" s="78"/>
      <c r="H58" s="111"/>
      <c r="I58" s="78"/>
      <c r="J58" s="111"/>
      <c r="K58" s="78"/>
      <c r="L58" s="111"/>
      <c r="M58" s="82"/>
      <c r="N58" s="82"/>
      <c r="O58" s="112"/>
      <c r="P58" s="72"/>
      <c r="Q58" s="113"/>
      <c r="R58" s="72"/>
      <c r="S58" s="113"/>
      <c r="T58" s="72"/>
      <c r="V58" s="72"/>
    </row>
    <row r="59" spans="1:22">
      <c r="B59" s="52" t="s">
        <v>93</v>
      </c>
      <c r="C59" s="124"/>
      <c r="D59" s="110"/>
      <c r="E59" s="96">
        <v>0</v>
      </c>
      <c r="F59" s="110"/>
      <c r="G59" s="78"/>
      <c r="H59" s="111"/>
      <c r="I59" s="78"/>
      <c r="J59" s="111"/>
      <c r="K59" s="78"/>
      <c r="L59" s="111"/>
      <c r="M59" s="82"/>
      <c r="N59" s="82"/>
      <c r="O59" s="112"/>
      <c r="P59" s="72"/>
      <c r="Q59" s="113"/>
      <c r="R59" s="72"/>
      <c r="S59" s="113"/>
      <c r="T59" s="72"/>
      <c r="V59" s="72"/>
    </row>
    <row r="60" spans="1:22">
      <c r="B60" s="52" t="s">
        <v>94</v>
      </c>
      <c r="C60" s="124"/>
      <c r="D60" s="110"/>
      <c r="E60" s="96">
        <v>0</v>
      </c>
      <c r="F60" s="110"/>
      <c r="G60" s="78"/>
      <c r="H60" s="111"/>
      <c r="I60" s="78"/>
      <c r="J60" s="111"/>
      <c r="K60" s="78"/>
      <c r="L60" s="111"/>
      <c r="M60" s="82"/>
      <c r="N60" s="82"/>
      <c r="O60" s="112"/>
      <c r="P60" s="72"/>
      <c r="Q60" s="113"/>
      <c r="R60" s="72"/>
      <c r="S60" s="113"/>
      <c r="T60" s="72"/>
      <c r="V60" s="72"/>
    </row>
    <row r="61" spans="1:22">
      <c r="B61" s="52" t="s">
        <v>95</v>
      </c>
      <c r="C61" s="124"/>
      <c r="D61" s="110"/>
      <c r="E61" s="96">
        <v>0</v>
      </c>
      <c r="F61" s="110"/>
      <c r="G61" s="78"/>
      <c r="H61" s="111"/>
      <c r="I61" s="78"/>
      <c r="J61" s="111"/>
      <c r="K61" s="78"/>
      <c r="L61" s="111"/>
      <c r="M61" s="82"/>
      <c r="N61" s="82"/>
      <c r="O61" s="112"/>
      <c r="P61" s="72"/>
      <c r="Q61" s="113"/>
      <c r="R61" s="72"/>
      <c r="S61" s="113"/>
      <c r="T61" s="72"/>
      <c r="V61" s="72"/>
    </row>
    <row r="62" spans="1:22">
      <c r="B62" s="52" t="s">
        <v>96</v>
      </c>
      <c r="C62" s="124"/>
      <c r="D62" s="110"/>
      <c r="E62" s="96">
        <v>0</v>
      </c>
      <c r="F62" s="110"/>
      <c r="G62" s="78"/>
      <c r="H62" s="111"/>
      <c r="I62" s="78"/>
      <c r="J62" s="111"/>
      <c r="K62" s="78"/>
      <c r="L62" s="111"/>
      <c r="M62" s="82"/>
      <c r="N62" s="82"/>
      <c r="O62" s="112"/>
      <c r="P62" s="72"/>
      <c r="Q62" s="113"/>
      <c r="R62" s="72"/>
      <c r="S62" s="113"/>
      <c r="T62" s="72"/>
      <c r="V62" s="72"/>
    </row>
    <row r="63" spans="1:22">
      <c r="B63" s="52" t="s">
        <v>97</v>
      </c>
      <c r="C63" s="124"/>
      <c r="D63" s="110"/>
      <c r="E63" s="96">
        <v>0</v>
      </c>
      <c r="F63" s="110"/>
      <c r="G63" s="78"/>
      <c r="H63" s="111"/>
      <c r="I63" s="78"/>
      <c r="J63" s="111"/>
      <c r="K63" s="78"/>
      <c r="L63" s="111"/>
      <c r="M63" s="82"/>
      <c r="N63" s="82"/>
      <c r="O63" s="112"/>
      <c r="P63" s="72"/>
      <c r="Q63" s="113"/>
      <c r="R63" s="72"/>
      <c r="S63" s="113"/>
      <c r="T63" s="72"/>
      <c r="V63" s="72"/>
    </row>
    <row r="64" spans="1:22">
      <c r="B64" s="52" t="s">
        <v>98</v>
      </c>
      <c r="C64" s="124"/>
      <c r="D64" s="110"/>
      <c r="E64" s="96">
        <v>0</v>
      </c>
      <c r="F64" s="110"/>
      <c r="G64" s="78"/>
      <c r="H64" s="111"/>
      <c r="I64" s="78"/>
      <c r="J64" s="111"/>
      <c r="K64" s="78"/>
      <c r="L64" s="111"/>
      <c r="M64" s="82"/>
      <c r="N64" s="82"/>
      <c r="O64" s="112"/>
      <c r="P64" s="72"/>
      <c r="Q64" s="113"/>
      <c r="R64" s="72"/>
      <c r="S64" s="113"/>
      <c r="T64" s="72"/>
      <c r="V64" s="72"/>
    </row>
    <row r="65" spans="1:22" ht="12.75">
      <c r="A65" s="108"/>
      <c r="B65" s="108" t="s">
        <v>99</v>
      </c>
      <c r="C65" s="124"/>
      <c r="D65" s="115"/>
      <c r="E65" s="145">
        <v>1556507</v>
      </c>
      <c r="F65" s="116"/>
    </row>
    <row r="66" spans="1:22">
      <c r="B66" s="130"/>
      <c r="C66" s="130"/>
      <c r="D66" s="130"/>
      <c r="E66" s="130"/>
      <c r="F66" s="124"/>
      <c r="G66" s="130"/>
      <c r="H66" s="124"/>
      <c r="I66" s="130"/>
      <c r="J66" s="124"/>
      <c r="K66" s="130"/>
      <c r="L66" s="124"/>
      <c r="M66" s="132"/>
      <c r="N66" s="132"/>
      <c r="O66" s="124"/>
      <c r="P66" s="132"/>
      <c r="Q66" s="124"/>
      <c r="R66" s="132"/>
      <c r="S66" s="124"/>
      <c r="T66" s="133"/>
      <c r="U66" s="124"/>
    </row>
    <row r="67" spans="1:22" ht="14.25">
      <c r="A67" s="117" t="s">
        <v>100</v>
      </c>
      <c r="B67" s="118"/>
      <c r="C67" s="118"/>
      <c r="D67" s="120"/>
      <c r="E67" s="148">
        <v>271198</v>
      </c>
      <c r="F67" s="120"/>
      <c r="G67" s="118"/>
      <c r="H67" s="121"/>
      <c r="I67" s="118"/>
      <c r="J67" s="121"/>
      <c r="K67" s="118"/>
      <c r="L67" s="121"/>
      <c r="M67" s="122"/>
      <c r="N67" s="122"/>
      <c r="P67" s="123"/>
      <c r="R67" s="123"/>
      <c r="T67" s="122"/>
      <c r="U67" s="122"/>
      <c r="V67" s="122"/>
    </row>
    <row r="68" spans="1:22" ht="12" customHeight="1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>
      <c r="A69" s="64" t="s">
        <v>101</v>
      </c>
      <c r="B69" s="52"/>
      <c r="C69" s="106">
        <f>C28</f>
        <v>10312329.699999999</v>
      </c>
      <c r="D69" s="82"/>
      <c r="E69" s="106">
        <f>SUM(E29:E54)+E65+E67</f>
        <v>3828337</v>
      </c>
      <c r="F69" s="150"/>
      <c r="G69" s="78"/>
      <c r="H69" s="78"/>
      <c r="J69" s="78"/>
      <c r="K69" s="157">
        <f>SUM(K29:K54)</f>
        <v>5552629.7000000002</v>
      </c>
    </row>
    <row r="70" spans="1:22" ht="15.75" thickBot="1">
      <c r="A70" s="64"/>
      <c r="B70" s="130"/>
      <c r="C70" s="130"/>
      <c r="D70" s="130"/>
      <c r="E70" s="130"/>
      <c r="F70" s="124"/>
      <c r="G70" s="130"/>
      <c r="H70" s="124"/>
      <c r="I70" s="130"/>
      <c r="J70" s="124"/>
      <c r="K70" s="156"/>
      <c r="L70" s="124"/>
      <c r="M70" s="131"/>
      <c r="N70" s="131"/>
      <c r="O70" s="124"/>
      <c r="P70" s="131"/>
      <c r="Q70" s="124"/>
      <c r="R70" s="131"/>
      <c r="S70" s="124"/>
      <c r="T70" s="124"/>
      <c r="U70" s="124"/>
    </row>
    <row r="71" spans="1:22" s="64" customFormat="1" ht="20.25" customHeight="1" thickBot="1">
      <c r="A71" s="125" t="s">
        <v>102</v>
      </c>
      <c r="B71" s="126"/>
      <c r="C71" s="126"/>
      <c r="D71" s="128"/>
      <c r="E71" s="137"/>
      <c r="F71" s="126"/>
      <c r="G71" s="126"/>
      <c r="H71" s="126"/>
      <c r="I71" s="126"/>
      <c r="J71" s="126"/>
      <c r="K71" s="158">
        <f>E69+K69</f>
        <v>9380966.6999999993</v>
      </c>
      <c r="L71" s="126"/>
      <c r="M71" s="122"/>
      <c r="N71" s="122"/>
      <c r="O71" s="122"/>
      <c r="P71" s="122"/>
      <c r="Q71" s="122"/>
      <c r="R71" s="122"/>
      <c r="S71" s="122"/>
      <c r="T71" s="122"/>
      <c r="U71" s="122"/>
      <c r="V71" s="122"/>
    </row>
    <row r="72" spans="1:22">
      <c r="A72" s="92"/>
      <c r="B72" s="52"/>
      <c r="C72" s="130"/>
      <c r="D72" s="52"/>
    </row>
    <row r="73" spans="1:22">
      <c r="A73" s="64"/>
      <c r="B73" s="130"/>
      <c r="C73" s="130"/>
      <c r="D73" s="130"/>
      <c r="E73" s="130"/>
      <c r="F73" s="124"/>
      <c r="G73" s="124"/>
      <c r="H73" s="124"/>
      <c r="I73" s="130"/>
      <c r="J73" s="124"/>
      <c r="K73" s="130"/>
      <c r="L73" s="124"/>
      <c r="M73" s="130"/>
      <c r="N73" s="131"/>
      <c r="O73" s="124"/>
      <c r="P73" s="131"/>
      <c r="Q73" s="124"/>
      <c r="R73" s="131"/>
      <c r="S73" s="124"/>
      <c r="T73" s="124"/>
      <c r="U73" s="124"/>
    </row>
    <row r="74" spans="1:22">
      <c r="B74" s="130"/>
      <c r="C74" s="130"/>
      <c r="D74" s="130"/>
      <c r="E74" s="130"/>
      <c r="F74" s="124"/>
      <c r="G74" s="124"/>
      <c r="H74" s="124"/>
      <c r="I74" s="130"/>
      <c r="J74" s="124"/>
      <c r="K74" s="130"/>
      <c r="L74" s="124"/>
      <c r="M74" s="130"/>
      <c r="N74" s="132"/>
      <c r="O74" s="124"/>
      <c r="P74" s="132"/>
      <c r="Q74" s="124"/>
      <c r="R74" s="132"/>
      <c r="S74" s="124"/>
      <c r="T74" s="133"/>
      <c r="U74" s="124"/>
    </row>
    <row r="75" spans="1:22">
      <c r="B75" s="130"/>
      <c r="C75" s="130"/>
      <c r="D75" s="130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</row>
    <row r="76" spans="1:22">
      <c r="B76" s="130"/>
      <c r="C76" s="130"/>
      <c r="D76" s="130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</row>
    <row r="77" spans="1:22">
      <c r="B77" s="130"/>
      <c r="C77" s="130"/>
      <c r="D77" s="130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</row>
    <row r="78" spans="1:22">
      <c r="D78" s="130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</row>
    <row r="79" spans="1:22">
      <c r="B79" s="124"/>
      <c r="C79" s="124"/>
      <c r="D79" s="130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</row>
    <row r="80" spans="1:22">
      <c r="B80" s="124"/>
      <c r="C80" s="149"/>
      <c r="D80" s="130"/>
      <c r="E80" s="124"/>
      <c r="F80" s="124"/>
      <c r="G80" s="124"/>
      <c r="H80" s="124"/>
      <c r="I80" s="124"/>
      <c r="J80" s="124"/>
      <c r="K80" s="124"/>
      <c r="L80" s="124"/>
      <c r="M80" s="124"/>
      <c r="N80" s="149"/>
      <c r="O80" s="124"/>
      <c r="P80" s="124"/>
      <c r="Q80" s="124"/>
      <c r="R80" s="124"/>
      <c r="S80" s="124"/>
      <c r="T80" s="124"/>
      <c r="U80" s="124"/>
    </row>
    <row r="81" spans="2:21">
      <c r="B81" s="124"/>
      <c r="C81" s="149"/>
      <c r="D81" s="130"/>
      <c r="E81" s="124"/>
      <c r="F81" s="124"/>
      <c r="G81" s="124"/>
      <c r="H81" s="124"/>
      <c r="I81" s="124"/>
      <c r="J81" s="124"/>
      <c r="K81" s="124"/>
      <c r="L81" s="124"/>
      <c r="M81" s="124"/>
      <c r="N81" s="149"/>
      <c r="O81" s="124"/>
      <c r="P81" s="124"/>
      <c r="Q81" s="124"/>
      <c r="R81" s="124"/>
      <c r="S81" s="124"/>
      <c r="T81" s="124"/>
      <c r="U81" s="124"/>
    </row>
    <row r="82" spans="2:21">
      <c r="B82" s="124"/>
      <c r="C82" s="149"/>
      <c r="D82" s="130"/>
      <c r="E82" s="124"/>
      <c r="F82" s="124"/>
      <c r="G82" s="124"/>
      <c r="H82" s="124"/>
      <c r="I82" s="124"/>
      <c r="J82" s="124"/>
      <c r="K82" s="124"/>
      <c r="L82" s="124"/>
      <c r="M82" s="124"/>
      <c r="N82" s="149"/>
      <c r="O82" s="124"/>
      <c r="P82" s="124"/>
      <c r="Q82" s="124"/>
      <c r="R82" s="124"/>
      <c r="S82" s="124"/>
      <c r="T82" s="124"/>
      <c r="U82" s="124"/>
    </row>
    <row r="83" spans="2:21">
      <c r="B83" s="124"/>
      <c r="C83" s="149"/>
      <c r="D83" s="130"/>
      <c r="E83" s="124"/>
      <c r="F83" s="124"/>
      <c r="G83" s="124"/>
      <c r="H83" s="124"/>
      <c r="I83" s="124"/>
      <c r="J83" s="124"/>
      <c r="K83" s="124"/>
      <c r="L83" s="124"/>
      <c r="M83" s="124"/>
      <c r="N83" s="149"/>
      <c r="O83" s="124"/>
      <c r="P83" s="124"/>
      <c r="Q83" s="124"/>
      <c r="R83" s="124"/>
      <c r="S83" s="124"/>
      <c r="T83" s="124"/>
      <c r="U83" s="124"/>
    </row>
    <row r="84" spans="2:21">
      <c r="B84" s="130"/>
      <c r="C84" s="130"/>
      <c r="D84" s="130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</row>
    <row r="85" spans="2:21">
      <c r="B85" s="130"/>
      <c r="C85" s="130"/>
      <c r="D85" s="130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</row>
    <row r="86" spans="2:21">
      <c r="B86" s="130"/>
      <c r="C86" s="130"/>
      <c r="D86" s="130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</row>
    <row r="87" spans="2:21">
      <c r="B87" s="130"/>
      <c r="C87" s="130"/>
      <c r="D87" s="130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</row>
    <row r="88" spans="2:21">
      <c r="B88" s="130"/>
      <c r="C88" s="130"/>
      <c r="D88" s="130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</row>
    <row r="89" spans="2:21">
      <c r="B89" s="130"/>
      <c r="C89" s="130"/>
      <c r="D89" s="130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</row>
    <row r="90" spans="2:21">
      <c r="B90" s="130"/>
      <c r="C90" s="130"/>
      <c r="D90" s="130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</row>
    <row r="91" spans="2:21">
      <c r="B91" s="130"/>
      <c r="C91" s="130"/>
      <c r="D91" s="130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</row>
    <row r="92" spans="2:21">
      <c r="B92" s="130"/>
      <c r="C92" s="130"/>
      <c r="D92" s="130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</row>
    <row r="93" spans="2:21">
      <c r="B93" s="130"/>
      <c r="C93" s="130"/>
      <c r="D93" s="130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</row>
    <row r="94" spans="2:21">
      <c r="B94" s="130"/>
      <c r="C94" s="130"/>
      <c r="D94" s="130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</row>
    <row r="95" spans="2:21">
      <c r="B95" s="130"/>
      <c r="C95" s="130"/>
      <c r="D95" s="130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</row>
    <row r="96" spans="2:21">
      <c r="B96" s="130"/>
      <c r="C96" s="130"/>
      <c r="D96" s="130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</row>
    <row r="97" spans="2:21">
      <c r="B97" s="130"/>
      <c r="C97" s="130"/>
      <c r="D97" s="130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</row>
    <row r="98" spans="2:21">
      <c r="B98" s="130"/>
      <c r="C98" s="130"/>
      <c r="D98" s="130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</row>
    <row r="99" spans="2:21">
      <c r="B99" s="130"/>
      <c r="C99" s="130"/>
      <c r="D99" s="130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</row>
    <row r="100" spans="2:21">
      <c r="B100" s="130"/>
      <c r="C100" s="130"/>
      <c r="D100" s="130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</row>
    <row r="101" spans="2:21">
      <c r="B101" s="130"/>
      <c r="C101" s="130"/>
      <c r="D101" s="130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</row>
    <row r="102" spans="2:21">
      <c r="B102" s="130"/>
      <c r="C102" s="130"/>
      <c r="D102" s="130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</row>
    <row r="103" spans="2:21">
      <c r="B103" s="130"/>
      <c r="C103" s="130"/>
      <c r="D103" s="130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</row>
    <row r="104" spans="2:21">
      <c r="B104" s="130"/>
      <c r="C104" s="130"/>
      <c r="D104" s="130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</row>
    <row r="105" spans="2:21">
      <c r="B105" s="130"/>
      <c r="C105" s="130"/>
      <c r="D105" s="130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</row>
    <row r="106" spans="2:21">
      <c r="B106" s="130"/>
      <c r="C106" s="130"/>
      <c r="D106" s="130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</row>
    <row r="107" spans="2:21">
      <c r="B107" s="130"/>
      <c r="C107" s="130"/>
      <c r="D107" s="130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</row>
    <row r="108" spans="2:21">
      <c r="B108" s="130"/>
      <c r="C108" s="130"/>
      <c r="D108" s="130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</row>
    <row r="109" spans="2:21">
      <c r="B109" s="130"/>
      <c r="C109" s="130"/>
      <c r="D109" s="130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</row>
    <row r="110" spans="2:21">
      <c r="B110" s="130"/>
      <c r="C110" s="130"/>
      <c r="D110" s="130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</row>
    <row r="111" spans="2:21">
      <c r="B111" s="134"/>
      <c r="C111" s="130"/>
      <c r="D111" s="13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</row>
    <row r="112" spans="2:21">
      <c r="B112" s="55"/>
      <c r="C112" s="130"/>
      <c r="D112" s="5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</row>
    <row r="113" spans="2:21">
      <c r="B113" s="55"/>
      <c r="C113" s="130"/>
      <c r="D113" s="5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</row>
    <row r="114" spans="2:21">
      <c r="B114" s="55"/>
      <c r="C114" s="130"/>
      <c r="D114" s="5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</row>
    <row r="115" spans="2:21">
      <c r="B115" s="55"/>
      <c r="C115" s="130"/>
      <c r="D115" s="5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</row>
    <row r="116" spans="2:21">
      <c r="B116" s="55"/>
      <c r="C116" s="130"/>
      <c r="D116" s="5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</row>
    <row r="117" spans="2:21">
      <c r="B117" s="55"/>
      <c r="C117" s="130"/>
      <c r="D117" s="5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</row>
    <row r="118" spans="2:21">
      <c r="B118" s="55"/>
      <c r="C118" s="130"/>
      <c r="D118" s="5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</row>
    <row r="119" spans="2:21">
      <c r="B119" s="55"/>
      <c r="C119" s="130"/>
      <c r="D119" s="5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</row>
    <row r="120" spans="2:21">
      <c r="B120" s="55"/>
      <c r="C120" s="130"/>
      <c r="D120" s="5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</row>
    <row r="121" spans="2:21">
      <c r="B121" s="55"/>
      <c r="C121" s="130"/>
      <c r="D121" s="5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</row>
    <row r="122" spans="2:21">
      <c r="B122" s="55"/>
      <c r="C122" s="130"/>
      <c r="D122" s="5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</row>
    <row r="123" spans="2:21">
      <c r="B123" s="55"/>
      <c r="C123" s="130"/>
      <c r="D123" s="5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</row>
    <row r="124" spans="2:21">
      <c r="B124" s="55"/>
      <c r="C124" s="130"/>
      <c r="D124" s="5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</row>
    <row r="125" spans="2:21">
      <c r="B125" s="55"/>
      <c r="C125" s="130"/>
      <c r="D125" s="5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</row>
    <row r="126" spans="2:21">
      <c r="B126" s="55"/>
      <c r="C126" s="130"/>
      <c r="D126" s="5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</row>
    <row r="127" spans="2:21">
      <c r="B127" s="55"/>
      <c r="C127" s="130"/>
      <c r="D127" s="5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</row>
    <row r="128" spans="2:21">
      <c r="B128" s="55"/>
      <c r="C128" s="130"/>
      <c r="D128" s="5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</row>
    <row r="129" spans="2:21">
      <c r="B129" s="55"/>
      <c r="C129" s="130"/>
      <c r="D129" s="5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</row>
    <row r="130" spans="2:21">
      <c r="B130" s="55"/>
      <c r="C130" s="130"/>
      <c r="D130" s="5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</row>
    <row r="131" spans="2:21">
      <c r="B131" s="55"/>
      <c r="C131" s="130"/>
      <c r="D131" s="5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</row>
    <row r="132" spans="2:21">
      <c r="B132" s="55"/>
      <c r="C132" s="130"/>
      <c r="D132" s="5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</row>
    <row r="133" spans="2:21">
      <c r="B133" s="55"/>
      <c r="C133" s="130"/>
      <c r="D133" s="5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</row>
    <row r="134" spans="2:21">
      <c r="B134" s="55"/>
      <c r="C134" s="130"/>
      <c r="D134" s="5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</row>
    <row r="135" spans="2:21">
      <c r="B135" s="55"/>
      <c r="C135" s="130"/>
      <c r="D135" s="5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</row>
    <row r="136" spans="2:21">
      <c r="B136" s="55"/>
      <c r="C136" s="130"/>
      <c r="D136" s="5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</row>
    <row r="137" spans="2:21">
      <c r="B137" s="55"/>
      <c r="C137" s="130"/>
      <c r="D137" s="5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</row>
    <row r="138" spans="2:21">
      <c r="B138" s="55"/>
      <c r="C138" s="134"/>
      <c r="D138" s="5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</row>
    <row r="139" spans="2:21">
      <c r="B139" s="55"/>
      <c r="C139" s="55"/>
      <c r="D139" s="5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</row>
    <row r="140" spans="2:21">
      <c r="B140" s="55"/>
      <c r="C140" s="55"/>
      <c r="D140" s="5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</row>
    <row r="141" spans="2:21">
      <c r="B141" s="55"/>
      <c r="C141" s="55"/>
      <c r="D141" s="5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</row>
    <row r="142" spans="2:21">
      <c r="B142" s="55"/>
      <c r="C142" s="55"/>
      <c r="D142" s="5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</row>
    <row r="143" spans="2:21">
      <c r="B143" s="55"/>
      <c r="C143" s="55"/>
      <c r="D143" s="5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</row>
    <row r="144" spans="2:21">
      <c r="B144" s="55"/>
      <c r="C144" s="55"/>
      <c r="D144" s="5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</row>
    <row r="145" spans="2:21">
      <c r="B145" s="55"/>
      <c r="C145" s="55"/>
      <c r="D145" s="5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</row>
    <row r="146" spans="2:21">
      <c r="B146" s="55"/>
      <c r="C146" s="55"/>
      <c r="D146" s="5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</row>
    <row r="147" spans="2:21">
      <c r="B147" s="55"/>
      <c r="C147" s="55"/>
      <c r="D147" s="5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</row>
    <row r="148" spans="2:21">
      <c r="B148" s="55"/>
      <c r="C148" s="55"/>
      <c r="D148" s="5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</row>
    <row r="149" spans="2:21">
      <c r="B149" s="55"/>
      <c r="C149" s="55"/>
      <c r="D149" s="5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</row>
    <row r="150" spans="2:21">
      <c r="B150" s="55"/>
      <c r="C150" s="55"/>
      <c r="D150" s="5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</row>
    <row r="151" spans="2:21">
      <c r="B151" s="55"/>
      <c r="C151" s="55"/>
      <c r="D151" s="5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</row>
    <row r="152" spans="2:21">
      <c r="C152" s="55"/>
    </row>
    <row r="153" spans="2:21">
      <c r="C153" s="55"/>
    </row>
    <row r="154" spans="2:21">
      <c r="C154" s="55"/>
    </row>
    <row r="155" spans="2:21">
      <c r="C155" s="55"/>
    </row>
    <row r="156" spans="2:21">
      <c r="C156" s="55"/>
    </row>
    <row r="157" spans="2:21">
      <c r="C157" s="55"/>
    </row>
    <row r="158" spans="2:21">
      <c r="C158" s="55"/>
    </row>
    <row r="159" spans="2:21">
      <c r="C159" s="55"/>
    </row>
    <row r="160" spans="2:21">
      <c r="C160" s="55"/>
    </row>
    <row r="161" spans="3:3">
      <c r="C161" s="55"/>
    </row>
    <row r="162" spans="3:3">
      <c r="C162" s="55"/>
    </row>
    <row r="163" spans="3:3">
      <c r="C163" s="55"/>
    </row>
    <row r="164" spans="3:3">
      <c r="C164" s="55"/>
    </row>
    <row r="165" spans="3:3">
      <c r="C165" s="55"/>
    </row>
    <row r="166" spans="3:3">
      <c r="C166" s="55"/>
    </row>
    <row r="167" spans="3:3">
      <c r="C167" s="55"/>
    </row>
    <row r="168" spans="3:3">
      <c r="C168" s="55"/>
    </row>
    <row r="169" spans="3:3">
      <c r="C169" s="55"/>
    </row>
    <row r="170" spans="3:3">
      <c r="C170" s="55"/>
    </row>
    <row r="171" spans="3:3">
      <c r="C171" s="55"/>
    </row>
    <row r="172" spans="3:3">
      <c r="C172" s="55"/>
    </row>
    <row r="173" spans="3:3">
      <c r="C173" s="55"/>
    </row>
    <row r="174" spans="3:3">
      <c r="C174" s="55"/>
    </row>
    <row r="175" spans="3:3">
      <c r="C175" s="55"/>
    </row>
    <row r="176" spans="3:3">
      <c r="C176" s="55"/>
    </row>
    <row r="177" spans="3:3">
      <c r="C177" s="55"/>
    </row>
    <row r="178" spans="3:3">
      <c r="C178" s="55"/>
    </row>
  </sheetData>
  <mergeCells count="5">
    <mergeCell ref="B24:K24"/>
    <mergeCell ref="A1:O1"/>
    <mergeCell ref="G6:N6"/>
    <mergeCell ref="I3:K3"/>
    <mergeCell ref="I4:K4"/>
  </mergeCells>
  <printOptions horizontalCentered="1"/>
  <pageMargins left="0.7" right="0.7" top="0.75" bottom="0.75" header="0.3" footer="0.3"/>
  <pageSetup paperSize="3" scale="4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2850-11CB-4A32-A373-1BF8E932D0DD}">
  <sheetPr>
    <tabColor theme="8" tint="-0.249977111117893"/>
    <pageSetUpPr fitToPage="1"/>
  </sheetPr>
  <dimension ref="A1:Z179"/>
  <sheetViews>
    <sheetView showZeros="0" topLeftCell="A24" zoomScale="80" zoomScaleNormal="80" workbookViewId="0">
      <selection activeCell="P13" sqref="P13"/>
    </sheetView>
  </sheetViews>
  <sheetFormatPr defaultColWidth="8.85546875" defaultRowHeight="15"/>
  <cols>
    <col min="1" max="1" width="44" style="52" customWidth="1"/>
    <col min="2" max="2" width="53.28515625" style="53" customWidth="1"/>
    <col min="3" max="3" width="16.7109375" style="53" customWidth="1"/>
    <col min="4" max="4" width="2.28515625" style="53" customWidth="1"/>
    <col min="5" max="5" width="12.42578125" style="52" customWidth="1"/>
    <col min="6" max="6" width="1.85546875" style="52" customWidth="1"/>
    <col min="7" max="7" width="15.42578125" style="52" customWidth="1"/>
    <col min="8" max="8" width="3.28515625" style="52" customWidth="1"/>
    <col min="9" max="9" width="12.42578125" style="52" customWidth="1"/>
    <col min="10" max="10" width="3.28515625" style="52" customWidth="1"/>
    <col min="11" max="11" width="13.28515625" style="52" customWidth="1"/>
    <col min="12" max="12" width="3.28515625" style="52" customWidth="1"/>
    <col min="13" max="13" width="13.28515625" style="52" customWidth="1"/>
    <col min="14" max="14" width="3.28515625" style="52" customWidth="1"/>
    <col min="15" max="15" width="13.28515625" style="52" customWidth="1"/>
    <col min="16" max="16" width="3.28515625" style="52" customWidth="1"/>
    <col min="17" max="17" width="13.28515625" style="52" customWidth="1"/>
    <col min="18" max="18" width="54.28515625" style="52" customWidth="1"/>
    <col min="19" max="19" width="51.85546875" style="52" customWidth="1"/>
    <col min="20" max="20" width="13.28515625" style="52" customWidth="1"/>
    <col min="21" max="21" width="3.140625" style="52" customWidth="1"/>
    <col min="22" max="22" width="13.28515625" style="52" customWidth="1"/>
    <col min="23" max="23" width="2.7109375" style="52" customWidth="1"/>
    <col min="24" max="24" width="14.85546875" style="52" customWidth="1"/>
    <col min="25" max="25" width="7.28515625" style="52" customWidth="1"/>
    <col min="26" max="26" width="18.85546875" style="52" customWidth="1"/>
    <col min="27" max="16384" width="8.85546875" style="52"/>
  </cols>
  <sheetData>
    <row r="1" spans="1:19" ht="31.5" customHeight="1">
      <c r="A1" s="172" t="s">
        <v>103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</row>
    <row r="2" spans="1:19">
      <c r="N2" s="54" t="s">
        <v>104</v>
      </c>
      <c r="O2" s="53"/>
      <c r="P2" s="53"/>
      <c r="Q2" s="55" t="s">
        <v>105</v>
      </c>
      <c r="R2" s="52" t="s">
        <v>106</v>
      </c>
    </row>
    <row r="3" spans="1:19" ht="15.75">
      <c r="A3" s="56" t="s">
        <v>3</v>
      </c>
      <c r="B3" s="57" t="s">
        <v>107</v>
      </c>
      <c r="C3" s="58"/>
      <c r="D3" s="58" t="s">
        <v>4</v>
      </c>
      <c r="E3" s="59"/>
      <c r="G3" s="60" t="s">
        <v>108</v>
      </c>
      <c r="H3" s="61"/>
      <c r="K3" s="62"/>
      <c r="M3" s="53"/>
      <c r="N3" s="53"/>
      <c r="O3" s="53"/>
      <c r="P3" s="53"/>
      <c r="Q3" s="53"/>
    </row>
    <row r="4" spans="1:19" ht="15.75">
      <c r="A4" s="56" t="s">
        <v>7</v>
      </c>
      <c r="B4" s="57" t="s">
        <v>8</v>
      </c>
      <c r="C4" s="58"/>
      <c r="D4" s="58" t="s">
        <v>6</v>
      </c>
      <c r="E4" s="59"/>
      <c r="G4" s="60" t="s">
        <v>108</v>
      </c>
      <c r="H4" s="61"/>
      <c r="K4" s="62"/>
      <c r="L4" s="62" t="s">
        <v>13</v>
      </c>
      <c r="P4" s="53"/>
      <c r="Q4" s="53"/>
    </row>
    <row r="5" spans="1:19" ht="15.75">
      <c r="A5" s="56" t="s">
        <v>11</v>
      </c>
      <c r="B5" s="57" t="s">
        <v>109</v>
      </c>
      <c r="C5" s="58"/>
      <c r="D5" s="58" t="s">
        <v>9</v>
      </c>
      <c r="E5" s="58"/>
      <c r="G5" s="60" t="s">
        <v>108</v>
      </c>
      <c r="H5" s="61"/>
      <c r="K5" s="62"/>
      <c r="L5" s="62"/>
      <c r="M5" s="53"/>
      <c r="N5" s="53"/>
      <c r="O5" s="53"/>
      <c r="P5" s="53"/>
      <c r="Q5" s="53"/>
    </row>
    <row r="6" spans="1:19">
      <c r="A6" s="56" t="s">
        <v>14</v>
      </c>
      <c r="B6" s="57" t="s">
        <v>110</v>
      </c>
      <c r="C6" s="58"/>
      <c r="D6" s="58"/>
      <c r="E6" s="58"/>
      <c r="G6" s="63"/>
      <c r="H6" s="61"/>
      <c r="K6" s="64"/>
      <c r="L6" s="64" t="s">
        <v>111</v>
      </c>
      <c r="M6" s="53"/>
      <c r="N6" s="53"/>
      <c r="O6" s="53"/>
      <c r="P6" s="53"/>
      <c r="Q6" s="53"/>
    </row>
    <row r="7" spans="1:19">
      <c r="A7" s="56" t="s">
        <v>17</v>
      </c>
      <c r="B7" s="65" t="s">
        <v>112</v>
      </c>
      <c r="C7" s="58"/>
      <c r="D7" s="58"/>
      <c r="E7" s="58"/>
      <c r="G7" s="64"/>
      <c r="H7" s="66"/>
      <c r="K7" s="64"/>
      <c r="L7" s="67" t="s">
        <v>113</v>
      </c>
      <c r="M7" s="68"/>
      <c r="N7" s="68"/>
      <c r="O7" s="53"/>
      <c r="P7" s="53"/>
      <c r="Q7" s="53"/>
    </row>
    <row r="8" spans="1:19">
      <c r="A8" s="56" t="s">
        <v>20</v>
      </c>
      <c r="B8" s="65" t="s">
        <v>114</v>
      </c>
      <c r="C8" s="58"/>
      <c r="D8" s="58"/>
      <c r="E8" s="58"/>
      <c r="G8" s="64"/>
      <c r="H8" s="66"/>
      <c r="K8" s="64"/>
      <c r="L8" s="67" t="s">
        <v>115</v>
      </c>
      <c r="M8" s="68"/>
      <c r="N8" s="68"/>
      <c r="O8" s="53"/>
      <c r="P8" s="53"/>
      <c r="Q8" s="53"/>
    </row>
    <row r="9" spans="1:19">
      <c r="A9" s="66"/>
      <c r="B9" s="69"/>
      <c r="C9" s="58"/>
      <c r="D9" s="56"/>
      <c r="E9" s="53"/>
      <c r="H9" s="61"/>
      <c r="K9" s="64"/>
      <c r="L9" s="64" t="s">
        <v>116</v>
      </c>
      <c r="M9" s="70"/>
      <c r="N9" s="70"/>
      <c r="O9" s="70"/>
      <c r="P9" s="70"/>
      <c r="Q9" s="70"/>
      <c r="R9" s="71"/>
    </row>
    <row r="10" spans="1:19">
      <c r="A10" s="176" t="s">
        <v>117</v>
      </c>
      <c r="B10" s="176"/>
      <c r="C10" s="176"/>
      <c r="D10" s="56"/>
      <c r="E10" s="72"/>
      <c r="H10" s="61"/>
      <c r="K10" s="64"/>
      <c r="L10" s="64"/>
      <c r="M10" s="53"/>
      <c r="N10" s="53"/>
      <c r="O10" s="53"/>
      <c r="P10" s="53"/>
      <c r="Q10" s="53"/>
    </row>
    <row r="11" spans="1:19">
      <c r="A11" s="56"/>
      <c r="B11" s="56"/>
      <c r="C11" s="56"/>
      <c r="D11" s="56"/>
      <c r="E11" s="72"/>
      <c r="H11" s="61"/>
      <c r="K11" s="64"/>
      <c r="L11" s="64"/>
      <c r="M11" s="53"/>
      <c r="N11" s="53"/>
      <c r="O11" s="53"/>
      <c r="P11" s="53"/>
      <c r="Q11" s="53"/>
    </row>
    <row r="12" spans="1:19" ht="12.75">
      <c r="A12" s="73" t="s">
        <v>118</v>
      </c>
      <c r="B12" s="74" t="s">
        <v>26</v>
      </c>
      <c r="C12" s="75" t="s">
        <v>27</v>
      </c>
      <c r="D12" s="76"/>
      <c r="E12" s="77" t="s">
        <v>28</v>
      </c>
      <c r="H12" s="61"/>
      <c r="K12" s="64"/>
      <c r="L12" s="64"/>
      <c r="M12" s="78"/>
      <c r="N12" s="78"/>
      <c r="O12" s="78"/>
      <c r="P12" s="78"/>
      <c r="Q12" s="78"/>
    </row>
    <row r="13" spans="1:19" ht="12.75">
      <c r="A13" s="56" t="s">
        <v>119</v>
      </c>
      <c r="B13" s="69" t="s">
        <v>120</v>
      </c>
      <c r="C13" s="60" t="s">
        <v>108</v>
      </c>
      <c r="D13" s="56"/>
      <c r="E13" s="79" t="s">
        <v>30</v>
      </c>
      <c r="H13" s="61"/>
      <c r="K13" s="64"/>
      <c r="L13" s="64"/>
      <c r="M13" s="78"/>
      <c r="N13" s="78"/>
      <c r="O13" s="78"/>
      <c r="P13" s="78"/>
      <c r="Q13" s="78"/>
    </row>
    <row r="14" spans="1:19" ht="12.75">
      <c r="A14" s="56" t="s">
        <v>34</v>
      </c>
      <c r="B14" s="69" t="s">
        <v>32</v>
      </c>
      <c r="C14" s="60" t="s">
        <v>108</v>
      </c>
      <c r="D14" s="56"/>
      <c r="E14" s="60" t="s">
        <v>108</v>
      </c>
      <c r="H14" s="61"/>
      <c r="K14" s="64"/>
      <c r="L14" s="64"/>
      <c r="M14" s="78"/>
      <c r="N14" s="78"/>
      <c r="O14" s="78"/>
      <c r="P14" s="78"/>
      <c r="Q14" s="78"/>
    </row>
    <row r="15" spans="1:19" ht="12.75">
      <c r="A15" s="56" t="s">
        <v>36</v>
      </c>
      <c r="B15" s="69" t="s">
        <v>35</v>
      </c>
      <c r="C15" s="60" t="s">
        <v>108</v>
      </c>
      <c r="D15" s="56"/>
      <c r="E15" s="60" t="s">
        <v>108</v>
      </c>
      <c r="H15" s="61"/>
      <c r="K15" s="64"/>
      <c r="L15" s="64"/>
      <c r="M15" s="78"/>
      <c r="N15" s="78"/>
      <c r="O15" s="78"/>
      <c r="P15" s="78"/>
      <c r="Q15" s="78"/>
    </row>
    <row r="16" spans="1:19" ht="12.75">
      <c r="A16" s="56" t="s">
        <v>38</v>
      </c>
      <c r="B16" s="69" t="s">
        <v>37</v>
      </c>
      <c r="C16" s="60" t="s">
        <v>108</v>
      </c>
      <c r="D16" s="56"/>
      <c r="E16" s="60" t="s">
        <v>108</v>
      </c>
      <c r="H16" s="61"/>
      <c r="K16" s="64"/>
      <c r="L16" s="64"/>
      <c r="M16" s="78"/>
      <c r="N16" s="78"/>
      <c r="O16" s="78"/>
      <c r="P16" s="78"/>
      <c r="Q16" s="78"/>
    </row>
    <row r="17" spans="1:26" ht="12.75">
      <c r="A17" s="56" t="s">
        <v>40</v>
      </c>
      <c r="B17" s="69" t="s">
        <v>39</v>
      </c>
      <c r="C17" s="60" t="s">
        <v>108</v>
      </c>
      <c r="D17" s="56"/>
      <c r="E17" s="60" t="s">
        <v>108</v>
      </c>
      <c r="H17" s="61"/>
      <c r="K17" s="64"/>
      <c r="L17" s="64"/>
      <c r="M17" s="78"/>
      <c r="N17" s="78"/>
      <c r="O17" s="78"/>
      <c r="P17" s="78"/>
      <c r="Q17" s="78"/>
    </row>
    <row r="18" spans="1:26" ht="12.75">
      <c r="A18" s="56" t="s">
        <v>42</v>
      </c>
      <c r="B18" s="69" t="s">
        <v>41</v>
      </c>
      <c r="C18" s="60" t="s">
        <v>108</v>
      </c>
      <c r="D18" s="56"/>
      <c r="E18" s="60" t="s">
        <v>108</v>
      </c>
      <c r="H18" s="61"/>
      <c r="K18" s="64"/>
      <c r="L18" s="64"/>
      <c r="M18" s="78"/>
      <c r="N18" s="78"/>
      <c r="O18" s="78"/>
      <c r="P18" s="78"/>
      <c r="Q18" s="78"/>
    </row>
    <row r="19" spans="1:26" ht="12.75">
      <c r="A19" s="56" t="s">
        <v>121</v>
      </c>
      <c r="B19" s="69" t="s">
        <v>122</v>
      </c>
      <c r="C19" s="80" t="s">
        <v>30</v>
      </c>
      <c r="D19" s="56"/>
      <c r="E19" s="60" t="s">
        <v>108</v>
      </c>
      <c r="H19" s="61"/>
      <c r="K19" s="64"/>
      <c r="L19" s="64"/>
      <c r="M19" s="78"/>
      <c r="N19" s="78"/>
      <c r="O19" s="78"/>
      <c r="P19" s="78"/>
      <c r="Q19" s="78"/>
    </row>
    <row r="20" spans="1:26" ht="12.75">
      <c r="A20" s="56"/>
      <c r="B20" s="69"/>
      <c r="C20" s="64"/>
      <c r="D20" s="56"/>
      <c r="E20" s="81"/>
      <c r="H20" s="61"/>
      <c r="K20" s="64"/>
      <c r="L20" s="64"/>
      <c r="M20" s="78"/>
      <c r="N20" s="78"/>
      <c r="O20" s="78"/>
      <c r="P20" s="78"/>
      <c r="Q20" s="78"/>
    </row>
    <row r="21" spans="1:26" ht="12.75">
      <c r="A21" s="56" t="s">
        <v>123</v>
      </c>
      <c r="B21" s="69"/>
      <c r="C21" s="58"/>
      <c r="D21" s="56"/>
      <c r="E21" s="82"/>
      <c r="H21" s="61"/>
      <c r="K21" s="64"/>
      <c r="L21" s="64"/>
      <c r="M21" s="78"/>
      <c r="N21" s="78"/>
      <c r="O21" s="78"/>
      <c r="P21" s="78"/>
      <c r="Q21" s="78"/>
    </row>
    <row r="22" spans="1:26" ht="15" customHeight="1">
      <c r="A22" s="184" t="s">
        <v>124</v>
      </c>
      <c r="B22" s="184"/>
      <c r="C22" s="184"/>
      <c r="D22" s="184"/>
      <c r="E22" s="184"/>
      <c r="F22" s="83"/>
      <c r="G22" s="83"/>
      <c r="H22" s="83"/>
      <c r="I22" s="83"/>
      <c r="J22" s="83"/>
      <c r="K22" s="83"/>
    </row>
    <row r="23" spans="1:26" ht="15" customHeight="1">
      <c r="A23" s="177" t="s">
        <v>125</v>
      </c>
      <c r="B23" s="177"/>
      <c r="C23" s="177"/>
      <c r="D23" s="177"/>
      <c r="E23" s="177"/>
      <c r="F23" s="84"/>
      <c r="G23" s="84"/>
      <c r="H23" s="84"/>
      <c r="I23" s="84"/>
      <c r="J23" s="84"/>
      <c r="K23" s="84"/>
    </row>
    <row r="24" spans="1:26" ht="15" customHeight="1">
      <c r="A24" s="177" t="s">
        <v>126</v>
      </c>
      <c r="B24" s="177"/>
      <c r="C24" s="177"/>
      <c r="D24" s="177"/>
      <c r="E24" s="177"/>
      <c r="F24" s="84"/>
      <c r="G24" s="84"/>
      <c r="H24" s="84"/>
      <c r="I24" s="84"/>
      <c r="J24" s="84"/>
      <c r="K24" s="84"/>
    </row>
    <row r="25" spans="1:26" ht="12.75">
      <c r="A25" s="85"/>
      <c r="B25" s="85"/>
      <c r="C25" s="83"/>
      <c r="D25" s="83"/>
      <c r="E25" s="83"/>
      <c r="F25" s="83"/>
      <c r="G25" s="83"/>
      <c r="H25" s="83"/>
      <c r="I25" s="83"/>
      <c r="J25" s="83"/>
      <c r="K25" s="83"/>
    </row>
    <row r="26" spans="1:26" ht="31.5" customHeight="1">
      <c r="A26" s="56" t="s">
        <v>46</v>
      </c>
      <c r="B26" s="175"/>
      <c r="C26" s="175"/>
      <c r="D26" s="175"/>
      <c r="E26" s="175"/>
      <c r="F26" s="175"/>
      <c r="G26" s="175"/>
      <c r="H26" s="175"/>
      <c r="I26" s="175"/>
    </row>
    <row r="27" spans="1:26" ht="15.75" customHeight="1">
      <c r="A27" s="56"/>
      <c r="B27" s="76"/>
      <c r="C27" s="76"/>
      <c r="D27" s="76"/>
      <c r="E27" s="76"/>
      <c r="F27" s="76"/>
      <c r="G27" s="76"/>
      <c r="H27" s="76"/>
      <c r="I27" s="76"/>
    </row>
    <row r="28" spans="1:26" ht="30">
      <c r="A28" s="86" t="s">
        <v>48</v>
      </c>
      <c r="B28" s="86" t="s">
        <v>49</v>
      </c>
      <c r="C28" s="87" t="s">
        <v>50</v>
      </c>
      <c r="D28" s="88"/>
      <c r="E28" s="89" t="s">
        <v>127</v>
      </c>
      <c r="F28" s="88"/>
      <c r="G28" s="90" t="s">
        <v>128</v>
      </c>
      <c r="H28" s="89"/>
      <c r="I28" s="90" t="s">
        <v>129</v>
      </c>
      <c r="J28" s="89"/>
      <c r="K28" s="90" t="s">
        <v>130</v>
      </c>
      <c r="L28" s="89"/>
      <c r="M28" s="90" t="s">
        <v>131</v>
      </c>
      <c r="N28" s="89"/>
      <c r="O28" s="90" t="s">
        <v>132</v>
      </c>
      <c r="P28" s="89"/>
      <c r="Q28" s="89" t="s">
        <v>99</v>
      </c>
      <c r="R28" s="91" t="s">
        <v>55</v>
      </c>
      <c r="S28" s="91" t="s">
        <v>56</v>
      </c>
      <c r="T28" s="91"/>
      <c r="U28" s="86"/>
      <c r="V28" s="91"/>
      <c r="W28" s="86"/>
      <c r="X28" s="91"/>
      <c r="Z28" s="86"/>
    </row>
    <row r="29" spans="1:26">
      <c r="A29" s="92"/>
      <c r="B29" s="64"/>
      <c r="C29" s="93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Z29" s="86"/>
    </row>
    <row r="30" spans="1:26" ht="22.5" customHeight="1">
      <c r="A30" s="92"/>
      <c r="B30" s="94" t="s">
        <v>133</v>
      </c>
      <c r="C30" s="93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Z30" s="86"/>
    </row>
    <row r="31" spans="1:26" ht="16.5" customHeight="1">
      <c r="A31" s="92">
        <v>1</v>
      </c>
      <c r="B31" s="95" t="s">
        <v>57</v>
      </c>
      <c r="C31" s="96">
        <v>0</v>
      </c>
      <c r="D31" s="97"/>
      <c r="E31" s="96">
        <v>0</v>
      </c>
      <c r="F31" s="97"/>
      <c r="G31" s="96">
        <v>0</v>
      </c>
      <c r="H31" s="86"/>
      <c r="I31" s="96">
        <v>0</v>
      </c>
      <c r="J31" s="86"/>
      <c r="K31" s="96">
        <v>0</v>
      </c>
      <c r="L31" s="86"/>
      <c r="M31" s="96">
        <v>0</v>
      </c>
      <c r="N31" s="86"/>
      <c r="O31" s="96">
        <v>0</v>
      </c>
      <c r="P31" s="86"/>
      <c r="Q31" s="98">
        <f>SUM(G31:O31)</f>
        <v>0</v>
      </c>
      <c r="R31" s="99" t="s">
        <v>134</v>
      </c>
      <c r="S31" s="86"/>
      <c r="T31" s="100"/>
      <c r="U31" s="86"/>
      <c r="V31" s="100"/>
      <c r="W31" s="86"/>
      <c r="X31" s="100"/>
      <c r="Z31" s="98"/>
    </row>
    <row r="32" spans="1:26" ht="16.5" customHeight="1">
      <c r="A32" s="92">
        <v>2</v>
      </c>
      <c r="B32" s="95" t="s">
        <v>59</v>
      </c>
      <c r="C32" s="96">
        <v>0</v>
      </c>
      <c r="D32" s="97"/>
      <c r="E32" s="96">
        <v>0</v>
      </c>
      <c r="F32" s="97"/>
      <c r="G32" s="96">
        <v>0</v>
      </c>
      <c r="H32" s="86"/>
      <c r="I32" s="96">
        <v>0</v>
      </c>
      <c r="J32" s="86"/>
      <c r="K32" s="96">
        <v>0</v>
      </c>
      <c r="L32" s="86"/>
      <c r="M32" s="96">
        <v>0</v>
      </c>
      <c r="N32" s="86"/>
      <c r="O32" s="96">
        <v>0</v>
      </c>
      <c r="P32" s="86"/>
      <c r="Q32" s="98">
        <f t="shared" ref="Q32:Q35" si="0">SUM(G32:O32)</f>
        <v>0</v>
      </c>
      <c r="R32" s="99"/>
      <c r="S32" s="86"/>
      <c r="T32" s="100"/>
      <c r="U32" s="86"/>
      <c r="V32" s="100"/>
      <c r="W32" s="86"/>
      <c r="X32" s="100"/>
      <c r="Z32" s="98"/>
    </row>
    <row r="33" spans="1:26" ht="16.5">
      <c r="A33" s="92">
        <v>3</v>
      </c>
      <c r="B33" s="95" t="s">
        <v>60</v>
      </c>
      <c r="C33" s="96">
        <v>0</v>
      </c>
      <c r="D33" s="97"/>
      <c r="E33" s="96">
        <v>0</v>
      </c>
      <c r="F33" s="97"/>
      <c r="G33" s="96">
        <v>0</v>
      </c>
      <c r="H33" s="86"/>
      <c r="I33" s="96">
        <v>0</v>
      </c>
      <c r="J33" s="86"/>
      <c r="K33" s="96">
        <v>0</v>
      </c>
      <c r="L33" s="86"/>
      <c r="M33" s="96">
        <v>0</v>
      </c>
      <c r="N33" s="86"/>
      <c r="O33" s="96">
        <v>0</v>
      </c>
      <c r="P33" s="86"/>
      <c r="Q33" s="98">
        <f t="shared" si="0"/>
        <v>0</v>
      </c>
      <c r="R33" s="99" t="s">
        <v>135</v>
      </c>
      <c r="S33" s="86"/>
      <c r="T33" s="100"/>
      <c r="U33" s="86"/>
      <c r="V33" s="100"/>
      <c r="W33" s="86"/>
      <c r="X33" s="100"/>
      <c r="Z33" s="98"/>
    </row>
    <row r="34" spans="1:26" ht="16.5" customHeight="1">
      <c r="A34" s="92">
        <v>4</v>
      </c>
      <c r="B34" s="95" t="s">
        <v>62</v>
      </c>
      <c r="C34" s="96">
        <v>0</v>
      </c>
      <c r="D34" s="97"/>
      <c r="E34" s="96">
        <v>0</v>
      </c>
      <c r="F34" s="97"/>
      <c r="G34" s="96">
        <v>0</v>
      </c>
      <c r="H34" s="86"/>
      <c r="I34" s="96">
        <v>0</v>
      </c>
      <c r="J34" s="86"/>
      <c r="K34" s="96">
        <v>0</v>
      </c>
      <c r="L34" s="86"/>
      <c r="M34" s="96">
        <v>0</v>
      </c>
      <c r="N34" s="86"/>
      <c r="O34" s="96">
        <v>0</v>
      </c>
      <c r="P34" s="86"/>
      <c r="Q34" s="98">
        <f t="shared" si="0"/>
        <v>0</v>
      </c>
      <c r="R34" s="99"/>
      <c r="S34" s="86"/>
      <c r="T34" s="100"/>
      <c r="U34" s="86"/>
      <c r="V34" s="100"/>
      <c r="W34" s="86"/>
      <c r="X34" s="100"/>
      <c r="Z34" s="98"/>
    </row>
    <row r="35" spans="1:26" ht="16.5" customHeight="1">
      <c r="A35" s="92">
        <v>5</v>
      </c>
      <c r="B35" s="101" t="s">
        <v>63</v>
      </c>
      <c r="C35" s="96">
        <v>0</v>
      </c>
      <c r="D35" s="97"/>
      <c r="E35" s="96">
        <v>0</v>
      </c>
      <c r="F35" s="97"/>
      <c r="G35" s="102">
        <f>SUM(G36:G40)</f>
        <v>0</v>
      </c>
      <c r="H35" s="86"/>
      <c r="I35" s="102">
        <f>SUM(I36:I40)</f>
        <v>0</v>
      </c>
      <c r="J35" s="86"/>
      <c r="K35" s="102">
        <v>0</v>
      </c>
      <c r="L35" s="86"/>
      <c r="M35" s="102">
        <f>SUM(M36:M40)</f>
        <v>0</v>
      </c>
      <c r="N35" s="86"/>
      <c r="O35" s="102">
        <f>SUM(O36:O40)</f>
        <v>0</v>
      </c>
      <c r="P35" s="86"/>
      <c r="Q35" s="98">
        <f t="shared" si="0"/>
        <v>0</v>
      </c>
      <c r="R35" s="99" t="s">
        <v>136</v>
      </c>
      <c r="S35" s="86"/>
      <c r="T35" s="100"/>
      <c r="U35" s="86"/>
      <c r="V35" s="100"/>
      <c r="W35" s="86"/>
      <c r="X35" s="100"/>
      <c r="Z35" s="98"/>
    </row>
    <row r="36" spans="1:26" ht="16.5" customHeight="1">
      <c r="A36" s="92">
        <v>5</v>
      </c>
      <c r="B36" s="95" t="s">
        <v>137</v>
      </c>
      <c r="C36" s="102"/>
      <c r="D36" s="97"/>
      <c r="E36" s="102"/>
      <c r="F36" s="97"/>
      <c r="G36" s="96">
        <v>0</v>
      </c>
      <c r="H36" s="86"/>
      <c r="I36" s="96">
        <v>0</v>
      </c>
      <c r="J36" s="86"/>
      <c r="K36" s="96">
        <v>0</v>
      </c>
      <c r="L36" s="86"/>
      <c r="M36" s="96">
        <v>0</v>
      </c>
      <c r="N36" s="86"/>
      <c r="O36" s="96">
        <v>0</v>
      </c>
      <c r="P36" s="86"/>
      <c r="Q36" s="98"/>
      <c r="R36" s="99" t="s">
        <v>64</v>
      </c>
      <c r="S36" s="86"/>
      <c r="T36" s="100"/>
      <c r="U36" s="86"/>
      <c r="V36" s="100"/>
      <c r="W36" s="86"/>
      <c r="X36" s="100"/>
      <c r="Z36" s="98"/>
    </row>
    <row r="37" spans="1:26" ht="16.5" customHeight="1">
      <c r="A37" s="92">
        <v>5</v>
      </c>
      <c r="B37" s="95" t="s">
        <v>138</v>
      </c>
      <c r="C37" s="102"/>
      <c r="D37" s="97"/>
      <c r="E37" s="102"/>
      <c r="F37" s="97"/>
      <c r="G37" s="96">
        <v>0</v>
      </c>
      <c r="H37" s="86"/>
      <c r="I37" s="96">
        <v>0</v>
      </c>
      <c r="J37" s="86"/>
      <c r="K37" s="96">
        <v>0</v>
      </c>
      <c r="L37" s="86"/>
      <c r="M37" s="96">
        <v>0</v>
      </c>
      <c r="N37" s="86"/>
      <c r="O37" s="96">
        <v>0</v>
      </c>
      <c r="P37" s="86"/>
      <c r="Q37" s="98"/>
      <c r="R37" s="99" t="s">
        <v>139</v>
      </c>
      <c r="S37" s="86"/>
      <c r="T37" s="100"/>
      <c r="U37" s="86"/>
      <c r="V37" s="100"/>
      <c r="W37" s="86"/>
      <c r="X37" s="100"/>
      <c r="Z37" s="98"/>
    </row>
    <row r="38" spans="1:26" ht="16.5" customHeight="1">
      <c r="A38" s="92">
        <v>5</v>
      </c>
      <c r="B38" s="95" t="s">
        <v>140</v>
      </c>
      <c r="C38" s="102"/>
      <c r="D38" s="97"/>
      <c r="E38" s="102"/>
      <c r="F38" s="97"/>
      <c r="G38" s="96">
        <v>0</v>
      </c>
      <c r="H38" s="86"/>
      <c r="I38" s="96">
        <v>0</v>
      </c>
      <c r="J38" s="86"/>
      <c r="K38" s="96">
        <v>0</v>
      </c>
      <c r="L38" s="86"/>
      <c r="M38" s="96">
        <v>0</v>
      </c>
      <c r="N38" s="86"/>
      <c r="O38" s="96">
        <v>0</v>
      </c>
      <c r="P38" s="86"/>
      <c r="Q38" s="98"/>
      <c r="R38" s="103"/>
      <c r="S38" s="86"/>
      <c r="T38" s="100"/>
      <c r="U38" s="86"/>
      <c r="V38" s="100"/>
      <c r="W38" s="86"/>
      <c r="X38" s="100"/>
      <c r="Z38" s="98"/>
    </row>
    <row r="39" spans="1:26" ht="16.5" customHeight="1">
      <c r="A39" s="92">
        <v>5</v>
      </c>
      <c r="B39" s="95" t="s">
        <v>141</v>
      </c>
      <c r="C39" s="102"/>
      <c r="D39" s="97"/>
      <c r="E39" s="102"/>
      <c r="F39" s="97"/>
      <c r="G39" s="96">
        <v>0</v>
      </c>
      <c r="H39" s="86"/>
      <c r="I39" s="96">
        <v>0</v>
      </c>
      <c r="J39" s="86"/>
      <c r="K39" s="96">
        <v>0</v>
      </c>
      <c r="L39" s="86"/>
      <c r="M39" s="96">
        <v>0</v>
      </c>
      <c r="N39" s="86"/>
      <c r="O39" s="96">
        <v>0</v>
      </c>
      <c r="P39" s="86"/>
      <c r="Q39" s="98"/>
      <c r="R39" s="103"/>
      <c r="S39" s="86"/>
      <c r="T39" s="100"/>
      <c r="U39" s="86"/>
      <c r="V39" s="100"/>
      <c r="W39" s="86"/>
      <c r="X39" s="100"/>
      <c r="Z39" s="98"/>
    </row>
    <row r="40" spans="1:26" ht="16.5" customHeight="1">
      <c r="A40" s="92">
        <v>5</v>
      </c>
      <c r="B40" s="95" t="s">
        <v>142</v>
      </c>
      <c r="C40" s="102"/>
      <c r="D40" s="97"/>
      <c r="E40" s="102"/>
      <c r="F40" s="97"/>
      <c r="G40" s="96">
        <v>0</v>
      </c>
      <c r="H40" s="86"/>
      <c r="I40" s="96">
        <v>0</v>
      </c>
      <c r="J40" s="86"/>
      <c r="K40" s="96">
        <v>0</v>
      </c>
      <c r="L40" s="86"/>
      <c r="M40" s="96">
        <v>0</v>
      </c>
      <c r="N40" s="86"/>
      <c r="O40" s="96">
        <v>0</v>
      </c>
      <c r="P40" s="86"/>
      <c r="Q40" s="98"/>
      <c r="R40" s="103"/>
      <c r="S40" s="86"/>
      <c r="T40" s="100"/>
      <c r="U40" s="86"/>
      <c r="V40" s="100"/>
      <c r="W40" s="86"/>
      <c r="X40" s="100"/>
      <c r="Z40" s="98"/>
    </row>
    <row r="41" spans="1:26" ht="16.5" customHeight="1">
      <c r="A41" s="92">
        <v>6</v>
      </c>
      <c r="B41" s="95" t="s">
        <v>71</v>
      </c>
      <c r="C41" s="96">
        <v>0</v>
      </c>
      <c r="D41" s="97"/>
      <c r="E41" s="96">
        <v>0</v>
      </c>
      <c r="F41" s="97"/>
      <c r="G41" s="96">
        <v>0</v>
      </c>
      <c r="H41" s="86"/>
      <c r="I41" s="96">
        <v>0</v>
      </c>
      <c r="J41" s="86"/>
      <c r="K41" s="96">
        <v>0</v>
      </c>
      <c r="L41" s="86"/>
      <c r="M41" s="96">
        <v>0</v>
      </c>
      <c r="N41" s="86"/>
      <c r="O41" s="96">
        <v>0</v>
      </c>
      <c r="P41" s="86"/>
      <c r="Q41" s="98">
        <f t="shared" ref="Q41:Q44" si="1">SUM(G41:O41)</f>
        <v>0</v>
      </c>
      <c r="R41" s="104" t="s">
        <v>143</v>
      </c>
      <c r="S41" s="86"/>
      <c r="T41" s="100"/>
      <c r="U41" s="86"/>
      <c r="V41" s="100"/>
      <c r="W41" s="86"/>
      <c r="X41" s="100"/>
      <c r="Z41" s="98"/>
    </row>
    <row r="42" spans="1:26" ht="21" customHeight="1">
      <c r="A42" s="92">
        <v>7</v>
      </c>
      <c r="B42" s="95" t="s">
        <v>41</v>
      </c>
      <c r="C42" s="96">
        <v>0</v>
      </c>
      <c r="D42" s="97"/>
      <c r="E42" s="96">
        <v>0</v>
      </c>
      <c r="F42" s="97"/>
      <c r="G42" s="96">
        <v>0</v>
      </c>
      <c r="H42" s="86"/>
      <c r="I42" s="96">
        <v>0</v>
      </c>
      <c r="J42" s="86"/>
      <c r="K42" s="96">
        <v>0</v>
      </c>
      <c r="L42" s="86"/>
      <c r="M42" s="96">
        <v>0</v>
      </c>
      <c r="N42" s="86"/>
      <c r="O42" s="96">
        <v>0</v>
      </c>
      <c r="P42" s="86"/>
      <c r="Q42" s="98">
        <f t="shared" si="1"/>
        <v>0</v>
      </c>
      <c r="R42" s="103"/>
      <c r="S42" s="86"/>
      <c r="T42" s="100"/>
      <c r="U42" s="86"/>
      <c r="V42" s="100"/>
      <c r="W42" s="86"/>
      <c r="X42" s="100"/>
      <c r="Z42" s="98"/>
    </row>
    <row r="43" spans="1:26" ht="16.5" customHeight="1">
      <c r="A43" s="92">
        <v>8</v>
      </c>
      <c r="B43" s="95" t="s">
        <v>73</v>
      </c>
      <c r="C43" s="96">
        <v>0</v>
      </c>
      <c r="D43" s="97"/>
      <c r="E43" s="96">
        <v>0</v>
      </c>
      <c r="F43" s="97"/>
      <c r="G43" s="96">
        <v>0</v>
      </c>
      <c r="H43" s="86"/>
      <c r="I43" s="96">
        <v>0</v>
      </c>
      <c r="J43" s="86"/>
      <c r="K43" s="96">
        <v>0</v>
      </c>
      <c r="L43" s="86"/>
      <c r="M43" s="96">
        <v>0</v>
      </c>
      <c r="N43" s="86"/>
      <c r="O43" s="96">
        <v>0</v>
      </c>
      <c r="P43" s="86"/>
      <c r="Q43" s="98">
        <f t="shared" si="1"/>
        <v>0</v>
      </c>
      <c r="R43" s="103"/>
      <c r="S43" s="86"/>
      <c r="T43" s="100"/>
      <c r="U43" s="86"/>
      <c r="V43" s="100"/>
      <c r="W43" s="86"/>
      <c r="X43" s="100"/>
      <c r="Z43" s="98"/>
    </row>
    <row r="44" spans="1:26" ht="16.5" customHeight="1">
      <c r="A44" s="92">
        <v>9</v>
      </c>
      <c r="B44" s="95" t="s">
        <v>74</v>
      </c>
      <c r="C44" s="96">
        <v>0</v>
      </c>
      <c r="D44" s="97"/>
      <c r="E44" s="96">
        <v>0</v>
      </c>
      <c r="F44" s="97"/>
      <c r="G44" s="105">
        <f>SUM(G45:G52)</f>
        <v>0</v>
      </c>
      <c r="H44" s="86"/>
      <c r="I44" s="105">
        <f>SUM(I45:I52)</f>
        <v>0</v>
      </c>
      <c r="J44" s="86"/>
      <c r="K44" s="105">
        <f>SUM(K45:K52)</f>
        <v>0</v>
      </c>
      <c r="L44" s="86"/>
      <c r="M44" s="105">
        <f>SUM(M45:M52)</f>
        <v>0</v>
      </c>
      <c r="N44" s="86"/>
      <c r="O44" s="105">
        <f>SUM(O45:O52)</f>
        <v>0</v>
      </c>
      <c r="P44" s="86"/>
      <c r="Q44" s="98">
        <f t="shared" si="1"/>
        <v>0</v>
      </c>
      <c r="R44" s="99" t="s">
        <v>144</v>
      </c>
      <c r="S44" s="86"/>
      <c r="T44" s="100"/>
      <c r="U44" s="86"/>
      <c r="V44" s="100"/>
      <c r="W44" s="86"/>
      <c r="X44" s="100"/>
      <c r="Z44" s="98"/>
    </row>
    <row r="45" spans="1:26" ht="16.5" customHeight="1">
      <c r="A45" s="92">
        <v>9</v>
      </c>
      <c r="B45" s="95" t="s">
        <v>145</v>
      </c>
      <c r="C45" s="105"/>
      <c r="D45" s="97"/>
      <c r="E45" s="105"/>
      <c r="F45" s="97"/>
      <c r="G45" s="96">
        <v>0</v>
      </c>
      <c r="H45" s="86"/>
      <c r="I45" s="96">
        <v>0</v>
      </c>
      <c r="J45" s="86"/>
      <c r="K45" s="96">
        <v>0</v>
      </c>
      <c r="L45" s="86"/>
      <c r="M45" s="96">
        <v>0</v>
      </c>
      <c r="N45" s="86"/>
      <c r="O45" s="96">
        <v>0</v>
      </c>
      <c r="P45" s="86"/>
      <c r="Q45" s="98"/>
      <c r="R45" s="103"/>
      <c r="S45" s="86"/>
      <c r="T45" s="100"/>
      <c r="U45" s="86"/>
      <c r="V45" s="100"/>
      <c r="W45" s="86"/>
      <c r="X45" s="100"/>
      <c r="Z45" s="98"/>
    </row>
    <row r="46" spans="1:26" ht="16.5" customHeight="1">
      <c r="A46" s="92">
        <v>9</v>
      </c>
      <c r="B46" s="95" t="s">
        <v>146</v>
      </c>
      <c r="C46" s="105"/>
      <c r="D46" s="97"/>
      <c r="E46" s="105"/>
      <c r="F46" s="97"/>
      <c r="G46" s="96">
        <v>0</v>
      </c>
      <c r="H46" s="86"/>
      <c r="I46" s="96">
        <v>0</v>
      </c>
      <c r="J46" s="86"/>
      <c r="K46" s="96">
        <v>0</v>
      </c>
      <c r="L46" s="86"/>
      <c r="M46" s="96">
        <v>0</v>
      </c>
      <c r="N46" s="86"/>
      <c r="O46" s="96">
        <v>0</v>
      </c>
      <c r="P46" s="86"/>
      <c r="Q46" s="98"/>
      <c r="R46" s="103"/>
      <c r="S46" s="86"/>
      <c r="T46" s="100"/>
      <c r="U46" s="86"/>
      <c r="V46" s="100"/>
      <c r="W46" s="86"/>
      <c r="X46" s="100"/>
      <c r="Z46" s="98"/>
    </row>
    <row r="47" spans="1:26" ht="16.5" customHeight="1">
      <c r="A47" s="92">
        <v>9</v>
      </c>
      <c r="B47" s="95" t="s">
        <v>147</v>
      </c>
      <c r="C47" s="105"/>
      <c r="D47" s="97"/>
      <c r="E47" s="105"/>
      <c r="F47" s="97"/>
      <c r="G47" s="96">
        <v>0</v>
      </c>
      <c r="H47" s="86"/>
      <c r="I47" s="96">
        <v>0</v>
      </c>
      <c r="J47" s="86"/>
      <c r="K47" s="96">
        <v>0</v>
      </c>
      <c r="L47" s="86"/>
      <c r="M47" s="96">
        <v>0</v>
      </c>
      <c r="N47" s="86"/>
      <c r="O47" s="96">
        <v>0</v>
      </c>
      <c r="P47" s="86"/>
      <c r="Q47" s="98"/>
      <c r="R47" s="103"/>
      <c r="S47" s="86"/>
      <c r="T47" s="100"/>
      <c r="U47" s="86"/>
      <c r="V47" s="100"/>
      <c r="W47" s="86"/>
      <c r="X47" s="100"/>
      <c r="Z47" s="98"/>
    </row>
    <row r="48" spans="1:26" ht="16.5" customHeight="1">
      <c r="A48" s="92">
        <v>9</v>
      </c>
      <c r="B48" s="95" t="s">
        <v>148</v>
      </c>
      <c r="C48" s="105"/>
      <c r="D48" s="97"/>
      <c r="E48" s="105"/>
      <c r="F48" s="97"/>
      <c r="G48" s="96">
        <v>0</v>
      </c>
      <c r="H48" s="86"/>
      <c r="I48" s="96">
        <v>0</v>
      </c>
      <c r="J48" s="86"/>
      <c r="K48" s="96">
        <v>0</v>
      </c>
      <c r="L48" s="86"/>
      <c r="M48" s="96">
        <v>0</v>
      </c>
      <c r="N48" s="86"/>
      <c r="O48" s="96">
        <v>0</v>
      </c>
      <c r="P48" s="86"/>
      <c r="Q48" s="98"/>
      <c r="R48" s="103"/>
      <c r="S48" s="86"/>
      <c r="T48" s="100"/>
      <c r="U48" s="86"/>
      <c r="V48" s="100"/>
      <c r="W48" s="86"/>
      <c r="X48" s="100"/>
      <c r="Z48" s="98"/>
    </row>
    <row r="49" spans="1:26" ht="16.5" customHeight="1">
      <c r="A49" s="92">
        <v>9</v>
      </c>
      <c r="B49" s="95" t="s">
        <v>149</v>
      </c>
      <c r="C49" s="105"/>
      <c r="D49" s="97"/>
      <c r="E49" s="105"/>
      <c r="F49" s="97"/>
      <c r="G49" s="96">
        <v>0</v>
      </c>
      <c r="H49" s="86"/>
      <c r="I49" s="96">
        <v>0</v>
      </c>
      <c r="J49" s="86"/>
      <c r="K49" s="96">
        <v>0</v>
      </c>
      <c r="L49" s="86"/>
      <c r="M49" s="96">
        <v>0</v>
      </c>
      <c r="N49" s="86"/>
      <c r="O49" s="96">
        <v>0</v>
      </c>
      <c r="P49" s="86"/>
      <c r="Q49" s="98"/>
      <c r="R49" s="103"/>
      <c r="S49" s="86"/>
      <c r="T49" s="100"/>
      <c r="U49" s="86"/>
      <c r="V49" s="100"/>
      <c r="W49" s="86"/>
      <c r="X49" s="100"/>
      <c r="Z49" s="98"/>
    </row>
    <row r="50" spans="1:26" ht="16.5" customHeight="1">
      <c r="A50" s="92">
        <v>9</v>
      </c>
      <c r="B50" s="95" t="s">
        <v>150</v>
      </c>
      <c r="C50" s="105"/>
      <c r="D50" s="97"/>
      <c r="E50" s="105"/>
      <c r="F50" s="97"/>
      <c r="G50" s="96">
        <v>0</v>
      </c>
      <c r="H50" s="86"/>
      <c r="I50" s="96">
        <v>0</v>
      </c>
      <c r="J50" s="86"/>
      <c r="K50" s="96">
        <v>0</v>
      </c>
      <c r="L50" s="86"/>
      <c r="M50" s="96">
        <v>0</v>
      </c>
      <c r="N50" s="86"/>
      <c r="O50" s="96">
        <v>0</v>
      </c>
      <c r="P50" s="86"/>
      <c r="Q50" s="98"/>
      <c r="R50" s="103"/>
      <c r="S50" s="86"/>
      <c r="T50" s="100"/>
      <c r="U50" s="86"/>
      <c r="V50" s="100"/>
      <c r="W50" s="86"/>
      <c r="X50" s="100"/>
      <c r="Z50" s="98"/>
    </row>
    <row r="51" spans="1:26" ht="15.75" customHeight="1">
      <c r="A51" s="92">
        <v>9</v>
      </c>
      <c r="B51" s="95" t="s">
        <v>151</v>
      </c>
      <c r="C51" s="105"/>
      <c r="D51" s="97"/>
      <c r="E51" s="105"/>
      <c r="F51" s="97"/>
      <c r="G51" s="96">
        <v>0</v>
      </c>
      <c r="H51" s="86"/>
      <c r="I51" s="96">
        <v>0</v>
      </c>
      <c r="J51" s="86"/>
      <c r="K51" s="96">
        <v>0</v>
      </c>
      <c r="L51" s="86"/>
      <c r="M51" s="96">
        <v>0</v>
      </c>
      <c r="N51" s="86"/>
      <c r="O51" s="96">
        <v>0</v>
      </c>
      <c r="P51" s="86"/>
      <c r="Q51" s="98"/>
      <c r="R51" s="103"/>
      <c r="S51" s="86"/>
      <c r="T51" s="100"/>
      <c r="U51" s="86"/>
      <c r="V51" s="100"/>
      <c r="W51" s="86"/>
      <c r="X51" s="100"/>
      <c r="Z51" s="98"/>
    </row>
    <row r="52" spans="1:26" ht="16.5" customHeight="1">
      <c r="A52" s="92">
        <v>9</v>
      </c>
      <c r="B52" s="95" t="s">
        <v>152</v>
      </c>
      <c r="C52" s="105"/>
      <c r="D52" s="97"/>
      <c r="E52" s="105"/>
      <c r="F52" s="97"/>
      <c r="G52" s="96">
        <v>0</v>
      </c>
      <c r="H52" s="86"/>
      <c r="I52" s="96">
        <v>0</v>
      </c>
      <c r="J52" s="86"/>
      <c r="K52" s="96">
        <v>0</v>
      </c>
      <c r="L52" s="86"/>
      <c r="M52" s="96">
        <v>0</v>
      </c>
      <c r="N52" s="86"/>
      <c r="O52" s="96">
        <v>0</v>
      </c>
      <c r="P52" s="86"/>
      <c r="Q52" s="98"/>
      <c r="R52" s="103"/>
      <c r="S52" s="86"/>
      <c r="T52" s="100"/>
      <c r="U52" s="86"/>
      <c r="V52" s="100"/>
      <c r="W52" s="86"/>
      <c r="X52" s="100"/>
      <c r="Z52" s="98"/>
    </row>
    <row r="53" spans="1:26" ht="16.5" customHeight="1">
      <c r="A53" s="92">
        <v>10</v>
      </c>
      <c r="B53" s="95" t="s">
        <v>85</v>
      </c>
      <c r="C53" s="96">
        <v>0</v>
      </c>
      <c r="D53" s="97"/>
      <c r="E53" s="96">
        <v>0</v>
      </c>
      <c r="F53" s="97"/>
      <c r="G53" s="96">
        <v>0</v>
      </c>
      <c r="H53" s="86"/>
      <c r="I53" s="96">
        <v>0</v>
      </c>
      <c r="J53" s="86"/>
      <c r="K53" s="96">
        <v>0</v>
      </c>
      <c r="L53" s="86"/>
      <c r="M53" s="96">
        <v>0</v>
      </c>
      <c r="N53" s="86"/>
      <c r="O53" s="96">
        <v>0</v>
      </c>
      <c r="P53" s="86"/>
      <c r="Q53" s="98">
        <f>SUM(G53:O53)</f>
        <v>0</v>
      </c>
      <c r="R53" s="103"/>
      <c r="S53" s="86"/>
      <c r="T53" s="100"/>
      <c r="U53" s="86"/>
      <c r="V53" s="100"/>
      <c r="W53" s="86"/>
      <c r="X53" s="100"/>
      <c r="Z53" s="98"/>
    </row>
    <row r="54" spans="1:26" ht="16.5" customHeight="1">
      <c r="A54" s="92">
        <v>11</v>
      </c>
      <c r="B54" s="95" t="s">
        <v>86</v>
      </c>
      <c r="C54" s="96">
        <v>0</v>
      </c>
      <c r="D54" s="97"/>
      <c r="E54" s="96">
        <v>0</v>
      </c>
      <c r="F54" s="97"/>
      <c r="G54" s="96">
        <v>0</v>
      </c>
      <c r="H54" s="86"/>
      <c r="I54" s="96">
        <v>0</v>
      </c>
      <c r="J54" s="86"/>
      <c r="K54" s="96">
        <v>0</v>
      </c>
      <c r="L54" s="86"/>
      <c r="M54" s="96">
        <v>0</v>
      </c>
      <c r="N54" s="86"/>
      <c r="O54" s="96">
        <v>0</v>
      </c>
      <c r="P54" s="86"/>
      <c r="Q54" s="98">
        <f>SUM(G54:O54)</f>
        <v>0</v>
      </c>
      <c r="R54" s="103"/>
      <c r="S54" s="86"/>
      <c r="T54" s="100"/>
      <c r="U54" s="86"/>
      <c r="V54" s="100"/>
      <c r="W54" s="86"/>
      <c r="X54" s="100"/>
      <c r="Z54" s="98"/>
    </row>
    <row r="55" spans="1:26" ht="16.5" customHeight="1">
      <c r="A55" s="92">
        <v>12</v>
      </c>
      <c r="B55" s="95" t="s">
        <v>153</v>
      </c>
      <c r="C55" s="96">
        <v>0</v>
      </c>
      <c r="D55" s="97"/>
      <c r="E55" s="96">
        <v>0</v>
      </c>
      <c r="F55" s="97"/>
      <c r="G55" s="105"/>
      <c r="H55" s="86"/>
      <c r="I55" s="105"/>
      <c r="J55" s="86"/>
      <c r="K55" s="105"/>
      <c r="L55" s="86"/>
      <c r="M55" s="105"/>
      <c r="N55" s="86"/>
      <c r="O55" s="105"/>
      <c r="P55" s="86"/>
      <c r="Q55" s="98"/>
      <c r="R55" s="103"/>
      <c r="S55" s="86"/>
      <c r="T55" s="100"/>
      <c r="U55" s="86"/>
      <c r="V55" s="100"/>
      <c r="W55" s="86"/>
      <c r="X55" s="100"/>
      <c r="Z55" s="98"/>
    </row>
    <row r="56" spans="1:26" ht="16.5" customHeight="1">
      <c r="A56" s="92">
        <v>15</v>
      </c>
      <c r="B56" s="95" t="s">
        <v>154</v>
      </c>
      <c r="C56" s="96">
        <v>0</v>
      </c>
      <c r="D56" s="97"/>
      <c r="E56" s="96">
        <v>0</v>
      </c>
      <c r="F56" s="97"/>
      <c r="G56" s="105"/>
      <c r="H56" s="86"/>
      <c r="I56" s="105"/>
      <c r="J56" s="86"/>
      <c r="K56" s="105"/>
      <c r="L56" s="86"/>
      <c r="M56" s="105"/>
      <c r="N56" s="86"/>
      <c r="O56" s="105"/>
      <c r="P56" s="86"/>
      <c r="Q56" s="98"/>
      <c r="R56" s="103"/>
      <c r="S56" s="86"/>
      <c r="T56" s="100"/>
      <c r="U56" s="86"/>
      <c r="V56" s="100"/>
      <c r="W56" s="86"/>
      <c r="X56" s="100"/>
      <c r="Z56" s="98"/>
    </row>
    <row r="57" spans="1:26">
      <c r="A57" s="92"/>
      <c r="B57" s="95"/>
      <c r="C57" s="106">
        <f>SUM(C31:C56)</f>
        <v>0</v>
      </c>
      <c r="D57" s="82"/>
      <c r="E57" s="106">
        <f>SUM(E31:E56)</f>
        <v>0</v>
      </c>
      <c r="F57" s="82"/>
      <c r="Q57" s="106">
        <f>SUM(Q31:Q56)</f>
        <v>0</v>
      </c>
      <c r="Z57" s="86"/>
    </row>
    <row r="58" spans="1:26" ht="24.75" customHeight="1">
      <c r="A58" s="92"/>
      <c r="B58" s="107" t="s">
        <v>155</v>
      </c>
      <c r="C58" s="52"/>
      <c r="D58" s="82"/>
      <c r="F58" s="82"/>
      <c r="Q58" s="86"/>
      <c r="Z58" s="86"/>
    </row>
    <row r="59" spans="1:26" ht="16.5" customHeight="1">
      <c r="A59" s="92">
        <v>1</v>
      </c>
      <c r="B59" s="95" t="s">
        <v>57</v>
      </c>
      <c r="C59" s="96">
        <v>0</v>
      </c>
      <c r="D59" s="97"/>
      <c r="E59" s="96">
        <v>0</v>
      </c>
      <c r="F59" s="97"/>
      <c r="G59" s="96">
        <v>0</v>
      </c>
      <c r="H59" s="86"/>
      <c r="I59" s="96">
        <v>0</v>
      </c>
      <c r="J59" s="86"/>
      <c r="K59" s="96">
        <v>0</v>
      </c>
      <c r="L59" s="86"/>
      <c r="M59" s="96">
        <v>0</v>
      </c>
      <c r="N59" s="86"/>
      <c r="O59" s="96">
        <v>0</v>
      </c>
      <c r="P59" s="86"/>
      <c r="Q59" s="98">
        <f>SUM(G59:O59)</f>
        <v>0</v>
      </c>
      <c r="R59" s="99" t="s">
        <v>134</v>
      </c>
      <c r="S59" s="86"/>
      <c r="T59" s="100"/>
      <c r="U59" s="86"/>
      <c r="V59" s="100"/>
      <c r="W59" s="86"/>
      <c r="X59" s="100"/>
      <c r="Z59" s="98"/>
    </row>
    <row r="60" spans="1:26" ht="16.5" customHeight="1">
      <c r="A60" s="92">
        <v>2</v>
      </c>
      <c r="B60" s="95" t="s">
        <v>59</v>
      </c>
      <c r="C60" s="96">
        <v>0</v>
      </c>
      <c r="D60" s="97"/>
      <c r="E60" s="96">
        <v>0</v>
      </c>
      <c r="F60" s="97"/>
      <c r="G60" s="96">
        <v>0</v>
      </c>
      <c r="H60" s="86"/>
      <c r="I60" s="96">
        <v>0</v>
      </c>
      <c r="J60" s="86"/>
      <c r="K60" s="96">
        <v>0</v>
      </c>
      <c r="L60" s="86"/>
      <c r="M60" s="96">
        <v>0</v>
      </c>
      <c r="N60" s="86"/>
      <c r="O60" s="96">
        <v>0</v>
      </c>
      <c r="P60" s="86"/>
      <c r="Q60" s="98">
        <f t="shared" ref="Q60:Q63" si="2">SUM(G60:O60)</f>
        <v>0</v>
      </c>
      <c r="R60" s="99"/>
      <c r="S60" s="86"/>
      <c r="T60" s="100"/>
      <c r="U60" s="86"/>
      <c r="V60" s="100"/>
      <c r="W60" s="86"/>
      <c r="X60" s="100"/>
      <c r="Z60" s="98"/>
    </row>
    <row r="61" spans="1:26" ht="16.5">
      <c r="A61" s="92">
        <v>3</v>
      </c>
      <c r="B61" s="95" t="s">
        <v>60</v>
      </c>
      <c r="C61" s="96">
        <v>0</v>
      </c>
      <c r="D61" s="97"/>
      <c r="E61" s="96">
        <v>0</v>
      </c>
      <c r="F61" s="97"/>
      <c r="G61" s="96">
        <v>0</v>
      </c>
      <c r="H61" s="86"/>
      <c r="I61" s="96">
        <v>0</v>
      </c>
      <c r="J61" s="86"/>
      <c r="K61" s="96">
        <v>0</v>
      </c>
      <c r="L61" s="86"/>
      <c r="M61" s="96">
        <v>0</v>
      </c>
      <c r="N61" s="86"/>
      <c r="O61" s="96">
        <v>0</v>
      </c>
      <c r="P61" s="86"/>
      <c r="Q61" s="98">
        <f t="shared" si="2"/>
        <v>0</v>
      </c>
      <c r="R61" s="99" t="s">
        <v>135</v>
      </c>
      <c r="S61" s="86"/>
      <c r="T61" s="100"/>
      <c r="U61" s="86"/>
      <c r="V61" s="100"/>
      <c r="W61" s="86"/>
      <c r="X61" s="100"/>
      <c r="Z61" s="98"/>
    </row>
    <row r="62" spans="1:26" ht="16.5" customHeight="1">
      <c r="A62" s="92">
        <v>4</v>
      </c>
      <c r="B62" s="95" t="s">
        <v>62</v>
      </c>
      <c r="C62" s="96">
        <v>0</v>
      </c>
      <c r="D62" s="97"/>
      <c r="E62" s="96">
        <v>0</v>
      </c>
      <c r="F62" s="97"/>
      <c r="G62" s="96">
        <v>0</v>
      </c>
      <c r="H62" s="86"/>
      <c r="I62" s="96">
        <v>0</v>
      </c>
      <c r="J62" s="86"/>
      <c r="K62" s="96">
        <v>0</v>
      </c>
      <c r="L62" s="86"/>
      <c r="M62" s="96">
        <v>0</v>
      </c>
      <c r="N62" s="86"/>
      <c r="O62" s="96">
        <v>0</v>
      </c>
      <c r="P62" s="86"/>
      <c r="Q62" s="98">
        <f t="shared" si="2"/>
        <v>0</v>
      </c>
      <c r="R62" s="99"/>
      <c r="S62" s="86"/>
      <c r="T62" s="100"/>
      <c r="U62" s="86"/>
      <c r="V62" s="100"/>
      <c r="W62" s="86"/>
      <c r="X62" s="100"/>
      <c r="Z62" s="98"/>
    </row>
    <row r="63" spans="1:26" ht="16.5" customHeight="1">
      <c r="A63" s="92">
        <v>5</v>
      </c>
      <c r="B63" s="101" t="s">
        <v>63</v>
      </c>
      <c r="C63" s="96">
        <v>0</v>
      </c>
      <c r="D63" s="97"/>
      <c r="E63" s="96">
        <v>0</v>
      </c>
      <c r="F63" s="97"/>
      <c r="G63" s="102">
        <f>SUM(G64:G68)</f>
        <v>0</v>
      </c>
      <c r="H63" s="86"/>
      <c r="I63" s="102">
        <f>SUM(I64:I68)</f>
        <v>0</v>
      </c>
      <c r="J63" s="86"/>
      <c r="K63" s="102">
        <f>SUM(K64:K68)</f>
        <v>0</v>
      </c>
      <c r="L63" s="86"/>
      <c r="M63" s="102">
        <f>SUM(M64:M68)</f>
        <v>0</v>
      </c>
      <c r="N63" s="86"/>
      <c r="O63" s="102">
        <f>SUM(O64:O68)</f>
        <v>0</v>
      </c>
      <c r="P63" s="86"/>
      <c r="Q63" s="98">
        <f t="shared" si="2"/>
        <v>0</v>
      </c>
      <c r="R63" s="99" t="s">
        <v>136</v>
      </c>
      <c r="S63" s="86"/>
      <c r="T63" s="100"/>
      <c r="U63" s="86"/>
      <c r="V63" s="100"/>
      <c r="W63" s="86"/>
      <c r="X63" s="100"/>
      <c r="Z63" s="98"/>
    </row>
    <row r="64" spans="1:26" ht="16.5" customHeight="1">
      <c r="A64" s="92">
        <v>5</v>
      </c>
      <c r="B64" s="95" t="s">
        <v>137</v>
      </c>
      <c r="C64" s="102"/>
      <c r="D64" s="97"/>
      <c r="E64" s="102"/>
      <c r="F64" s="97"/>
      <c r="G64" s="96">
        <v>0</v>
      </c>
      <c r="H64" s="86"/>
      <c r="I64" s="96">
        <v>0</v>
      </c>
      <c r="J64" s="86"/>
      <c r="K64" s="96">
        <v>0</v>
      </c>
      <c r="L64" s="86"/>
      <c r="M64" s="96">
        <v>0</v>
      </c>
      <c r="N64" s="86"/>
      <c r="O64" s="96">
        <v>0</v>
      </c>
      <c r="P64" s="86"/>
      <c r="Q64" s="98"/>
      <c r="R64" s="99" t="s">
        <v>64</v>
      </c>
      <c r="S64" s="86"/>
      <c r="T64" s="100"/>
      <c r="U64" s="86"/>
      <c r="V64" s="100"/>
      <c r="W64" s="86"/>
      <c r="X64" s="100"/>
      <c r="Z64" s="98"/>
    </row>
    <row r="65" spans="1:26" ht="16.5" customHeight="1">
      <c r="A65" s="92">
        <v>5</v>
      </c>
      <c r="B65" s="95" t="s">
        <v>138</v>
      </c>
      <c r="C65" s="102"/>
      <c r="D65" s="97"/>
      <c r="E65" s="102"/>
      <c r="F65" s="97"/>
      <c r="G65" s="96">
        <v>0</v>
      </c>
      <c r="H65" s="86"/>
      <c r="I65" s="96">
        <v>0</v>
      </c>
      <c r="J65" s="86"/>
      <c r="K65" s="96">
        <v>0</v>
      </c>
      <c r="L65" s="86"/>
      <c r="M65" s="96">
        <v>0</v>
      </c>
      <c r="N65" s="86"/>
      <c r="O65" s="96">
        <v>0</v>
      </c>
      <c r="P65" s="86"/>
      <c r="Q65" s="98"/>
      <c r="R65" s="99" t="s">
        <v>139</v>
      </c>
      <c r="S65" s="86"/>
      <c r="T65" s="100"/>
      <c r="U65" s="86"/>
      <c r="V65" s="100"/>
      <c r="W65" s="86"/>
      <c r="X65" s="100"/>
      <c r="Z65" s="98"/>
    </row>
    <row r="66" spans="1:26" ht="16.5" customHeight="1">
      <c r="A66" s="92">
        <v>5</v>
      </c>
      <c r="B66" s="95" t="s">
        <v>140</v>
      </c>
      <c r="C66" s="102"/>
      <c r="D66" s="97"/>
      <c r="E66" s="102"/>
      <c r="F66" s="97"/>
      <c r="G66" s="96">
        <v>0</v>
      </c>
      <c r="H66" s="86"/>
      <c r="I66" s="96">
        <v>0</v>
      </c>
      <c r="J66" s="86"/>
      <c r="K66" s="96">
        <v>0</v>
      </c>
      <c r="L66" s="86"/>
      <c r="M66" s="96">
        <v>0</v>
      </c>
      <c r="N66" s="86"/>
      <c r="O66" s="96">
        <v>0</v>
      </c>
      <c r="P66" s="86"/>
      <c r="Q66" s="98"/>
      <c r="R66" s="103"/>
      <c r="S66" s="86"/>
      <c r="T66" s="100"/>
      <c r="U66" s="86"/>
      <c r="V66" s="100"/>
      <c r="W66" s="86"/>
      <c r="X66" s="100"/>
      <c r="Z66" s="98"/>
    </row>
    <row r="67" spans="1:26" ht="16.5" customHeight="1">
      <c r="A67" s="92">
        <v>5</v>
      </c>
      <c r="B67" s="95" t="s">
        <v>141</v>
      </c>
      <c r="C67" s="102"/>
      <c r="D67" s="97"/>
      <c r="E67" s="102"/>
      <c r="F67" s="97"/>
      <c r="G67" s="96">
        <v>0</v>
      </c>
      <c r="H67" s="86"/>
      <c r="I67" s="96">
        <v>0</v>
      </c>
      <c r="J67" s="86"/>
      <c r="K67" s="96">
        <v>0</v>
      </c>
      <c r="L67" s="86"/>
      <c r="M67" s="96">
        <v>0</v>
      </c>
      <c r="N67" s="86"/>
      <c r="O67" s="96">
        <v>0</v>
      </c>
      <c r="P67" s="86"/>
      <c r="Q67" s="98"/>
      <c r="R67" s="103"/>
      <c r="S67" s="86"/>
      <c r="T67" s="100"/>
      <c r="U67" s="86"/>
      <c r="V67" s="100"/>
      <c r="W67" s="86"/>
      <c r="X67" s="100"/>
      <c r="Z67" s="98"/>
    </row>
    <row r="68" spans="1:26" ht="16.5" customHeight="1">
      <c r="A68" s="92">
        <v>5</v>
      </c>
      <c r="B68" s="95" t="s">
        <v>142</v>
      </c>
      <c r="C68" s="102"/>
      <c r="D68" s="97"/>
      <c r="E68" s="102"/>
      <c r="F68" s="97"/>
      <c r="G68" s="96">
        <v>0</v>
      </c>
      <c r="H68" s="86"/>
      <c r="I68" s="96">
        <v>0</v>
      </c>
      <c r="J68" s="86"/>
      <c r="K68" s="96">
        <v>0</v>
      </c>
      <c r="L68" s="86"/>
      <c r="M68" s="96">
        <v>0</v>
      </c>
      <c r="N68" s="86"/>
      <c r="O68" s="96">
        <v>0</v>
      </c>
      <c r="P68" s="86"/>
      <c r="Q68" s="98"/>
      <c r="R68" s="103"/>
      <c r="S68" s="86"/>
      <c r="T68" s="100"/>
      <c r="U68" s="86"/>
      <c r="V68" s="100"/>
      <c r="W68" s="86"/>
      <c r="X68" s="100"/>
      <c r="Z68" s="98"/>
    </row>
    <row r="69" spans="1:26" ht="16.5" customHeight="1">
      <c r="A69" s="92">
        <v>6</v>
      </c>
      <c r="B69" s="95" t="s">
        <v>71</v>
      </c>
      <c r="C69" s="96">
        <v>0</v>
      </c>
      <c r="D69" s="97"/>
      <c r="E69" s="96">
        <v>0</v>
      </c>
      <c r="F69" s="97"/>
      <c r="G69" s="96">
        <v>0</v>
      </c>
      <c r="H69" s="86"/>
      <c r="I69" s="96">
        <v>0</v>
      </c>
      <c r="J69" s="86"/>
      <c r="K69" s="96">
        <v>0</v>
      </c>
      <c r="L69" s="86"/>
      <c r="M69" s="96">
        <v>0</v>
      </c>
      <c r="N69" s="86"/>
      <c r="O69" s="96">
        <v>0</v>
      </c>
      <c r="P69" s="86"/>
      <c r="Q69" s="98">
        <f t="shared" ref="Q69:Q72" si="3">SUM(G69:O69)</f>
        <v>0</v>
      </c>
      <c r="R69" s="104" t="s">
        <v>143</v>
      </c>
      <c r="S69" s="86"/>
      <c r="T69" s="100"/>
      <c r="U69" s="86"/>
      <c r="V69" s="100"/>
      <c r="W69" s="86"/>
      <c r="X69" s="100"/>
      <c r="Z69" s="98"/>
    </row>
    <row r="70" spans="1:26" ht="21" customHeight="1">
      <c r="A70" s="92">
        <v>7</v>
      </c>
      <c r="B70" s="95" t="s">
        <v>41</v>
      </c>
      <c r="C70" s="96">
        <v>0</v>
      </c>
      <c r="D70" s="97"/>
      <c r="E70" s="96">
        <v>0</v>
      </c>
      <c r="F70" s="97"/>
      <c r="G70" s="96">
        <v>0</v>
      </c>
      <c r="H70" s="86"/>
      <c r="I70" s="96">
        <v>0</v>
      </c>
      <c r="J70" s="86"/>
      <c r="K70" s="96">
        <v>0</v>
      </c>
      <c r="L70" s="86"/>
      <c r="M70" s="96">
        <v>0</v>
      </c>
      <c r="N70" s="86"/>
      <c r="O70" s="96">
        <v>0</v>
      </c>
      <c r="P70" s="86"/>
      <c r="Q70" s="98">
        <f t="shared" si="3"/>
        <v>0</v>
      </c>
      <c r="R70" s="103"/>
      <c r="S70" s="86"/>
      <c r="T70" s="100"/>
      <c r="U70" s="86"/>
      <c r="V70" s="100"/>
      <c r="W70" s="86"/>
      <c r="X70" s="100"/>
      <c r="Z70" s="98"/>
    </row>
    <row r="71" spans="1:26" ht="16.5" customHeight="1">
      <c r="A71" s="92">
        <v>8</v>
      </c>
      <c r="B71" s="95" t="s">
        <v>73</v>
      </c>
      <c r="C71" s="96">
        <v>0</v>
      </c>
      <c r="D71" s="97"/>
      <c r="E71" s="96">
        <v>0</v>
      </c>
      <c r="F71" s="97"/>
      <c r="G71" s="96">
        <v>0</v>
      </c>
      <c r="H71" s="86"/>
      <c r="I71" s="96">
        <v>0</v>
      </c>
      <c r="J71" s="86"/>
      <c r="K71" s="96">
        <v>0</v>
      </c>
      <c r="L71" s="86"/>
      <c r="M71" s="96">
        <v>0</v>
      </c>
      <c r="N71" s="86"/>
      <c r="O71" s="96">
        <v>0</v>
      </c>
      <c r="P71" s="86"/>
      <c r="Q71" s="98">
        <f t="shared" si="3"/>
        <v>0</v>
      </c>
      <c r="R71" s="103"/>
      <c r="S71" s="86"/>
      <c r="T71" s="100"/>
      <c r="U71" s="86"/>
      <c r="V71" s="100"/>
      <c r="W71" s="86"/>
      <c r="X71" s="100"/>
      <c r="Z71" s="98"/>
    </row>
    <row r="72" spans="1:26" ht="16.5" customHeight="1">
      <c r="A72" s="92">
        <v>9</v>
      </c>
      <c r="B72" s="95" t="s">
        <v>74</v>
      </c>
      <c r="C72" s="96">
        <v>0</v>
      </c>
      <c r="D72" s="97"/>
      <c r="E72" s="96">
        <v>0</v>
      </c>
      <c r="F72" s="97"/>
      <c r="G72" s="105">
        <f>SUM(G73:G80)</f>
        <v>0</v>
      </c>
      <c r="H72" s="86"/>
      <c r="I72" s="105">
        <f>SUM(I73:I80)</f>
        <v>0</v>
      </c>
      <c r="J72" s="86"/>
      <c r="K72" s="105">
        <f>SUM(K73:K80)</f>
        <v>0</v>
      </c>
      <c r="L72" s="86"/>
      <c r="M72" s="105">
        <f>SUM(M73:M80)</f>
        <v>0</v>
      </c>
      <c r="N72" s="86"/>
      <c r="O72" s="105">
        <f>SUM(O73:O80)</f>
        <v>0</v>
      </c>
      <c r="P72" s="86"/>
      <c r="Q72" s="98">
        <f t="shared" si="3"/>
        <v>0</v>
      </c>
      <c r="R72" s="99" t="s">
        <v>144</v>
      </c>
      <c r="S72" s="86"/>
      <c r="T72" s="100"/>
      <c r="U72" s="86"/>
      <c r="V72" s="100"/>
      <c r="W72" s="86"/>
      <c r="X72" s="100"/>
      <c r="Z72" s="98"/>
    </row>
    <row r="73" spans="1:26" ht="16.5" customHeight="1">
      <c r="A73" s="92">
        <v>9</v>
      </c>
      <c r="B73" s="95" t="s">
        <v>145</v>
      </c>
      <c r="C73" s="105"/>
      <c r="D73" s="97"/>
      <c r="E73" s="105"/>
      <c r="F73" s="97"/>
      <c r="G73" s="96">
        <v>0</v>
      </c>
      <c r="H73" s="86"/>
      <c r="I73" s="96">
        <v>0</v>
      </c>
      <c r="J73" s="86"/>
      <c r="K73" s="96">
        <v>0</v>
      </c>
      <c r="L73" s="86"/>
      <c r="M73" s="96">
        <v>0</v>
      </c>
      <c r="N73" s="86"/>
      <c r="O73" s="96">
        <v>0</v>
      </c>
      <c r="P73" s="86"/>
      <c r="Q73" s="98"/>
      <c r="R73" s="103"/>
      <c r="S73" s="86"/>
      <c r="T73" s="100"/>
      <c r="U73" s="86"/>
      <c r="V73" s="100"/>
      <c r="W73" s="86"/>
      <c r="X73" s="100"/>
      <c r="Z73" s="98"/>
    </row>
    <row r="74" spans="1:26" ht="16.5" customHeight="1">
      <c r="A74" s="92">
        <v>9</v>
      </c>
      <c r="B74" s="95" t="s">
        <v>146</v>
      </c>
      <c r="C74" s="105"/>
      <c r="D74" s="97"/>
      <c r="E74" s="105"/>
      <c r="F74" s="97"/>
      <c r="G74" s="96">
        <v>0</v>
      </c>
      <c r="H74" s="86"/>
      <c r="I74" s="96">
        <v>0</v>
      </c>
      <c r="J74" s="86"/>
      <c r="K74" s="96">
        <v>0</v>
      </c>
      <c r="L74" s="86"/>
      <c r="M74" s="96">
        <v>0</v>
      </c>
      <c r="N74" s="86"/>
      <c r="O74" s="96">
        <v>0</v>
      </c>
      <c r="P74" s="86"/>
      <c r="Q74" s="98"/>
      <c r="R74" s="103"/>
      <c r="S74" s="86"/>
      <c r="T74" s="100"/>
      <c r="U74" s="86"/>
      <c r="V74" s="100"/>
      <c r="W74" s="86"/>
      <c r="X74" s="100"/>
      <c r="Z74" s="98"/>
    </row>
    <row r="75" spans="1:26" ht="16.5" customHeight="1">
      <c r="A75" s="92">
        <v>9</v>
      </c>
      <c r="B75" s="95" t="s">
        <v>147</v>
      </c>
      <c r="C75" s="105"/>
      <c r="D75" s="97"/>
      <c r="E75" s="105"/>
      <c r="F75" s="97"/>
      <c r="G75" s="96">
        <v>0</v>
      </c>
      <c r="H75" s="86"/>
      <c r="I75" s="96">
        <v>0</v>
      </c>
      <c r="J75" s="86"/>
      <c r="K75" s="96">
        <v>0</v>
      </c>
      <c r="L75" s="86"/>
      <c r="M75" s="96">
        <v>0</v>
      </c>
      <c r="N75" s="86"/>
      <c r="O75" s="96">
        <v>0</v>
      </c>
      <c r="P75" s="86"/>
      <c r="Q75" s="98"/>
      <c r="R75" s="103"/>
      <c r="S75" s="86"/>
      <c r="T75" s="100"/>
      <c r="U75" s="86"/>
      <c r="V75" s="100"/>
      <c r="W75" s="86"/>
      <c r="X75" s="100"/>
      <c r="Z75" s="98"/>
    </row>
    <row r="76" spans="1:26" ht="16.5" customHeight="1">
      <c r="A76" s="92">
        <v>9</v>
      </c>
      <c r="B76" s="95" t="s">
        <v>148</v>
      </c>
      <c r="C76" s="105"/>
      <c r="D76" s="97"/>
      <c r="E76" s="105"/>
      <c r="F76" s="97"/>
      <c r="G76" s="96">
        <v>0</v>
      </c>
      <c r="H76" s="86"/>
      <c r="I76" s="96">
        <v>0</v>
      </c>
      <c r="J76" s="86"/>
      <c r="K76" s="96">
        <v>0</v>
      </c>
      <c r="L76" s="86"/>
      <c r="M76" s="96">
        <v>0</v>
      </c>
      <c r="N76" s="86"/>
      <c r="O76" s="96">
        <v>0</v>
      </c>
      <c r="P76" s="86"/>
      <c r="Q76" s="98"/>
      <c r="R76" s="103"/>
      <c r="S76" s="86"/>
      <c r="T76" s="100"/>
      <c r="U76" s="86"/>
      <c r="V76" s="100"/>
      <c r="W76" s="86"/>
      <c r="X76" s="100"/>
      <c r="Z76" s="98"/>
    </row>
    <row r="77" spans="1:26" ht="16.5" customHeight="1">
      <c r="A77" s="92">
        <v>9</v>
      </c>
      <c r="B77" s="95" t="s">
        <v>149</v>
      </c>
      <c r="C77" s="105"/>
      <c r="D77" s="97"/>
      <c r="E77" s="105"/>
      <c r="F77" s="97"/>
      <c r="G77" s="96">
        <v>0</v>
      </c>
      <c r="H77" s="86"/>
      <c r="I77" s="96">
        <v>0</v>
      </c>
      <c r="J77" s="86"/>
      <c r="K77" s="96">
        <v>0</v>
      </c>
      <c r="L77" s="86"/>
      <c r="M77" s="96">
        <v>0</v>
      </c>
      <c r="N77" s="86"/>
      <c r="O77" s="96">
        <v>0</v>
      </c>
      <c r="P77" s="86"/>
      <c r="Q77" s="98"/>
      <c r="R77" s="103"/>
      <c r="S77" s="86"/>
      <c r="T77" s="100"/>
      <c r="U77" s="86"/>
      <c r="V77" s="100"/>
      <c r="W77" s="86"/>
      <c r="X77" s="100"/>
      <c r="Z77" s="98"/>
    </row>
    <row r="78" spans="1:26" ht="16.5" customHeight="1">
      <c r="A78" s="92">
        <v>9</v>
      </c>
      <c r="B78" s="95" t="s">
        <v>150</v>
      </c>
      <c r="C78" s="105"/>
      <c r="D78" s="97"/>
      <c r="E78" s="105"/>
      <c r="F78" s="97"/>
      <c r="G78" s="96">
        <v>0</v>
      </c>
      <c r="H78" s="86"/>
      <c r="I78" s="96">
        <v>0</v>
      </c>
      <c r="J78" s="86"/>
      <c r="K78" s="96">
        <v>0</v>
      </c>
      <c r="L78" s="86"/>
      <c r="M78" s="96">
        <v>0</v>
      </c>
      <c r="N78" s="86"/>
      <c r="O78" s="96">
        <v>0</v>
      </c>
      <c r="P78" s="86"/>
      <c r="Q78" s="98"/>
      <c r="R78" s="103"/>
      <c r="S78" s="86"/>
      <c r="T78" s="100"/>
      <c r="U78" s="86"/>
      <c r="V78" s="100"/>
      <c r="W78" s="86"/>
      <c r="X78" s="100"/>
      <c r="Z78" s="98"/>
    </row>
    <row r="79" spans="1:26" ht="15.75" customHeight="1">
      <c r="A79" s="92">
        <v>9</v>
      </c>
      <c r="B79" s="95" t="s">
        <v>151</v>
      </c>
      <c r="C79" s="105"/>
      <c r="D79" s="97"/>
      <c r="E79" s="105"/>
      <c r="F79" s="97"/>
      <c r="G79" s="96">
        <v>0</v>
      </c>
      <c r="H79" s="86"/>
      <c r="I79" s="96">
        <v>0</v>
      </c>
      <c r="J79" s="86"/>
      <c r="K79" s="96">
        <v>0</v>
      </c>
      <c r="L79" s="86"/>
      <c r="M79" s="96">
        <v>0</v>
      </c>
      <c r="N79" s="86"/>
      <c r="O79" s="96">
        <v>0</v>
      </c>
      <c r="P79" s="86"/>
      <c r="Q79" s="98"/>
      <c r="R79" s="103"/>
      <c r="S79" s="86"/>
      <c r="T79" s="100"/>
      <c r="U79" s="86"/>
      <c r="V79" s="100"/>
      <c r="W79" s="86"/>
      <c r="X79" s="100"/>
      <c r="Z79" s="98"/>
    </row>
    <row r="80" spans="1:26" ht="16.5" customHeight="1">
      <c r="A80" s="92">
        <v>9</v>
      </c>
      <c r="B80" s="95" t="s">
        <v>152</v>
      </c>
      <c r="C80" s="105"/>
      <c r="D80" s="97"/>
      <c r="E80" s="105"/>
      <c r="F80" s="97"/>
      <c r="G80" s="96">
        <v>0</v>
      </c>
      <c r="H80" s="86"/>
      <c r="I80" s="96">
        <v>0</v>
      </c>
      <c r="J80" s="86"/>
      <c r="K80" s="96">
        <v>0</v>
      </c>
      <c r="L80" s="86"/>
      <c r="M80" s="96">
        <v>0</v>
      </c>
      <c r="N80" s="86"/>
      <c r="O80" s="96">
        <v>0</v>
      </c>
      <c r="P80" s="86"/>
      <c r="Q80" s="98"/>
      <c r="R80" s="103"/>
      <c r="S80" s="86"/>
      <c r="T80" s="100"/>
      <c r="U80" s="86"/>
      <c r="V80" s="100"/>
      <c r="W80" s="86"/>
      <c r="X80" s="100"/>
      <c r="Z80" s="98"/>
    </row>
    <row r="81" spans="1:26" ht="16.5" customHeight="1">
      <c r="A81" s="92">
        <v>10</v>
      </c>
      <c r="B81" s="95" t="s">
        <v>85</v>
      </c>
      <c r="C81" s="96">
        <v>0</v>
      </c>
      <c r="D81" s="97"/>
      <c r="E81" s="96">
        <v>0</v>
      </c>
      <c r="F81" s="97"/>
      <c r="G81" s="96">
        <v>0</v>
      </c>
      <c r="H81" s="86"/>
      <c r="I81" s="96">
        <v>0</v>
      </c>
      <c r="J81" s="86"/>
      <c r="K81" s="96">
        <v>0</v>
      </c>
      <c r="L81" s="86"/>
      <c r="M81" s="96">
        <v>0</v>
      </c>
      <c r="N81" s="86"/>
      <c r="O81" s="96">
        <v>0</v>
      </c>
      <c r="P81" s="86"/>
      <c r="Q81" s="98">
        <f>SUM(G81:O81)</f>
        <v>0</v>
      </c>
      <c r="R81" s="103"/>
      <c r="S81" s="86"/>
      <c r="T81" s="100"/>
      <c r="U81" s="86"/>
      <c r="V81" s="100"/>
      <c r="W81" s="86"/>
      <c r="X81" s="100"/>
      <c r="Z81" s="98"/>
    </row>
    <row r="82" spans="1:26" ht="16.5" customHeight="1">
      <c r="A82" s="92">
        <v>11</v>
      </c>
      <c r="B82" s="95" t="s">
        <v>86</v>
      </c>
      <c r="C82" s="96">
        <v>0</v>
      </c>
      <c r="D82" s="97"/>
      <c r="E82" s="96">
        <v>0</v>
      </c>
      <c r="F82" s="97"/>
      <c r="G82" s="96">
        <v>0</v>
      </c>
      <c r="H82" s="86"/>
      <c r="I82" s="96">
        <v>0</v>
      </c>
      <c r="J82" s="86"/>
      <c r="K82" s="96">
        <v>0</v>
      </c>
      <c r="L82" s="86"/>
      <c r="M82" s="96">
        <v>0</v>
      </c>
      <c r="N82" s="86"/>
      <c r="O82" s="96">
        <v>0</v>
      </c>
      <c r="P82" s="86"/>
      <c r="Q82" s="98">
        <f>SUM(G82:O82)</f>
        <v>0</v>
      </c>
      <c r="R82" s="103"/>
      <c r="S82" s="86"/>
      <c r="T82" s="100"/>
      <c r="U82" s="86"/>
      <c r="V82" s="100"/>
      <c r="W82" s="86"/>
      <c r="X82" s="100"/>
      <c r="Z82" s="98"/>
    </row>
    <row r="83" spans="1:26" ht="16.5" customHeight="1">
      <c r="A83" s="92">
        <v>12</v>
      </c>
      <c r="B83" s="95" t="s">
        <v>153</v>
      </c>
      <c r="C83" s="96">
        <v>0</v>
      </c>
      <c r="D83" s="97"/>
      <c r="E83" s="96">
        <v>0</v>
      </c>
      <c r="F83" s="97"/>
      <c r="G83" s="105"/>
      <c r="H83" s="86"/>
      <c r="I83" s="105"/>
      <c r="J83" s="86"/>
      <c r="K83" s="105"/>
      <c r="L83" s="86"/>
      <c r="M83" s="105"/>
      <c r="N83" s="86"/>
      <c r="O83" s="105"/>
      <c r="P83" s="86"/>
      <c r="Q83" s="98"/>
      <c r="R83" s="103"/>
      <c r="S83" s="86"/>
      <c r="T83" s="100"/>
      <c r="U83" s="86"/>
      <c r="V83" s="100"/>
      <c r="W83" s="86"/>
      <c r="X83" s="100"/>
      <c r="Z83" s="98"/>
    </row>
    <row r="84" spans="1:26" ht="16.5" customHeight="1">
      <c r="A84" s="92">
        <v>15</v>
      </c>
      <c r="B84" s="95" t="s">
        <v>154</v>
      </c>
      <c r="C84" s="96">
        <v>0</v>
      </c>
      <c r="D84" s="97"/>
      <c r="E84" s="96">
        <v>0</v>
      </c>
      <c r="F84" s="97"/>
      <c r="G84" s="105"/>
      <c r="H84" s="86"/>
      <c r="I84" s="105"/>
      <c r="J84" s="86"/>
      <c r="K84" s="105"/>
      <c r="L84" s="86"/>
      <c r="M84" s="105"/>
      <c r="N84" s="86"/>
      <c r="O84" s="105"/>
      <c r="P84" s="86"/>
      <c r="Q84" s="98"/>
      <c r="R84" s="103"/>
      <c r="S84" s="86"/>
      <c r="T84" s="100"/>
      <c r="U84" s="86"/>
      <c r="V84" s="100"/>
      <c r="W84" s="86"/>
      <c r="X84" s="100"/>
      <c r="Z84" s="98"/>
    </row>
    <row r="85" spans="1:26">
      <c r="A85" s="64" t="s">
        <v>156</v>
      </c>
      <c r="B85" s="52"/>
      <c r="C85" s="106">
        <f>SUM(C59:C84)</f>
        <v>0</v>
      </c>
      <c r="D85" s="82"/>
      <c r="E85" s="106">
        <f>SUM(E59:E84)</f>
        <v>0</v>
      </c>
      <c r="F85" s="82"/>
      <c r="G85" s="78"/>
      <c r="H85" s="78"/>
      <c r="Q85" s="106">
        <f>SUM(Q59:Q84)</f>
        <v>0</v>
      </c>
    </row>
    <row r="86" spans="1:26" ht="12.75">
      <c r="A86" s="108"/>
      <c r="B86" s="52"/>
      <c r="C86" s="78"/>
      <c r="D86" s="82"/>
      <c r="E86" s="82"/>
      <c r="F86" s="82"/>
      <c r="G86" s="78"/>
      <c r="H86" s="78"/>
    </row>
    <row r="87" spans="1:26">
      <c r="A87" s="52" t="s">
        <v>90</v>
      </c>
      <c r="B87" s="52"/>
      <c r="C87" s="109">
        <v>0</v>
      </c>
      <c r="D87" s="110"/>
      <c r="E87" s="109">
        <v>0</v>
      </c>
      <c r="F87" s="110"/>
      <c r="G87" s="78"/>
      <c r="H87" s="111"/>
      <c r="I87" s="78"/>
      <c r="J87" s="111"/>
      <c r="K87" s="78"/>
      <c r="L87" s="111"/>
      <c r="M87" s="78"/>
      <c r="N87" s="111"/>
      <c r="O87" s="78"/>
      <c r="P87" s="111"/>
      <c r="Q87" s="78"/>
      <c r="R87" s="82"/>
      <c r="S87" s="112"/>
      <c r="T87" s="72"/>
      <c r="U87" s="113"/>
      <c r="V87" s="72"/>
      <c r="W87" s="113"/>
      <c r="X87" s="72"/>
      <c r="Z87" s="72"/>
    </row>
    <row r="88" spans="1:26">
      <c r="A88" s="52" t="s">
        <v>91</v>
      </c>
      <c r="B88" s="52"/>
      <c r="C88" s="109">
        <v>0</v>
      </c>
      <c r="D88" s="110"/>
      <c r="E88" s="109">
        <v>0</v>
      </c>
      <c r="F88" s="110"/>
      <c r="G88" s="78"/>
      <c r="H88" s="111"/>
      <c r="I88" s="78"/>
      <c r="J88" s="111"/>
      <c r="K88" s="78"/>
      <c r="L88" s="111"/>
      <c r="M88" s="78"/>
      <c r="N88" s="111"/>
      <c r="O88" s="78"/>
      <c r="P88" s="111"/>
      <c r="Q88" s="78"/>
      <c r="R88" s="82"/>
      <c r="S88" s="112"/>
      <c r="T88" s="72"/>
      <c r="U88" s="113"/>
      <c r="V88" s="72"/>
      <c r="W88" s="113"/>
      <c r="X88" s="72"/>
      <c r="Z88" s="72"/>
    </row>
    <row r="89" spans="1:26">
      <c r="A89" s="52" t="s">
        <v>92</v>
      </c>
      <c r="B89" s="52"/>
      <c r="C89" s="109">
        <v>0</v>
      </c>
      <c r="D89" s="110"/>
      <c r="E89" s="109">
        <v>0</v>
      </c>
      <c r="F89" s="110"/>
      <c r="G89" s="78"/>
      <c r="H89" s="111"/>
      <c r="I89" s="78"/>
      <c r="J89" s="111"/>
      <c r="K89" s="78"/>
      <c r="L89" s="111"/>
      <c r="M89" s="78"/>
      <c r="N89" s="111"/>
      <c r="O89" s="78"/>
      <c r="P89" s="111"/>
      <c r="Q89" s="78"/>
      <c r="R89" s="82"/>
      <c r="S89" s="112"/>
      <c r="T89" s="72"/>
      <c r="U89" s="113"/>
      <c r="V89" s="72"/>
      <c r="W89" s="113"/>
      <c r="X89" s="72"/>
      <c r="Z89" s="72"/>
    </row>
    <row r="90" spans="1:26">
      <c r="A90" s="52" t="s">
        <v>93</v>
      </c>
      <c r="B90" s="52"/>
      <c r="C90" s="109">
        <v>0</v>
      </c>
      <c r="D90" s="110"/>
      <c r="E90" s="109">
        <v>0</v>
      </c>
      <c r="F90" s="110"/>
      <c r="G90" s="78"/>
      <c r="H90" s="111"/>
      <c r="I90" s="78"/>
      <c r="J90" s="111"/>
      <c r="K90" s="78"/>
      <c r="L90" s="111"/>
      <c r="M90" s="78"/>
      <c r="N90" s="111"/>
      <c r="O90" s="78"/>
      <c r="P90" s="111"/>
      <c r="Q90" s="78"/>
      <c r="R90" s="82"/>
      <c r="S90" s="112"/>
      <c r="T90" s="72"/>
      <c r="U90" s="113"/>
      <c r="V90" s="72"/>
      <c r="W90" s="113"/>
      <c r="X90" s="72"/>
      <c r="Z90" s="72"/>
    </row>
    <row r="91" spans="1:26">
      <c r="A91" s="52" t="s">
        <v>94</v>
      </c>
      <c r="B91" s="52"/>
      <c r="C91" s="109">
        <v>0</v>
      </c>
      <c r="D91" s="110"/>
      <c r="E91" s="109">
        <v>0</v>
      </c>
      <c r="F91" s="110"/>
      <c r="G91" s="78"/>
      <c r="H91" s="111"/>
      <c r="I91" s="78"/>
      <c r="J91" s="111"/>
      <c r="K91" s="78"/>
      <c r="L91" s="111"/>
      <c r="M91" s="78"/>
      <c r="N91" s="111"/>
      <c r="O91" s="78"/>
      <c r="P91" s="111"/>
      <c r="Q91" s="78"/>
      <c r="R91" s="82"/>
      <c r="S91" s="112"/>
      <c r="T91" s="72"/>
      <c r="U91" s="113"/>
      <c r="V91" s="72"/>
      <c r="W91" s="113"/>
      <c r="X91" s="72"/>
      <c r="Z91" s="72"/>
    </row>
    <row r="92" spans="1:26">
      <c r="A92" s="52" t="s">
        <v>95</v>
      </c>
      <c r="B92" s="52"/>
      <c r="C92" s="109">
        <v>0</v>
      </c>
      <c r="D92" s="110"/>
      <c r="E92" s="109">
        <v>0</v>
      </c>
      <c r="F92" s="110"/>
      <c r="G92" s="78"/>
      <c r="H92" s="111"/>
      <c r="I92" s="78"/>
      <c r="J92" s="111"/>
      <c r="K92" s="78"/>
      <c r="L92" s="111"/>
      <c r="M92" s="78"/>
      <c r="N92" s="111"/>
      <c r="O92" s="78"/>
      <c r="P92" s="111"/>
      <c r="Q92" s="78"/>
      <c r="R92" s="82"/>
      <c r="S92" s="112"/>
      <c r="T92" s="72"/>
      <c r="U92" s="113"/>
      <c r="V92" s="72"/>
      <c r="W92" s="113"/>
      <c r="X92" s="72"/>
      <c r="Z92" s="72"/>
    </row>
    <row r="93" spans="1:26">
      <c r="A93" s="52" t="s">
        <v>96</v>
      </c>
      <c r="B93" s="52"/>
      <c r="C93" s="109">
        <v>0</v>
      </c>
      <c r="D93" s="110"/>
      <c r="E93" s="109">
        <v>0</v>
      </c>
      <c r="F93" s="110"/>
      <c r="G93" s="78"/>
      <c r="H93" s="111"/>
      <c r="I93" s="78"/>
      <c r="J93" s="111"/>
      <c r="K93" s="78"/>
      <c r="L93" s="111"/>
      <c r="M93" s="78"/>
      <c r="N93" s="111"/>
      <c r="O93" s="78"/>
      <c r="P93" s="111"/>
      <c r="Q93" s="78"/>
      <c r="R93" s="82"/>
      <c r="S93" s="112"/>
      <c r="T93" s="72"/>
      <c r="U93" s="113"/>
      <c r="V93" s="72"/>
      <c r="W93" s="113"/>
      <c r="X93" s="72"/>
      <c r="Z93" s="72"/>
    </row>
    <row r="94" spans="1:26">
      <c r="A94" s="52" t="s">
        <v>97</v>
      </c>
      <c r="B94" s="52"/>
      <c r="C94" s="109">
        <v>0</v>
      </c>
      <c r="D94" s="110"/>
      <c r="E94" s="109">
        <v>0</v>
      </c>
      <c r="F94" s="110"/>
      <c r="G94" s="78"/>
      <c r="H94" s="111"/>
      <c r="I94" s="78"/>
      <c r="J94" s="111"/>
      <c r="K94" s="78"/>
      <c r="L94" s="111"/>
      <c r="M94" s="78"/>
      <c r="N94" s="111"/>
      <c r="O94" s="78"/>
      <c r="P94" s="111"/>
      <c r="Q94" s="78"/>
      <c r="R94" s="82"/>
      <c r="S94" s="112"/>
      <c r="T94" s="72"/>
      <c r="U94" s="113"/>
      <c r="V94" s="72"/>
      <c r="W94" s="113"/>
      <c r="X94" s="72"/>
      <c r="Z94" s="72"/>
    </row>
    <row r="95" spans="1:26">
      <c r="A95" s="52" t="s">
        <v>98</v>
      </c>
      <c r="B95" s="52"/>
      <c r="C95" s="109">
        <v>0</v>
      </c>
      <c r="D95" s="110"/>
      <c r="E95" s="109">
        <v>0</v>
      </c>
      <c r="F95" s="110"/>
      <c r="G95" s="78"/>
      <c r="H95" s="111"/>
      <c r="I95" s="78"/>
      <c r="J95" s="111"/>
      <c r="K95" s="78"/>
      <c r="L95" s="111"/>
      <c r="M95" s="78"/>
      <c r="N95" s="111"/>
      <c r="O95" s="78"/>
      <c r="P95" s="111"/>
      <c r="Q95" s="78"/>
      <c r="R95" s="82"/>
      <c r="S95" s="112"/>
      <c r="T95" s="72"/>
      <c r="U95" s="113"/>
      <c r="V95" s="72"/>
      <c r="W95" s="113"/>
      <c r="X95" s="72"/>
      <c r="Z95" s="72"/>
    </row>
    <row r="96" spans="1:26" ht="12.75">
      <c r="A96" s="108" t="s">
        <v>99</v>
      </c>
      <c r="B96" s="52"/>
      <c r="C96" s="114">
        <f>SUM(C87:C95)</f>
        <v>0</v>
      </c>
      <c r="D96" s="115"/>
      <c r="E96" s="114">
        <f>SUM(E87:E95)</f>
        <v>0</v>
      </c>
      <c r="F96" s="116"/>
    </row>
    <row r="97" spans="1:26" ht="14.25">
      <c r="A97" s="117" t="s">
        <v>100</v>
      </c>
      <c r="B97" s="118"/>
      <c r="C97" s="119">
        <v>0</v>
      </c>
      <c r="D97" s="120"/>
      <c r="E97" s="119">
        <v>0</v>
      </c>
      <c r="F97" s="120"/>
      <c r="G97" s="118"/>
      <c r="H97" s="121"/>
      <c r="I97" s="118"/>
      <c r="J97" s="121"/>
      <c r="K97" s="118"/>
      <c r="L97" s="121"/>
      <c r="M97" s="118"/>
      <c r="N97" s="121"/>
      <c r="O97" s="118"/>
      <c r="P97" s="121"/>
      <c r="Q97" s="118"/>
      <c r="R97" s="122"/>
      <c r="T97" s="123"/>
      <c r="V97" s="123"/>
      <c r="X97" s="122"/>
      <c r="Y97" s="122"/>
      <c r="Z97" s="122"/>
    </row>
    <row r="98" spans="1:26" ht="23.25" customHeight="1" thickBo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 spans="1:26" s="64" customFormat="1" ht="25.5" customHeight="1" thickBot="1">
      <c r="A99" s="125" t="s">
        <v>157</v>
      </c>
      <c r="B99" s="126"/>
      <c r="C99" s="127">
        <f>C57+C85+C96+C97</f>
        <v>0</v>
      </c>
      <c r="D99" s="128"/>
      <c r="E99" s="127">
        <f>E57+E85+E96+E97</f>
        <v>0</v>
      </c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9">
        <f>Q57+Q85</f>
        <v>0</v>
      </c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>
      <c r="A100" s="92"/>
      <c r="B100" s="52"/>
      <c r="D100" s="52"/>
    </row>
    <row r="101" spans="1:26">
      <c r="A101" s="64"/>
      <c r="B101" s="130"/>
      <c r="C101" s="130"/>
      <c r="D101" s="130"/>
      <c r="E101" s="130"/>
      <c r="F101" s="124"/>
      <c r="G101" s="130"/>
      <c r="H101" s="124"/>
      <c r="I101" s="130"/>
      <c r="J101" s="124"/>
      <c r="K101" s="130"/>
      <c r="L101" s="124"/>
      <c r="M101" s="130"/>
      <c r="N101" s="124"/>
      <c r="O101" s="130"/>
      <c r="P101" s="124"/>
      <c r="Q101" s="130"/>
      <c r="R101" s="131"/>
      <c r="S101" s="124"/>
      <c r="T101" s="131"/>
      <c r="U101" s="124"/>
      <c r="V101" s="131"/>
      <c r="W101" s="124"/>
      <c r="X101" s="124"/>
      <c r="Y101" s="124"/>
    </row>
    <row r="102" spans="1:26">
      <c r="B102" s="130"/>
      <c r="C102" s="130"/>
      <c r="D102" s="130"/>
      <c r="E102" s="130"/>
      <c r="F102" s="124"/>
      <c r="G102" s="130"/>
      <c r="H102" s="124"/>
      <c r="I102" s="130"/>
      <c r="J102" s="124"/>
      <c r="K102" s="130"/>
      <c r="L102" s="124"/>
      <c r="M102" s="130"/>
      <c r="N102" s="124"/>
      <c r="O102" s="130"/>
      <c r="P102" s="124"/>
      <c r="Q102" s="130"/>
      <c r="R102" s="132"/>
      <c r="S102" s="124"/>
      <c r="T102" s="132"/>
      <c r="U102" s="124"/>
      <c r="V102" s="132"/>
      <c r="W102" s="124"/>
      <c r="X102" s="133"/>
      <c r="Y102" s="124"/>
    </row>
    <row r="103" spans="1:26">
      <c r="B103" s="130"/>
      <c r="C103" s="130"/>
      <c r="D103" s="130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</row>
    <row r="104" spans="1:26">
      <c r="B104" s="130"/>
      <c r="C104" s="130"/>
      <c r="D104" s="130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</row>
    <row r="105" spans="1:26">
      <c r="B105" s="130"/>
      <c r="C105" s="130"/>
      <c r="D105" s="130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</row>
    <row r="106" spans="1:26">
      <c r="B106" s="130"/>
      <c r="C106" s="130"/>
      <c r="D106" s="130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</row>
    <row r="107" spans="1:26">
      <c r="B107" s="130"/>
      <c r="C107" s="130"/>
      <c r="D107" s="130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</row>
    <row r="108" spans="1:26">
      <c r="B108" s="130"/>
      <c r="C108" s="130"/>
      <c r="D108" s="130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</row>
    <row r="109" spans="1:26">
      <c r="B109" s="130"/>
      <c r="C109" s="130"/>
      <c r="D109" s="130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</row>
    <row r="110" spans="1:26">
      <c r="B110" s="130"/>
      <c r="C110" s="130"/>
      <c r="D110" s="130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</row>
    <row r="111" spans="1:26">
      <c r="B111" s="130"/>
      <c r="C111" s="130"/>
      <c r="D111" s="130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</row>
    <row r="112" spans="1:26">
      <c r="B112" s="130"/>
      <c r="C112" s="130"/>
      <c r="D112" s="130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spans="2:25">
      <c r="B113" s="130"/>
      <c r="C113" s="130"/>
      <c r="D113" s="130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</row>
    <row r="114" spans="2:25">
      <c r="B114" s="130"/>
      <c r="C114" s="130"/>
      <c r="D114" s="130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  <row r="115" spans="2:25">
      <c r="B115" s="130"/>
      <c r="C115" s="130"/>
      <c r="D115" s="130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</row>
    <row r="116" spans="2:25">
      <c r="B116" s="130"/>
      <c r="C116" s="130"/>
      <c r="D116" s="130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</row>
    <row r="117" spans="2:25">
      <c r="B117" s="130"/>
      <c r="C117" s="130"/>
      <c r="D117" s="130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</row>
    <row r="118" spans="2:25">
      <c r="B118" s="130"/>
      <c r="C118" s="130"/>
      <c r="D118" s="130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</row>
    <row r="119" spans="2:25">
      <c r="B119" s="130"/>
      <c r="C119" s="130"/>
      <c r="D119" s="130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</row>
    <row r="120" spans="2:25">
      <c r="B120" s="130"/>
      <c r="C120" s="130"/>
      <c r="D120" s="130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</row>
    <row r="121" spans="2:25">
      <c r="B121" s="130"/>
      <c r="C121" s="130"/>
      <c r="D121" s="130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</row>
    <row r="122" spans="2:25">
      <c r="B122" s="130"/>
      <c r="C122" s="130"/>
      <c r="D122" s="130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spans="2:25">
      <c r="B123" s="130"/>
      <c r="C123" s="130"/>
      <c r="D123" s="130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</row>
    <row r="124" spans="2:25">
      <c r="B124" s="130"/>
      <c r="C124" s="130"/>
      <c r="D124" s="130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</row>
    <row r="125" spans="2:25">
      <c r="B125" s="130"/>
      <c r="C125" s="130"/>
      <c r="D125" s="130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</row>
    <row r="126" spans="2:25">
      <c r="B126" s="130"/>
      <c r="C126" s="130"/>
      <c r="D126" s="130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</row>
    <row r="127" spans="2:25">
      <c r="B127" s="130"/>
      <c r="C127" s="130"/>
      <c r="D127" s="130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</row>
    <row r="128" spans="2:25">
      <c r="B128" s="130"/>
      <c r="C128" s="130"/>
      <c r="D128" s="130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</row>
    <row r="129" spans="2:25">
      <c r="B129" s="130"/>
      <c r="C129" s="130"/>
      <c r="D129" s="130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</row>
    <row r="130" spans="2:25">
      <c r="B130" s="130"/>
      <c r="C130" s="130"/>
      <c r="D130" s="130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</row>
    <row r="131" spans="2:25">
      <c r="B131" s="130"/>
      <c r="C131" s="130"/>
      <c r="D131" s="130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</row>
    <row r="132" spans="2:25">
      <c r="B132" s="130"/>
      <c r="C132" s="130"/>
      <c r="D132" s="130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</row>
    <row r="133" spans="2:25">
      <c r="B133" s="130"/>
      <c r="C133" s="130"/>
      <c r="D133" s="130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</row>
    <row r="134" spans="2:25">
      <c r="B134" s="130"/>
      <c r="C134" s="130"/>
      <c r="D134" s="130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</row>
    <row r="135" spans="2:25">
      <c r="B135" s="130"/>
      <c r="C135" s="130"/>
      <c r="D135" s="130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</row>
    <row r="136" spans="2:25">
      <c r="B136" s="130"/>
      <c r="C136" s="130"/>
      <c r="D136" s="130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</row>
    <row r="137" spans="2:25">
      <c r="B137" s="130"/>
      <c r="C137" s="130"/>
      <c r="D137" s="130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</row>
    <row r="138" spans="2:25">
      <c r="B138" s="130"/>
      <c r="C138" s="130"/>
      <c r="D138" s="130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</row>
    <row r="139" spans="2:25">
      <c r="B139" s="134"/>
      <c r="C139" s="134"/>
      <c r="D139" s="13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</row>
    <row r="140" spans="2:25">
      <c r="B140" s="55"/>
      <c r="C140" s="55"/>
      <c r="D140" s="5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</row>
    <row r="141" spans="2:25">
      <c r="B141" s="55"/>
      <c r="C141" s="55"/>
      <c r="D141" s="5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</row>
    <row r="142" spans="2:25">
      <c r="B142" s="55"/>
      <c r="C142" s="55"/>
      <c r="D142" s="5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</row>
    <row r="143" spans="2:25">
      <c r="B143" s="55"/>
      <c r="C143" s="55"/>
      <c r="D143" s="5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</row>
    <row r="144" spans="2:25">
      <c r="B144" s="55"/>
      <c r="C144" s="55"/>
      <c r="D144" s="5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</row>
    <row r="145" spans="2:25">
      <c r="B145" s="55"/>
      <c r="C145" s="55"/>
      <c r="D145" s="5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</row>
    <row r="146" spans="2:25">
      <c r="B146" s="55"/>
      <c r="C146" s="55"/>
      <c r="D146" s="5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</row>
    <row r="147" spans="2:25">
      <c r="B147" s="55"/>
      <c r="C147" s="55"/>
      <c r="D147" s="5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</row>
    <row r="148" spans="2:25">
      <c r="B148" s="55"/>
      <c r="C148" s="55"/>
      <c r="D148" s="5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</row>
    <row r="149" spans="2:25">
      <c r="B149" s="55"/>
      <c r="C149" s="55"/>
      <c r="D149" s="5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</row>
    <row r="150" spans="2:25">
      <c r="B150" s="55"/>
      <c r="C150" s="55"/>
      <c r="D150" s="5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</row>
    <row r="151" spans="2:25">
      <c r="B151" s="55"/>
      <c r="C151" s="55"/>
      <c r="D151" s="5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</row>
    <row r="152" spans="2:25">
      <c r="B152" s="55"/>
      <c r="C152" s="55"/>
      <c r="D152" s="5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</row>
    <row r="153" spans="2:25">
      <c r="B153" s="55"/>
      <c r="C153" s="55"/>
      <c r="D153" s="5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</row>
    <row r="154" spans="2:25">
      <c r="B154" s="55"/>
      <c r="C154" s="55"/>
      <c r="D154" s="5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</row>
    <row r="155" spans="2:25">
      <c r="B155" s="55"/>
      <c r="C155" s="55"/>
      <c r="D155" s="5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</row>
    <row r="156" spans="2:25">
      <c r="B156" s="55"/>
      <c r="C156" s="55"/>
      <c r="D156" s="5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</row>
    <row r="157" spans="2:25">
      <c r="B157" s="55"/>
      <c r="C157" s="55"/>
      <c r="D157" s="5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</row>
    <row r="158" spans="2:25">
      <c r="B158" s="55"/>
      <c r="C158" s="55"/>
      <c r="D158" s="5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</row>
    <row r="159" spans="2:25">
      <c r="B159" s="55"/>
      <c r="C159" s="55"/>
      <c r="D159" s="5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</row>
    <row r="160" spans="2:25">
      <c r="B160" s="55"/>
      <c r="C160" s="55"/>
      <c r="D160" s="5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</row>
    <row r="161" spans="2:25">
      <c r="B161" s="55"/>
      <c r="C161" s="55"/>
      <c r="D161" s="5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</row>
    <row r="162" spans="2:25">
      <c r="B162" s="55"/>
      <c r="C162" s="55"/>
      <c r="D162" s="5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</row>
    <row r="163" spans="2:25">
      <c r="B163" s="55"/>
      <c r="C163" s="55"/>
      <c r="D163" s="5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</row>
    <row r="164" spans="2:25">
      <c r="B164" s="55"/>
      <c r="C164" s="55"/>
      <c r="D164" s="5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</row>
    <row r="165" spans="2:25">
      <c r="B165" s="55"/>
      <c r="C165" s="55"/>
      <c r="D165" s="5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</row>
    <row r="166" spans="2:25">
      <c r="B166" s="55"/>
      <c r="C166" s="55"/>
      <c r="D166" s="5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</row>
    <row r="167" spans="2:25">
      <c r="B167" s="55"/>
      <c r="C167" s="55"/>
      <c r="D167" s="5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</row>
    <row r="168" spans="2:25">
      <c r="B168" s="55"/>
      <c r="C168" s="55"/>
      <c r="D168" s="5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</row>
    <row r="169" spans="2:25">
      <c r="B169" s="55"/>
      <c r="C169" s="55"/>
      <c r="D169" s="5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</row>
    <row r="170" spans="2:25">
      <c r="B170" s="55"/>
      <c r="C170" s="55"/>
      <c r="D170" s="5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</row>
    <row r="171" spans="2:25">
      <c r="B171" s="55"/>
      <c r="C171" s="55"/>
      <c r="D171" s="5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</row>
    <row r="172" spans="2:25">
      <c r="B172" s="55"/>
      <c r="C172" s="55"/>
      <c r="D172" s="5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</row>
    <row r="173" spans="2:25">
      <c r="B173" s="55"/>
      <c r="C173" s="55"/>
      <c r="D173" s="5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</row>
    <row r="174" spans="2:25">
      <c r="B174" s="55"/>
      <c r="C174" s="55"/>
      <c r="D174" s="5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</row>
    <row r="175" spans="2:25">
      <c r="B175" s="55"/>
      <c r="C175" s="55"/>
      <c r="D175" s="5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</row>
    <row r="176" spans="2:25">
      <c r="B176" s="55"/>
      <c r="C176" s="55"/>
      <c r="D176" s="5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</row>
    <row r="177" spans="2:25">
      <c r="B177" s="55"/>
      <c r="C177" s="55"/>
      <c r="D177" s="5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</row>
    <row r="178" spans="2:25">
      <c r="B178" s="55"/>
      <c r="C178" s="55"/>
      <c r="D178" s="5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</row>
    <row r="179" spans="2:25">
      <c r="B179" s="55"/>
      <c r="C179" s="55"/>
      <c r="D179" s="5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</row>
  </sheetData>
  <mergeCells count="6">
    <mergeCell ref="B26:I26"/>
    <mergeCell ref="A1:S1"/>
    <mergeCell ref="A10:C10"/>
    <mergeCell ref="A22:E22"/>
    <mergeCell ref="A23:E23"/>
    <mergeCell ref="A24:E24"/>
  </mergeCells>
  <printOptions horizontalCentered="1"/>
  <pageMargins left="0.7" right="0.7" top="0.75" bottom="0.75" header="0.3" footer="0.3"/>
  <pageSetup paperSize="3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47A1-972B-407A-A15A-8034B5F485F8}">
  <dimension ref="A1:L54"/>
  <sheetViews>
    <sheetView zoomScale="90" zoomScaleNormal="90" workbookViewId="0">
      <selection activeCell="B4" sqref="B4"/>
    </sheetView>
  </sheetViews>
  <sheetFormatPr defaultColWidth="9.140625" defaultRowHeight="15"/>
  <cols>
    <col min="1" max="1" width="38.7109375" style="3" customWidth="1"/>
    <col min="2" max="2" width="26.28515625" style="5" customWidth="1"/>
    <col min="3" max="4" width="15.5703125" style="3" customWidth="1"/>
    <col min="5" max="5" width="64.7109375" style="2" customWidth="1"/>
    <col min="6" max="6" width="13.85546875" style="3" customWidth="1"/>
    <col min="7" max="8" width="9.140625" style="3"/>
    <col min="9" max="9" width="41.42578125" style="3" customWidth="1"/>
    <col min="10" max="10" width="11.85546875" style="3" customWidth="1"/>
    <col min="11" max="11" width="15.5703125" style="3" customWidth="1"/>
    <col min="12" max="16384" width="9.140625" style="3"/>
  </cols>
  <sheetData>
    <row r="1" spans="1:12">
      <c r="A1" s="6" t="s">
        <v>158</v>
      </c>
      <c r="B1" s="8">
        <v>405141</v>
      </c>
      <c r="C1" s="6" t="s">
        <v>159</v>
      </c>
      <c r="D1" s="6"/>
      <c r="E1" s="7"/>
    </row>
    <row r="2" spans="1:12">
      <c r="I2" s="30"/>
    </row>
    <row r="3" spans="1:12" s="4" customFormat="1">
      <c r="A3" s="9" t="s">
        <v>160</v>
      </c>
      <c r="B3" s="10" t="s">
        <v>99</v>
      </c>
      <c r="C3" s="9" t="s">
        <v>161</v>
      </c>
      <c r="D3" s="9" t="s">
        <v>162</v>
      </c>
      <c r="E3" s="11" t="s">
        <v>163</v>
      </c>
      <c r="I3" s="41"/>
    </row>
    <row r="4" spans="1:12" ht="28.5" customHeight="1">
      <c r="A4" s="33" t="s">
        <v>164</v>
      </c>
      <c r="B4" s="20">
        <f t="shared" ref="B4:B7" si="0">C4+D4</f>
        <v>1850000</v>
      </c>
      <c r="C4" s="20">
        <v>1750000</v>
      </c>
      <c r="D4" s="20">
        <v>100000</v>
      </c>
      <c r="E4" s="15" t="s">
        <v>165</v>
      </c>
      <c r="I4" s="41"/>
      <c r="J4" s="42"/>
      <c r="K4" s="43"/>
      <c r="L4" s="42"/>
    </row>
    <row r="5" spans="1:12">
      <c r="A5" s="33" t="s">
        <v>166</v>
      </c>
      <c r="B5" s="20">
        <f t="shared" si="0"/>
        <v>30000</v>
      </c>
      <c r="C5" s="39"/>
      <c r="D5" s="20">
        <v>30000</v>
      </c>
      <c r="E5" s="15" t="s">
        <v>167</v>
      </c>
    </row>
    <row r="6" spans="1:12">
      <c r="A6" s="33" t="s">
        <v>168</v>
      </c>
      <c r="B6" s="20">
        <f t="shared" si="0"/>
        <v>30000</v>
      </c>
      <c r="C6" s="39"/>
      <c r="D6" s="20">
        <v>30000</v>
      </c>
      <c r="E6" s="15" t="s">
        <v>167</v>
      </c>
    </row>
    <row r="7" spans="1:12" ht="30">
      <c r="A7" s="33" t="s">
        <v>169</v>
      </c>
      <c r="B7" s="20">
        <f t="shared" si="0"/>
        <v>575000</v>
      </c>
      <c r="C7" s="20">
        <v>500000</v>
      </c>
      <c r="D7" s="20">
        <v>75000</v>
      </c>
      <c r="E7" s="15" t="s">
        <v>170</v>
      </c>
      <c r="F7" s="29"/>
    </row>
    <row r="8" spans="1:12">
      <c r="A8" s="33" t="s">
        <v>171</v>
      </c>
      <c r="B8" s="20">
        <f>SUM(C8:D8)</f>
        <v>0</v>
      </c>
      <c r="C8" s="20"/>
      <c r="D8" s="20">
        <v>0</v>
      </c>
      <c r="E8" s="14" t="s">
        <v>172</v>
      </c>
    </row>
    <row r="9" spans="1:12">
      <c r="A9" s="33" t="s">
        <v>173</v>
      </c>
      <c r="B9" s="20">
        <f>SUM(C9:D9)</f>
        <v>115000</v>
      </c>
      <c r="C9" s="20">
        <v>100000</v>
      </c>
      <c r="D9" s="20">
        <v>15000</v>
      </c>
      <c r="E9" s="14" t="s">
        <v>174</v>
      </c>
    </row>
    <row r="10" spans="1:12">
      <c r="A10" s="33" t="s">
        <v>175</v>
      </c>
      <c r="B10" s="20">
        <f>SUM(C10:D10)</f>
        <v>200000</v>
      </c>
      <c r="C10" s="20">
        <v>150000</v>
      </c>
      <c r="D10" s="20">
        <v>50000</v>
      </c>
      <c r="E10" s="14" t="s">
        <v>176</v>
      </c>
      <c r="F10" s="29"/>
    </row>
    <row r="11" spans="1:12">
      <c r="A11" s="33" t="s">
        <v>177</v>
      </c>
      <c r="B11" s="20">
        <f>C11+D11</f>
        <v>250000</v>
      </c>
      <c r="C11" s="20">
        <v>150000</v>
      </c>
      <c r="D11" s="20">
        <v>100000</v>
      </c>
      <c r="E11" s="15" t="s">
        <v>178</v>
      </c>
    </row>
    <row r="12" spans="1:12" ht="15.75" customHeight="1">
      <c r="A12" s="33" t="s">
        <v>60</v>
      </c>
      <c r="B12" s="20">
        <f t="shared" ref="B12:B18" si="1">SUM(C12:D12)</f>
        <v>100000</v>
      </c>
      <c r="C12" s="20">
        <v>50000</v>
      </c>
      <c r="D12" s="20">
        <v>50000</v>
      </c>
      <c r="E12" s="1" t="s">
        <v>179</v>
      </c>
      <c r="F12" s="31"/>
    </row>
    <row r="13" spans="1:12" ht="15.75" customHeight="1">
      <c r="A13" s="33" t="s">
        <v>180</v>
      </c>
      <c r="B13" s="20">
        <f t="shared" ref="B13" si="2">SUM(C13:D13)</f>
        <v>100000</v>
      </c>
      <c r="C13" s="20">
        <v>25000</v>
      </c>
      <c r="D13" s="20">
        <v>75000</v>
      </c>
      <c r="E13" s="1" t="s">
        <v>181</v>
      </c>
      <c r="F13" s="31"/>
    </row>
    <row r="14" spans="1:12" ht="30.95" customHeight="1">
      <c r="A14" s="33" t="s">
        <v>182</v>
      </c>
      <c r="B14" s="20">
        <f t="shared" si="1"/>
        <v>350000</v>
      </c>
      <c r="C14" s="20">
        <v>250000</v>
      </c>
      <c r="D14" s="20">
        <v>100000</v>
      </c>
      <c r="E14" s="15" t="s">
        <v>183</v>
      </c>
      <c r="F14" s="29"/>
    </row>
    <row r="15" spans="1:12">
      <c r="A15" s="33" t="s">
        <v>35</v>
      </c>
      <c r="B15" s="20">
        <f t="shared" ref="B15:B17" si="3">SUM(C15:D15)</f>
        <v>100000</v>
      </c>
      <c r="C15" s="40">
        <v>100000</v>
      </c>
      <c r="D15" s="20"/>
      <c r="E15" s="14" t="s">
        <v>184</v>
      </c>
    </row>
    <row r="16" spans="1:12" ht="15" customHeight="1">
      <c r="A16" s="33" t="s">
        <v>185</v>
      </c>
      <c r="B16" s="20">
        <f t="shared" si="1"/>
        <v>50000</v>
      </c>
      <c r="C16" s="20"/>
      <c r="D16" s="20">
        <v>50000</v>
      </c>
      <c r="E16" s="15" t="s">
        <v>186</v>
      </c>
    </row>
    <row r="17" spans="1:11">
      <c r="A17" s="33" t="s">
        <v>78</v>
      </c>
      <c r="B17" s="20">
        <f t="shared" si="3"/>
        <v>75000</v>
      </c>
      <c r="C17" s="17"/>
      <c r="D17" s="20">
        <v>75000</v>
      </c>
      <c r="E17" s="15" t="s">
        <v>187</v>
      </c>
      <c r="I17" s="41"/>
      <c r="J17" s="4"/>
      <c r="K17" s="4"/>
    </row>
    <row r="18" spans="1:11">
      <c r="A18" s="34" t="s">
        <v>188</v>
      </c>
      <c r="B18" s="16">
        <f t="shared" si="1"/>
        <v>0</v>
      </c>
      <c r="C18" s="17"/>
      <c r="D18" s="17"/>
      <c r="E18" s="13"/>
    </row>
    <row r="19" spans="1:11">
      <c r="A19" s="12" t="s">
        <v>189</v>
      </c>
      <c r="B19" s="18">
        <f>SUM(C19:D19)</f>
        <v>3825000</v>
      </c>
      <c r="C19" s="19">
        <f>SUM(C4:C17)</f>
        <v>3075000</v>
      </c>
      <c r="D19" s="19">
        <f>SUM(D4:D17)</f>
        <v>750000</v>
      </c>
    </row>
    <row r="20" spans="1:11">
      <c r="I20" s="41"/>
      <c r="J20" s="4"/>
      <c r="K20" s="4"/>
    </row>
    <row r="21" spans="1:11">
      <c r="A21" s="4" t="s">
        <v>190</v>
      </c>
    </row>
    <row r="22" spans="1:11">
      <c r="E22" s="30"/>
      <c r="I22" s="41"/>
      <c r="J22" s="4"/>
      <c r="K22" s="4"/>
    </row>
    <row r="24" spans="1:11">
      <c r="B24" s="181" t="s">
        <v>191</v>
      </c>
      <c r="C24" s="181"/>
      <c r="D24" s="181"/>
      <c r="E24" s="181"/>
      <c r="I24" s="41"/>
      <c r="J24" s="4"/>
      <c r="K24" s="4"/>
    </row>
    <row r="25" spans="1:11">
      <c r="B25" s="24" t="s">
        <v>26</v>
      </c>
      <c r="C25" s="25"/>
      <c r="D25" s="26">
        <v>2024</v>
      </c>
      <c r="E25" s="27" t="s">
        <v>192</v>
      </c>
    </row>
    <row r="26" spans="1:11">
      <c r="B26" s="23" t="s">
        <v>193</v>
      </c>
      <c r="C26" s="21"/>
      <c r="D26" s="21">
        <f>(SUM(D4,D5,D6,D8))*(1)</f>
        <v>160000</v>
      </c>
      <c r="E26" s="35" t="s">
        <v>194</v>
      </c>
      <c r="I26" s="41"/>
      <c r="J26" s="4"/>
      <c r="K26" s="4"/>
    </row>
    <row r="27" spans="1:11">
      <c r="B27" s="23" t="s">
        <v>195</v>
      </c>
      <c r="C27" s="22"/>
      <c r="D27" s="22">
        <f>(SUM(D7))*(1)</f>
        <v>75000</v>
      </c>
      <c r="E27" s="35" t="s">
        <v>196</v>
      </c>
    </row>
    <row r="28" spans="1:11">
      <c r="B28" s="23" t="s">
        <v>197</v>
      </c>
      <c r="C28" s="22"/>
      <c r="D28" s="22">
        <f>(SUM(D10+D9))*(1)</f>
        <v>65000</v>
      </c>
      <c r="E28" s="36" t="s">
        <v>198</v>
      </c>
    </row>
    <row r="29" spans="1:11">
      <c r="B29" s="23" t="s">
        <v>199</v>
      </c>
      <c r="C29" s="22"/>
      <c r="D29" s="22">
        <f>(SUM(D11))*(1)</f>
        <v>100000</v>
      </c>
      <c r="E29" s="35" t="s">
        <v>177</v>
      </c>
    </row>
    <row r="30" spans="1:11">
      <c r="B30" s="23" t="s">
        <v>60</v>
      </c>
      <c r="C30" s="22"/>
      <c r="D30" s="22">
        <f>SUM(D12+D13)*(1)</f>
        <v>125000</v>
      </c>
      <c r="E30" s="35" t="s">
        <v>60</v>
      </c>
    </row>
    <row r="31" spans="1:11">
      <c r="B31" s="5" t="s">
        <v>200</v>
      </c>
      <c r="C31" s="22"/>
      <c r="D31" s="22">
        <f>(SUM(D14))*(1)</f>
        <v>100000</v>
      </c>
      <c r="E31" s="35" t="s">
        <v>201</v>
      </c>
      <c r="I31" s="44"/>
      <c r="J31" s="45"/>
    </row>
    <row r="32" spans="1:11">
      <c r="B32" s="5" t="s">
        <v>35</v>
      </c>
      <c r="C32" s="22"/>
      <c r="D32" s="22">
        <f>(SUM(D15,D16,D17)*(1))</f>
        <v>125000</v>
      </c>
      <c r="E32" s="35" t="s">
        <v>202</v>
      </c>
      <c r="I32" s="4"/>
      <c r="J32" s="46"/>
    </row>
    <row r="33" spans="2:10">
      <c r="E33" s="37"/>
      <c r="J33" s="47"/>
    </row>
    <row r="34" spans="2:10">
      <c r="B34" s="23" t="s">
        <v>203</v>
      </c>
      <c r="C34" s="21"/>
      <c r="D34" s="21">
        <f>SUM(D26:D32)</f>
        <v>750000</v>
      </c>
      <c r="E34" s="37"/>
    </row>
    <row r="35" spans="2:10">
      <c r="E35" s="37"/>
      <c r="I35" s="41"/>
      <c r="J35" s="48"/>
    </row>
    <row r="36" spans="2:10">
      <c r="B36" s="28" t="s">
        <v>102</v>
      </c>
      <c r="C36" s="179">
        <f>SUM(C34:D34)</f>
        <v>750000</v>
      </c>
      <c r="D36" s="180"/>
      <c r="E36" s="37"/>
      <c r="J36" s="22"/>
    </row>
    <row r="37" spans="2:10">
      <c r="J37" s="22"/>
    </row>
    <row r="38" spans="2:10">
      <c r="I38" s="49"/>
    </row>
    <row r="39" spans="2:10">
      <c r="B39" s="181" t="s">
        <v>204</v>
      </c>
      <c r="C39" s="181"/>
      <c r="D39" s="181"/>
      <c r="E39" s="181"/>
      <c r="I39" s="50"/>
      <c r="J39" s="51"/>
    </row>
    <row r="40" spans="2:10">
      <c r="B40" s="24" t="s">
        <v>26</v>
      </c>
      <c r="C40" s="25"/>
      <c r="D40" s="26">
        <v>2024</v>
      </c>
      <c r="E40" s="27" t="s">
        <v>192</v>
      </c>
      <c r="I40" s="50"/>
      <c r="J40" s="51"/>
    </row>
    <row r="41" spans="2:10">
      <c r="B41" s="23" t="s">
        <v>193</v>
      </c>
      <c r="C41" s="21"/>
      <c r="D41" s="22">
        <f>(SUM(C4))*(1)</f>
        <v>1750000</v>
      </c>
      <c r="E41" s="35" t="s">
        <v>205</v>
      </c>
    </row>
    <row r="42" spans="2:10">
      <c r="B42" s="23" t="s">
        <v>195</v>
      </c>
      <c r="C42" s="22"/>
      <c r="D42" s="22">
        <f>(SUM(C7))*(1)</f>
        <v>500000</v>
      </c>
      <c r="E42" s="35" t="s">
        <v>206</v>
      </c>
      <c r="J42" s="47"/>
    </row>
    <row r="43" spans="2:10">
      <c r="B43" s="23" t="s">
        <v>197</v>
      </c>
      <c r="C43" s="22"/>
      <c r="D43" s="22">
        <f>(SUM(C10+C9))*(1)</f>
        <v>250000</v>
      </c>
      <c r="E43" s="35" t="s">
        <v>198</v>
      </c>
    </row>
    <row r="44" spans="2:10">
      <c r="B44" s="23" t="s">
        <v>199</v>
      </c>
      <c r="C44" s="22"/>
      <c r="D44" s="22">
        <f>(SUM(C11))*(1)</f>
        <v>150000</v>
      </c>
      <c r="E44" s="35" t="s">
        <v>177</v>
      </c>
    </row>
    <row r="45" spans="2:10">
      <c r="B45" s="23" t="s">
        <v>60</v>
      </c>
      <c r="C45" s="22"/>
      <c r="D45" s="22">
        <f>(SUM(C12+C13))*(1)</f>
        <v>75000</v>
      </c>
      <c r="E45" s="35" t="s">
        <v>60</v>
      </c>
    </row>
    <row r="46" spans="2:10">
      <c r="B46" s="5" t="s">
        <v>200</v>
      </c>
      <c r="C46" s="22"/>
      <c r="D46" s="22">
        <f>(SUM(C14))*(1)</f>
        <v>250000</v>
      </c>
      <c r="E46" s="35" t="s">
        <v>201</v>
      </c>
    </row>
    <row r="47" spans="2:10">
      <c r="B47" s="5" t="s">
        <v>35</v>
      </c>
      <c r="C47" s="22"/>
      <c r="D47" s="22">
        <f>(SUM(C15:C17))*(1)</f>
        <v>100000</v>
      </c>
      <c r="E47" s="35" t="s">
        <v>35</v>
      </c>
    </row>
    <row r="48" spans="2:10">
      <c r="E48" s="37"/>
    </row>
    <row r="49" spans="2:5">
      <c r="B49" s="23" t="s">
        <v>203</v>
      </c>
      <c r="C49" s="21"/>
      <c r="D49" s="21">
        <f>SUM(D41:D47)</f>
        <v>3075000</v>
      </c>
      <c r="E49" s="37"/>
    </row>
    <row r="50" spans="2:5">
      <c r="E50" s="37"/>
    </row>
    <row r="51" spans="2:5">
      <c r="B51" s="28" t="s">
        <v>102</v>
      </c>
      <c r="C51" s="179">
        <f>SUM(C49:D49)</f>
        <v>3075000</v>
      </c>
      <c r="D51" s="180"/>
    </row>
    <row r="54" spans="2:5">
      <c r="B54" s="178" t="s">
        <v>102</v>
      </c>
      <c r="C54" s="178"/>
      <c r="D54" s="32">
        <f>C36+C51</f>
        <v>3825000</v>
      </c>
      <c r="E54" s="38" t="s">
        <v>207</v>
      </c>
    </row>
  </sheetData>
  <mergeCells count="5">
    <mergeCell ref="B54:C54"/>
    <mergeCell ref="C36:D36"/>
    <mergeCell ref="B24:E24"/>
    <mergeCell ref="B39:E39"/>
    <mergeCell ref="C51:D5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73E45F009DF438B06818911550207" ma:contentTypeVersion="16" ma:contentTypeDescription="Create a new document." ma:contentTypeScope="" ma:versionID="fbf68a7d611df1f4ff000cdd29bd78fd">
  <xsd:schema xmlns:xsd="http://www.w3.org/2001/XMLSchema" xmlns:xs="http://www.w3.org/2001/XMLSchema" xmlns:p="http://schemas.microsoft.com/office/2006/metadata/properties" xmlns:ns2="b9d33f9f-bda1-4ffa-b14f-5fffa78b3f3d" xmlns:ns3="a8344f10-eb9d-497a-9abf-9ab5ec431dcc" targetNamespace="http://schemas.microsoft.com/office/2006/metadata/properties" ma:root="true" ma:fieldsID="58c97be333db0b09d9c379cd1a35fe71" ns2:_="" ns3:_="">
    <xsd:import namespace="b9d33f9f-bda1-4ffa-b14f-5fffa78b3f3d"/>
    <xsd:import namespace="a8344f10-eb9d-497a-9abf-9ab5ec431d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33f9f-bda1-4ffa-b14f-5fffa78b3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c73404c-21bf-4c61-9cc0-b139490ad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44f10-eb9d-497a-9abf-9ab5ec431dc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3586ee6-cf31-41a5-a6a8-6a628376cc10}" ma:internalName="TaxCatchAll" ma:showField="CatchAllData" ma:web="a8344f10-eb9d-497a-9abf-9ab5ec431d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344f10-eb9d-497a-9abf-9ab5ec431dcc" xsi:nil="true"/>
    <lcf76f155ced4ddcb4097134ff3c332f xmlns="b9d33f9f-bda1-4ffa-b14f-5fffa78b3f3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81E8F3-714D-403F-90BE-AD17A10BA270}"/>
</file>

<file path=customXml/itemProps2.xml><?xml version="1.0" encoding="utf-8"?>
<ds:datastoreItem xmlns:ds="http://schemas.openxmlformats.org/officeDocument/2006/customXml" ds:itemID="{B110F62F-2668-4BAD-B89A-3C51E645830D}"/>
</file>

<file path=customXml/itemProps3.xml><?xml version="1.0" encoding="utf-8"?>
<ds:datastoreItem xmlns:ds="http://schemas.openxmlformats.org/officeDocument/2006/customXml" ds:itemID="{7EE1F9BA-FE48-4F1B-99F2-B74083DA32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EVERSOURCE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Caryn L Murray</dc:creator>
  <cp:keywords/>
  <dc:description/>
  <cp:lastModifiedBy/>
  <cp:revision/>
  <dcterms:created xsi:type="dcterms:W3CDTF">2021-12-01T15:32:32Z</dcterms:created>
  <dcterms:modified xsi:type="dcterms:W3CDTF">2026-06-03T18:04:58Z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0x01010057A73E45F009DF438B06818911550207</vt:lpwstr>
  </property>
  <property fmtid="{D5CDD505-2E9C-101B-9397-08002B2CF9AE}" pid="3" name="MediaServiceImageTags">
    <vt:lpwstr/>
  </property>
</Properties>
</file>