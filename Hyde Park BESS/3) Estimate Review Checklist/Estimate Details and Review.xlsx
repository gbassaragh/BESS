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nu.com\data\shareddata\Estimating-R\10) EES Projects (PROD)\Capital Program-Project\21334\Hyde Park BESS\3) Estimate Review Checklist\"/>
    </mc:Choice>
  </mc:AlternateContent>
  <xr:revisionPtr revIDLastSave="0" documentId="13_ncr:1_{B4B33ED3-D419-4804-B5B9-F1DEE5D59785}" xr6:coauthVersionLast="36" xr6:coauthVersionMax="47" xr10:uidLastSave="{00000000-0000-0000-0000-000000000000}"/>
  <bookViews>
    <workbookView xWindow="28680" yWindow="-120" windowWidth="29040" windowHeight="15720" activeTab="3" xr2:uid="{A3D7C534-2067-4024-9F56-245C3285F060}"/>
  </bookViews>
  <sheets>
    <sheet name="Info &amp; Expectations" sheetId="2" r:id="rId1"/>
    <sheet name="Estimate Basis" sheetId="4" r:id="rId2"/>
    <sheet name="Peer Review" sheetId="8" r:id="rId3"/>
    <sheet name="Lead Review" sheetId="3" r:id="rId4"/>
    <sheet name="Managerial Review" sheetId="5" r:id="rId5"/>
    <sheet name="Estimate Closeout " sheetId="10" r:id="rId6"/>
    <sheet name="Calculations" sheetId="7" r:id="rId7"/>
  </sheets>
  <externalReferences>
    <externalReference r:id="rId8"/>
    <externalReference r:id="rId9"/>
  </externalReference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544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a" localSheetId="5" hidden="1">{#N/A,#N/A,TRUE,"Task Status";#N/A,#N/A,TRUE,"Document Status";#N/A,#N/A,TRUE,"Percent Complete";#N/A,#N/A,TRUE,"Manhour Sum"}</definedName>
    <definedName name="a" hidden="1">{#N/A,#N/A,TRUE,"Task Status";#N/A,#N/A,TRUE,"Document Status";#N/A,#N/A,TRUE,"Percent Complete";#N/A,#N/A,TRUE,"Manhour Sum"}</definedName>
    <definedName name="a_1" localSheetId="5" hidden="1">{#N/A,#N/A,TRUE,"Task Status";#N/A,#N/A,TRUE,"Document Status";#N/A,#N/A,TRUE,"Percent Complete";#N/A,#N/A,TRUE,"Manhour Sum"}</definedName>
    <definedName name="a_1" hidden="1">{#N/A,#N/A,TRUE,"Task Status";#N/A,#N/A,TRUE,"Document Status";#N/A,#N/A,TRUE,"Percent Complete";#N/A,#N/A,TRUE,"Manhour Sum"}</definedName>
    <definedName name="a_2" localSheetId="5" hidden="1">{#N/A,#N/A,TRUE,"Task Status";#N/A,#N/A,TRUE,"Document Status";#N/A,#N/A,TRUE,"Percent Complete";#N/A,#N/A,TRUE,"Manhour Sum"}</definedName>
    <definedName name="a_2" hidden="1">{#N/A,#N/A,TRUE,"Task Status";#N/A,#N/A,TRUE,"Document Status";#N/A,#N/A,TRUE,"Percent Complete";#N/A,#N/A,TRUE,"Manhour Sum"}</definedName>
    <definedName name="aa" localSheetId="5" hidden="1">{#N/A,#N/A,TRUE,"Task Status";#N/A,#N/A,TRUE,"Document Status";#N/A,#N/A,TRUE,"Percent Complete";#N/A,#N/A,TRUE,"Manhour Sum"}</definedName>
    <definedName name="aa" hidden="1">{#N/A,#N/A,TRUE,"Task Status";#N/A,#N/A,TRUE,"Document Status";#N/A,#N/A,TRUE,"Percent Complete";#N/A,#N/A,TRUE,"Manhour Sum"}</definedName>
    <definedName name="aa_1" localSheetId="5" hidden="1">{#N/A,#N/A,TRUE,"Task Status";#N/A,#N/A,TRUE,"Document Status";#N/A,#N/A,TRUE,"Percent Complete";#N/A,#N/A,TRUE,"Manhour Sum"}</definedName>
    <definedName name="aa_1" hidden="1">{#N/A,#N/A,TRUE,"Task Status";#N/A,#N/A,TRUE,"Document Status";#N/A,#N/A,TRUE,"Percent Complete";#N/A,#N/A,TRUE,"Manhour Sum"}</definedName>
    <definedName name="aa_2" localSheetId="5" hidden="1">{#N/A,#N/A,TRUE,"Task Status";#N/A,#N/A,TRUE,"Document Status";#N/A,#N/A,TRUE,"Percent Complete";#N/A,#N/A,TRUE,"Manhour Sum"}</definedName>
    <definedName name="aa_2" hidden="1">{#N/A,#N/A,TRUE,"Task Status";#N/A,#N/A,TRUE,"Document Status";#N/A,#N/A,TRUE,"Percent Complete";#N/A,#N/A,TRUE,"Manhour Sum"}</definedName>
    <definedName name="aaaa" localSheetId="5" hidden="1">{#N/A,#N/A,FALSE,"Sum6 (1)"}</definedName>
    <definedName name="aaaa" hidden="1">{#N/A,#N/A,FALSE,"Sum6 (1)"}</definedName>
    <definedName name="aaaa_1" localSheetId="5" hidden="1">{#N/A,#N/A,FALSE,"Sum6 (1)"}</definedName>
    <definedName name="aaaa_1" hidden="1">{#N/A,#N/A,FALSE,"Sum6 (1)"}</definedName>
    <definedName name="aaaa_2" localSheetId="5" hidden="1">{#N/A,#N/A,FALSE,"Sum6 (1)"}</definedName>
    <definedName name="aaaa_2" hidden="1">{#N/A,#N/A,FALSE,"Sum6 (1)"}</definedName>
    <definedName name="ab" localSheetId="5" hidden="1">{#N/A,#N/A,TRUE,"Task Status";#N/A,#N/A,TRUE,"Document Status";#N/A,#N/A,TRUE,"Percent Complete";#N/A,#N/A,TRUE,"Manhour Sum"}</definedName>
    <definedName name="ab" hidden="1">{#N/A,#N/A,TRUE,"Task Status";#N/A,#N/A,TRUE,"Document Status";#N/A,#N/A,TRUE,"Percent Complete";#N/A,#N/A,TRUE,"Manhour Sum"}</definedName>
    <definedName name="abcd" localSheetId="5" hidden="1">{#N/A,#N/A,TRUE,"Task Status";#N/A,#N/A,TRUE,"Document Status";#N/A,#N/A,TRUE,"Percent Complete";#N/A,#N/A,TRUE,"Manhour Sum"}</definedName>
    <definedName name="abcd" hidden="1">{#N/A,#N/A,TRUE,"Task Status";#N/A,#N/A,TRUE,"Document Status";#N/A,#N/A,TRUE,"Percent Complete";#N/A,#N/A,TRUE,"Manhour Sum"}</definedName>
    <definedName name="abcd_1" localSheetId="5" hidden="1">{#N/A,#N/A,TRUE,"Task Status";#N/A,#N/A,TRUE,"Document Status";#N/A,#N/A,TRUE,"Percent Complete";#N/A,#N/A,TRUE,"Manhour Sum"}</definedName>
    <definedName name="abcd_1" hidden="1">{#N/A,#N/A,TRUE,"Task Status";#N/A,#N/A,TRUE,"Document Status";#N/A,#N/A,TRUE,"Percent Complete";#N/A,#N/A,TRUE,"Manhour Sum"}</definedName>
    <definedName name="abcd_2" localSheetId="5" hidden="1">{#N/A,#N/A,TRUE,"Task Status";#N/A,#N/A,TRUE,"Document Status";#N/A,#N/A,TRUE,"Percent Complete";#N/A,#N/A,TRUE,"Manhour Sum"}</definedName>
    <definedName name="abcd_2" hidden="1">{#N/A,#N/A,TRUE,"Task Status";#N/A,#N/A,TRUE,"Document Status";#N/A,#N/A,TRUE,"Percent Complete";#N/A,#N/A,TRUE,"Manhour Sum"}</definedName>
    <definedName name="alpha" localSheetId="5" hidden="1">{#N/A,#N/A,FALSE,"Sum6 (1)"}</definedName>
    <definedName name="alpha" hidden="1">{#N/A,#N/A,FALSE,"Sum6 (1)"}</definedName>
    <definedName name="ana" localSheetId="5" hidden="1">{#N/A,#N/A,TRUE,"Task Status";#N/A,#N/A,TRUE,"Document Status";#N/A,#N/A,TRUE,"Percent Complete";#N/A,#N/A,TRUE,"Manhour Sum"}</definedName>
    <definedName name="ana" hidden="1">{#N/A,#N/A,TRUE,"Task Status";#N/A,#N/A,TRUE,"Document Status";#N/A,#N/A,TRUE,"Percent Complete";#N/A,#N/A,TRUE,"Manhour Sum"}</definedName>
    <definedName name="ana_1" localSheetId="5" hidden="1">{#N/A,#N/A,TRUE,"Task Status";#N/A,#N/A,TRUE,"Document Status";#N/A,#N/A,TRUE,"Percent Complete";#N/A,#N/A,TRUE,"Manhour Sum"}</definedName>
    <definedName name="ana_1" hidden="1">{#N/A,#N/A,TRUE,"Task Status";#N/A,#N/A,TRUE,"Document Status";#N/A,#N/A,TRUE,"Percent Complete";#N/A,#N/A,TRUE,"Manhour Sum"}</definedName>
    <definedName name="ana_2" localSheetId="5" hidden="1">{#N/A,#N/A,TRUE,"Task Status";#N/A,#N/A,TRUE,"Document Status";#N/A,#N/A,TRUE,"Percent Complete";#N/A,#N/A,TRUE,"Manhour Sum"}</definedName>
    <definedName name="ana_2" hidden="1">{#N/A,#N/A,TRUE,"Task Status";#N/A,#N/A,TRUE,"Document Status";#N/A,#N/A,TRUE,"Percent Complete";#N/A,#N/A,TRUE,"Manhour Sum"}</definedName>
    <definedName name="asdfasdg" localSheetId="5" hidden="1">{#N/A,#N/A,TRUE,"Task Status";#N/A,#N/A,TRUE,"Document Status";#N/A,#N/A,TRUE,"Percent Complete";#N/A,#N/A,TRUE,"Manhour Sum"}</definedName>
    <definedName name="asdfasdg" hidden="1">{#N/A,#N/A,TRUE,"Task Status";#N/A,#N/A,TRUE,"Document Status";#N/A,#N/A,TRUE,"Percent Complete";#N/A,#N/A,TRUE,"Manhour Sum"}</definedName>
    <definedName name="asfasdfasdf" localSheetId="5" hidden="1">{#N/A,#N/A,FALSE,"Sum6 (1)"}</definedName>
    <definedName name="asfasdfasdf" hidden="1">{#N/A,#N/A,FALSE,"Sum6 (1)"}</definedName>
    <definedName name="AsSoldExcRev" localSheetId="5" hidden="1">{#N/A,#N/A,FALSE,"Sum6 (1)"}</definedName>
    <definedName name="AsSoldExcRev" hidden="1">{#N/A,#N/A,FALSE,"Sum6 (1)"}</definedName>
    <definedName name="AsSoldExcRev_1" localSheetId="5" hidden="1">{#N/A,#N/A,FALSE,"Sum6 (1)"}</definedName>
    <definedName name="AsSoldExcRev_1" hidden="1">{#N/A,#N/A,FALSE,"Sum6 (1)"}</definedName>
    <definedName name="AsSoldExcRev_2" localSheetId="5" hidden="1">{#N/A,#N/A,FALSE,"Sum6 (1)"}</definedName>
    <definedName name="AsSoldExcRev_2" hidden="1">{#N/A,#N/A,FALSE,"Sum6 (1)"}</definedName>
    <definedName name="b" localSheetId="5" hidden="1">{#N/A,#N/A,TRUE,"Task Status";#N/A,#N/A,TRUE,"Document Status";#N/A,#N/A,TRUE,"Percent Complete";#N/A,#N/A,TRUE,"Manhour Sum"}</definedName>
    <definedName name="b" hidden="1">{#N/A,#N/A,TRUE,"Task Status";#N/A,#N/A,TRUE,"Document Status";#N/A,#N/A,TRUE,"Percent Complete";#N/A,#N/A,TRUE,"Manhour Sum"}</definedName>
    <definedName name="b_1" localSheetId="5" hidden="1">{#N/A,#N/A,TRUE,"Task Status";#N/A,#N/A,TRUE,"Document Status";#N/A,#N/A,TRUE,"Percent Complete";#N/A,#N/A,TRUE,"Manhour Sum"}</definedName>
    <definedName name="b_1" hidden="1">{#N/A,#N/A,TRUE,"Task Status";#N/A,#N/A,TRUE,"Document Status";#N/A,#N/A,TRUE,"Percent Complete";#N/A,#N/A,TRUE,"Manhour Sum"}</definedName>
    <definedName name="b_2" localSheetId="5" hidden="1">{#N/A,#N/A,TRUE,"Task Status";#N/A,#N/A,TRUE,"Document Status";#N/A,#N/A,TRUE,"Percent Complete";#N/A,#N/A,TRUE,"Manhour Sum"}</definedName>
    <definedName name="b_2" hidden="1">{#N/A,#N/A,TRUE,"Task Status";#N/A,#N/A,TRUE,"Document Status";#N/A,#N/A,TRUE,"Percent Complete";#N/A,#N/A,TRUE,"Manhour Sum"}</definedName>
    <definedName name="BAR_Rate">'[1]Data Input sheet'!$C$62</definedName>
    <definedName name="Bulk" localSheetId="5" hidden="1">{#N/A,#N/A,FALSE,"Sum6 (1)"}</definedName>
    <definedName name="Bulk" hidden="1">{#N/A,#N/A,FALSE,"Sum6 (1)"}</definedName>
    <definedName name="cc_1" localSheetId="5" hidden="1">{#N/A,#N/A,TRUE,"Task Status";#N/A,#N/A,TRUE,"Document Status";#N/A,#N/A,TRUE,"Percent Complete";#N/A,#N/A,TRUE,"Manhour Sum"}</definedName>
    <definedName name="cc_1" hidden="1">{#N/A,#N/A,TRUE,"Task Status";#N/A,#N/A,TRUE,"Document Status";#N/A,#N/A,TRUE,"Percent Complete";#N/A,#N/A,TRUE,"Manhour Sum"}</definedName>
    <definedName name="cc_2" localSheetId="5" hidden="1">{#N/A,#N/A,TRUE,"Task Status";#N/A,#N/A,TRUE,"Document Status";#N/A,#N/A,TRUE,"Percent Complete";#N/A,#N/A,TRUE,"Manhour Sum"}</definedName>
    <definedName name="cc_2" hidden="1">{#N/A,#N/A,TRUE,"Task Status";#N/A,#N/A,TRUE,"Document Status";#N/A,#N/A,TRUE,"Percent Complete";#N/A,#N/A,TRUE,"Manhour Sum"}</definedName>
    <definedName name="CCC" localSheetId="5" hidden="1">{#N/A,#N/A,FALSE,"Sum6 (1)"}</definedName>
    <definedName name="CCC" hidden="1">{#N/A,#N/A,FALSE,"Sum6 (1)"}</definedName>
    <definedName name="CCC_1" localSheetId="5" hidden="1">{#N/A,#N/A,FALSE,"Sum6 (1)"}</definedName>
    <definedName name="CCC_1" hidden="1">{#N/A,#N/A,FALSE,"Sum6 (1)"}</definedName>
    <definedName name="CCC_2" localSheetId="5" hidden="1">{#N/A,#N/A,FALSE,"Sum6 (1)"}</definedName>
    <definedName name="CCC_2" hidden="1">{#N/A,#N/A,FALSE,"Sum6 (1)"}</definedName>
    <definedName name="Combined" localSheetId="5" hidden="1">{#N/A,#N/A,TRUE,"Task Status";#N/A,#N/A,TRUE,"Document Status";#N/A,#N/A,TRUE,"Percent Complete";#N/A,#N/A,TRUE,"Manhour Sum"}</definedName>
    <definedName name="Combined" hidden="1">{#N/A,#N/A,TRUE,"Task Status";#N/A,#N/A,TRUE,"Document Status";#N/A,#N/A,TRUE,"Percent Complete";#N/A,#N/A,TRUE,"Manhour Sum"}</definedName>
    <definedName name="Company" localSheetId="5">'[2]Data Input sheet'!$D$19</definedName>
    <definedName name="Company">'[1]Data Input sheet'!$D$19</definedName>
    <definedName name="cvgf" localSheetId="5" hidden="1">{"Rev 0 Normal",#N/A,FALSE,"FNM Plan-Rev 0";"Rev 0 Pricing",#N/A,FALSE,"FNM Plan-Rev 0"}</definedName>
    <definedName name="cvgf" hidden="1">{"Rev 0 Normal",#N/A,FALSE,"FNM Plan-Rev 0";"Rev 0 Pricing",#N/A,FALSE,"FNM Plan-Rev 0"}</definedName>
    <definedName name="dddssd" localSheetId="5" hidden="1">{#N/A,#N/A,TRUE,"Task Status";#N/A,#N/A,TRUE,"Document Status";#N/A,#N/A,TRUE,"Percent Complete";#N/A,#N/A,TRUE,"Manhour Sum"}</definedName>
    <definedName name="dddssd" hidden="1">{#N/A,#N/A,TRUE,"Task Status";#N/A,#N/A,TRUE,"Document Status";#N/A,#N/A,TRUE,"Percent Complete";#N/A,#N/A,TRUE,"Manhour Sum"}</definedName>
    <definedName name="DELTA" localSheetId="5" hidden="1">{#N/A,#N/A,FALSE,"Sum6 (1)"}</definedName>
    <definedName name="DELTA" hidden="1">{#N/A,#N/A,FALSE,"Sum6 (1)"}</definedName>
    <definedName name="DELTA_1" localSheetId="5" hidden="1">{#N/A,#N/A,FALSE,"Sum6 (1)"}</definedName>
    <definedName name="DELTA_1" hidden="1">{#N/A,#N/A,FALSE,"Sum6 (1)"}</definedName>
    <definedName name="DELTA_2" localSheetId="5" hidden="1">{#N/A,#N/A,FALSE,"Sum6 (1)"}</definedName>
    <definedName name="DELTA_2" hidden="1">{#N/A,#N/A,FALSE,"Sum6 (1)"}</definedName>
    <definedName name="dfgwre" localSheetId="5" hidden="1">{#N/A,#N/A,TRUE,"Task Status";#N/A,#N/A,TRUE,"Document Status";#N/A,#N/A,TRUE,"Percent Complete";#N/A,#N/A,TRUE,"Manhour Sum"}</definedName>
    <definedName name="dfgwre" hidden="1">{#N/A,#N/A,TRUE,"Task Status";#N/A,#N/A,TRUE,"Document Status";#N/A,#N/A,TRUE,"Percent Complete";#N/A,#N/A,TRUE,"Manhour Sum"}</definedName>
    <definedName name="dfhws" localSheetId="5" hidden="1">{#N/A,#N/A,TRUE,"Task Status";#N/A,#N/A,TRUE,"Document Status";#N/A,#N/A,TRUE,"Percent Complete";#N/A,#N/A,TRUE,"Manhour Sum"}</definedName>
    <definedName name="dfhws" hidden="1">{#N/A,#N/A,TRUE,"Task Status";#N/A,#N/A,TRUE,"Document Status";#N/A,#N/A,TRUE,"Percent Complete";#N/A,#N/A,TRUE,"Manhour Sum"}</definedName>
    <definedName name="EL" localSheetId="5" hidden="1">{#N/A,#N/A,TRUE,"Task Status";#N/A,#N/A,TRUE,"Document Status";#N/A,#N/A,TRUE,"Percent Complete";#N/A,#N/A,TRUE,"Manhour Sum"}</definedName>
    <definedName name="EL" hidden="1">{#N/A,#N/A,TRUE,"Task Status";#N/A,#N/A,TRUE,"Document Status";#N/A,#N/A,TRUE,"Percent Complete";#N/A,#N/A,TRUE,"Manhour Sum"}</definedName>
    <definedName name="EL_1" localSheetId="5" hidden="1">{#N/A,#N/A,TRUE,"Task Status";#N/A,#N/A,TRUE,"Document Status";#N/A,#N/A,TRUE,"Percent Complete";#N/A,#N/A,TRUE,"Manhour Sum"}</definedName>
    <definedName name="EL_1" hidden="1">{#N/A,#N/A,TRUE,"Task Status";#N/A,#N/A,TRUE,"Document Status";#N/A,#N/A,TRUE,"Percent Complete";#N/A,#N/A,TRUE,"Manhour Sum"}</definedName>
    <definedName name="EL_2" localSheetId="5" hidden="1">{#N/A,#N/A,TRUE,"Task Status";#N/A,#N/A,TRUE,"Document Status";#N/A,#N/A,TRUE,"Percent Complete";#N/A,#N/A,TRUE,"Manhour Sum"}</definedName>
    <definedName name="EL_2" hidden="1">{#N/A,#N/A,TRUE,"Task Status";#N/A,#N/A,TRUE,"Document Status";#N/A,#N/A,TRUE,"Percent Complete";#N/A,#N/A,TRUE,"Manhour Sum"}</definedName>
    <definedName name="Electrical" localSheetId="5" hidden="1">{#N/A,#N/A,TRUE,"Task Status";#N/A,#N/A,TRUE,"Document Status";#N/A,#N/A,TRUE,"Percent Complete";#N/A,#N/A,TRUE,"Manhour Sum"}</definedName>
    <definedName name="Electrical" hidden="1">{#N/A,#N/A,TRUE,"Task Status";#N/A,#N/A,TRUE,"Document Status";#N/A,#N/A,TRUE,"Percent Complete";#N/A,#N/A,TRUE,"Manhour Sum"}</definedName>
    <definedName name="Electrical_1" localSheetId="5" hidden="1">{#N/A,#N/A,TRUE,"Task Status";#N/A,#N/A,TRUE,"Document Status";#N/A,#N/A,TRUE,"Percent Complete";#N/A,#N/A,TRUE,"Manhour Sum"}</definedName>
    <definedName name="Electrical_1" hidden="1">{#N/A,#N/A,TRUE,"Task Status";#N/A,#N/A,TRUE,"Document Status";#N/A,#N/A,TRUE,"Percent Complete";#N/A,#N/A,TRUE,"Manhour Sum"}</definedName>
    <definedName name="Electrical_2" localSheetId="5" hidden="1">{#N/A,#N/A,TRUE,"Task Status";#N/A,#N/A,TRUE,"Document Status";#N/A,#N/A,TRUE,"Percent Complete";#N/A,#N/A,TRUE,"Manhour Sum"}</definedName>
    <definedName name="Electrical_2" hidden="1">{#N/A,#N/A,TRUE,"Task Status";#N/A,#N/A,TRUE,"Document Status";#N/A,#N/A,TRUE,"Percent Complete";#N/A,#N/A,TRUE,"Manhour Sum"}</definedName>
    <definedName name="erqwer" localSheetId="5" hidden="1">{#N/A,#N/A,FALSE,"Sum6 (1)"}</definedName>
    <definedName name="erqwer" hidden="1">{#N/A,#N/A,FALSE,"Sum6 (1)"}</definedName>
    <definedName name="erwerty" localSheetId="5" hidden="1">{#N/A,#N/A,FALSE,"Sum6 (1)"}</definedName>
    <definedName name="erwerty" hidden="1">{#N/A,#N/A,FALSE,"Sum6 (1)"}</definedName>
    <definedName name="erymk" localSheetId="5" hidden="1">{#N/A,#N/A,TRUE,"Task Status";#N/A,#N/A,TRUE,"Document Status";#N/A,#N/A,TRUE,"Percent Complete";#N/A,#N/A,TRUE,"Manhour Sum"}</definedName>
    <definedName name="erymk" hidden="1">{#N/A,#N/A,TRUE,"Task Status";#N/A,#N/A,TRUE,"Document Status";#N/A,#N/A,TRUE,"Percent Complete";#N/A,#N/A,TRUE,"Manhour Sum"}</definedName>
    <definedName name="EstimateNumber" localSheetId="5">'[2]Data Input sheet'!$C$4</definedName>
    <definedName name="EstimateNumber">'[1]Data Input sheet'!$C$4</definedName>
    <definedName name="etyik" localSheetId="5" hidden="1">{#N/A,#N/A,TRUE,"Task Status";#N/A,#N/A,TRUE,"Document Status";#N/A,#N/A,TRUE,"Percent Complete";#N/A,#N/A,TRUE,"Manhour Sum"}</definedName>
    <definedName name="etyik" hidden="1">{#N/A,#N/A,TRUE,"Task Status";#N/A,#N/A,TRUE,"Document Status";#N/A,#N/A,TRUE,"Percent Complete";#N/A,#N/A,TRUE,"Manhour Sum"}</definedName>
    <definedName name="f" localSheetId="5" hidden="1">{#N/A,#N/A,TRUE,"Task Status";#N/A,#N/A,TRUE,"Document Status";#N/A,#N/A,TRUE,"Percent Complete";#N/A,#N/A,TRUE,"Manhour Sum"}</definedName>
    <definedName name="f" hidden="1">{#N/A,#N/A,TRUE,"Task Status";#N/A,#N/A,TRUE,"Document Status";#N/A,#N/A,TRUE,"Percent Complete";#N/A,#N/A,TRUE,"Manhour Sum"}</definedName>
    <definedName name="fff" localSheetId="5" hidden="1">{#N/A,#N/A,TRUE,"Task Status";#N/A,#N/A,TRUE,"Document Status";#N/A,#N/A,TRUE,"Percent Complete";#N/A,#N/A,TRUE,"Manhour Sum"}</definedName>
    <definedName name="fff" hidden="1">{#N/A,#N/A,TRUE,"Task Status";#N/A,#N/A,TRUE,"Document Status";#N/A,#N/A,TRUE,"Percent Complete";#N/A,#N/A,TRUE,"Manhour Sum"}</definedName>
    <definedName name="ggfsf" localSheetId="5" hidden="1">{#N/A,#N/A,TRUE,"Task Status";#N/A,#N/A,TRUE,"Document Status";#N/A,#N/A,TRUE,"Percent Complete";#N/A,#N/A,TRUE,"Manhour Sum"}</definedName>
    <definedName name="ggfsf" hidden="1">{#N/A,#N/A,TRUE,"Task Status";#N/A,#N/A,TRUE,"Document Status";#N/A,#N/A,TRUE,"Percent Complete";#N/A,#N/A,TRUE,"Manhour Sum"}</definedName>
    <definedName name="gonogo" localSheetId="5" hidden="1">{#N/A,#N/A,FALSE,"F. Tax Analysis";#N/A,#N/A,FALSE,"G. Bond Analysis";#N/A,#N/A,FALSE,"H. Insurance Analysis"}</definedName>
    <definedName name="gonogo" hidden="1">{#N/A,#N/A,FALSE,"F. Tax Analysis";#N/A,#N/A,FALSE,"G. Bond Analysis";#N/A,#N/A,FALSE,"H. Insurance Analysis"}</definedName>
    <definedName name="grasdf" localSheetId="5" hidden="1">{#N/A,#N/A,FALSE,"Sum6 (1)"}</definedName>
    <definedName name="grasdf" hidden="1">{#N/A,#N/A,FALSE,"Sum6 (1)"}</definedName>
    <definedName name="grog" localSheetId="5" hidden="1">{#N/A,#N/A,TRUE,"Task Status";#N/A,#N/A,TRUE,"Document Status";#N/A,#N/A,TRUE,"Percent Complete";#N/A,#N/A,TRUE,"Manhour Sum"}</definedName>
    <definedName name="grog" hidden="1">{#N/A,#N/A,TRUE,"Task Status";#N/A,#N/A,TRUE,"Document Status";#N/A,#N/A,TRUE,"Percent Complete";#N/A,#N/A,TRUE,"Manhour Sum"}</definedName>
    <definedName name="ID" localSheetId="5" hidden="1">"2814cf15-bb5a-4772-91c2-2cd76fe3ece1"</definedName>
    <definedName name="j" localSheetId="5" hidden="1">{#N/A,#N/A,TRUE,"Task Status";#N/A,#N/A,TRUE,"Document Status";#N/A,#N/A,TRUE,"Percent Complete";#N/A,#N/A,TRUE,"Manhour Sum"}</definedName>
    <definedName name="j" hidden="1">{#N/A,#N/A,TRUE,"Task Status";#N/A,#N/A,TRUE,"Document Status";#N/A,#N/A,TRUE,"Percent Complete";#N/A,#N/A,TRUE,"Manhour Sum"}</definedName>
    <definedName name="jjjj" localSheetId="5" hidden="1">{#N/A,#N/A,TRUE,"Task Status";#N/A,#N/A,TRUE,"Document Status";#N/A,#N/A,TRUE,"Percent Complete";#N/A,#N/A,TRUE,"Manhour Sum"}</definedName>
    <definedName name="jjjj" hidden="1">{#N/A,#N/A,TRUE,"Task Status";#N/A,#N/A,TRUE,"Document Status";#N/A,#N/A,TRUE,"Percent Complete";#N/A,#N/A,TRUE,"Manhour Sum"}</definedName>
    <definedName name="jjjjjj" localSheetId="5" hidden="1">{#N/A,#N/A,TRUE,"Task Status";#N/A,#N/A,TRUE,"Document Status";#N/A,#N/A,TRUE,"Percent Complete";#N/A,#N/A,TRUE,"Manhour Sum"}</definedName>
    <definedName name="jjjjjj" hidden="1">{#N/A,#N/A,TRUE,"Task Status";#N/A,#N/A,TRUE,"Document Status";#N/A,#N/A,TRUE,"Percent Complete";#N/A,#N/A,TRUE,"Manhour Sum"}</definedName>
    <definedName name="jrmk" localSheetId="5" hidden="1">{#N/A,#N/A,TRUE,"Task Status";#N/A,#N/A,TRUE,"Document Status";#N/A,#N/A,TRUE,"Percent Complete";#N/A,#N/A,TRUE,"Manhour Sum"}</definedName>
    <definedName name="jrmk" hidden="1">{#N/A,#N/A,TRUE,"Task Status";#N/A,#N/A,TRUE,"Document Status";#N/A,#N/A,TRUE,"Percent Complete";#N/A,#N/A,TRUE,"Manhour Sum"}</definedName>
    <definedName name="kk" localSheetId="5" hidden="1">{#N/A,#N/A,TRUE,"Task Status";#N/A,#N/A,TRUE,"Document Status";#N/A,#N/A,TRUE,"Percent Complete";#N/A,#N/A,TRUE,"Manhour Sum"}</definedName>
    <definedName name="kk" hidden="1">{#N/A,#N/A,TRUE,"Task Status";#N/A,#N/A,TRUE,"Document Status";#N/A,#N/A,TRUE,"Percent Complete";#N/A,#N/A,TRUE,"Manhour Sum"}</definedName>
    <definedName name="leaders" localSheetId="5" hidden="1">{#N/A,#N/A,FALSE,"Sum6 (1)"}</definedName>
    <definedName name="leaders" hidden="1">{#N/A,#N/A,FALSE,"Sum6 (1)"}</definedName>
    <definedName name="leroy" localSheetId="5" hidden="1">{#N/A,#N/A,TRUE,"Task Status";#N/A,#N/A,TRUE,"Document Status";#N/A,#N/A,TRUE,"Percent Complete";#N/A,#N/A,TRUE,"Manhour Sum"}</definedName>
    <definedName name="leroy" hidden="1">{#N/A,#N/A,TRUE,"Task Status";#N/A,#N/A,TRUE,"Document Status";#N/A,#N/A,TRUE,"Percent Complete";#N/A,#N/A,TRUE,"Manhour Sum"}</definedName>
    <definedName name="Mult_CashHome_Per">1</definedName>
    <definedName name="Mult_CashSite_Per">1</definedName>
    <definedName name="nertujh" localSheetId="5" hidden="1">{#N/A,#N/A,TRUE,"Task Status";#N/A,#N/A,TRUE,"Document Status";#N/A,#N/A,TRUE,"Percent Complete";#N/A,#N/A,TRUE,"Manhour Sum"}</definedName>
    <definedName name="nertujh" hidden="1">{#N/A,#N/A,TRUE,"Task Status";#N/A,#N/A,TRUE,"Document Status";#N/A,#N/A,TRUE,"Percent Complete";#N/A,#N/A,TRUE,"Manhour Sum"}</definedName>
    <definedName name="o" localSheetId="5" hidden="1">{#N/A,#N/A,TRUE,"Task Status";#N/A,#N/A,TRUE,"Document Status";#N/A,#N/A,TRUE,"Percent Complete";#N/A,#N/A,TRUE,"Manhour Sum"}</definedName>
    <definedName name="o" hidden="1">{#N/A,#N/A,TRUE,"Task Status";#N/A,#N/A,TRUE,"Document Status";#N/A,#N/A,TRUE,"Percent Complete";#N/A,#N/A,TRUE,"Manhour Sum"}</definedName>
    <definedName name="one" localSheetId="5" hidden="1">{#N/A,#N/A,FALSE,"Sum6 (1)"}</definedName>
    <definedName name="one" hidden="1">{#N/A,#N/A,FALSE,"Sum6 (1)"}</definedName>
    <definedName name="OPTexponents">"0 3 6"</definedName>
    <definedName name="OPTvec">"1 1 4 6 0 0 0 0 1 0 1 8 6 0 20 30 1 1 0 1 1 0 1 0 0 0 0 0 0 2 1 0 100 300 2 0 0 0 14 0 0 0 0"</definedName>
    <definedName name="p" localSheetId="5" hidden="1">{#N/A,#N/A,TRUE,"Task Status";#N/A,#N/A,TRUE,"Document Status";#N/A,#N/A,TRUE,"Percent Complete";#N/A,#N/A,TRUE,"Manhour Sum"}</definedName>
    <definedName name="p" hidden="1">{#N/A,#N/A,TRUE,"Task Status";#N/A,#N/A,TRUE,"Document Status";#N/A,#N/A,TRUE,"Percent Complete";#N/A,#N/A,TRUE,"Manhour Sum"}</definedName>
    <definedName name="Pal_Workbook_GUID" hidden="1">"WCCJ2XGKG89JGSKWGQEQTPXV"</definedName>
    <definedName name="PO" localSheetId="5" hidden="1">{#N/A,#N/A,TRUE,"Task Status";#N/A,#N/A,TRUE,"Document Status";#N/A,#N/A,TRUE,"Percent Complete";#N/A,#N/A,TRUE,"Manhour Sum"}</definedName>
    <definedName name="PO" hidden="1">{#N/A,#N/A,TRUE,"Task Status";#N/A,#N/A,TRUE,"Document Status";#N/A,#N/A,TRUE,"Percent Complete";#N/A,#N/A,TRUE,"Manhour Sum"}</definedName>
    <definedName name="ppppp" localSheetId="5" hidden="1">{#N/A,#N/A,FALSE,"Sum6 (1)"}</definedName>
    <definedName name="ppppp" hidden="1">{#N/A,#N/A,FALSE,"Sum6 (1)"}</definedName>
    <definedName name="qqqqqqq" localSheetId="5" hidden="1">{#N/A,#N/A,FALSE,"Sum6 (1)"}</definedName>
    <definedName name="qqqqqqq" hidden="1">{#N/A,#N/A,FALSE,"Sum6 (1)"}</definedName>
    <definedName name="qqqqqqq_1" localSheetId="5" hidden="1">{#N/A,#N/A,FALSE,"Sum6 (1)"}</definedName>
    <definedName name="qqqqqqq_1" hidden="1">{#N/A,#N/A,FALSE,"Sum6 (1)"}</definedName>
    <definedName name="qqqqqqq_2" localSheetId="5" hidden="1">{#N/A,#N/A,FALSE,"Sum6 (1)"}</definedName>
    <definedName name="qqqqqqq_2" hidden="1">{#N/A,#N/A,FALSE,"Sum6 (1)"}</definedName>
    <definedName name="qwer" localSheetId="5" hidden="1">{#N/A,#N/A,TRUE,"Task Status";#N/A,#N/A,TRUE,"Document Status";#N/A,#N/A,TRUE,"Percent Complete";#N/A,#N/A,TRUE,"Manhour Sum"}</definedName>
    <definedName name="qwer" hidden="1">{#N/A,#N/A,TRUE,"Task Status";#N/A,#N/A,TRUE,"Document Status";#N/A,#N/A,TRUE,"Percent Complete";#N/A,#N/A,TRUE,"Manhour Sum"}</definedName>
    <definedName name="qwer_1" localSheetId="5" hidden="1">{#N/A,#N/A,TRUE,"Task Status";#N/A,#N/A,TRUE,"Document Status";#N/A,#N/A,TRUE,"Percent Complete";#N/A,#N/A,TRUE,"Manhour Sum"}</definedName>
    <definedName name="qwer_1" hidden="1">{#N/A,#N/A,TRUE,"Task Status";#N/A,#N/A,TRUE,"Document Status";#N/A,#N/A,TRUE,"Percent Complete";#N/A,#N/A,TRUE,"Manhour Sum"}</definedName>
    <definedName name="qwer_2" localSheetId="5" hidden="1">{#N/A,#N/A,TRUE,"Task Status";#N/A,#N/A,TRUE,"Document Status";#N/A,#N/A,TRUE,"Percent Complete";#N/A,#N/A,TRUE,"Manhour Sum"}</definedName>
    <definedName name="qwer_2" hidden="1">{#N/A,#N/A,TRUE,"Task Status";#N/A,#N/A,TRUE,"Document Status";#N/A,#N/A,TRUE,"Percent Complete";#N/A,#N/A,TRUE,"Manhour Sum"}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ty" localSheetId="5" hidden="1">{"Budget",#N/A,TRUE,"Criteria";"Summary",#N/A,TRUE,"Summary";"Detail",#N/A,TRUE,"Detail";"Staff",#N/A,TRUE,"Staffing";"Equip",#N/A,TRUE,"Equipment"}</definedName>
    <definedName name="rty" hidden="1">{"Budget",#N/A,TRUE,"Criteria";"Summary",#N/A,TRUE,"Summary";"Detail",#N/A,TRUE,"Detail";"Staff",#N/A,TRUE,"Staffing";"Equip",#N/A,TRUE,"Equipment"}</definedName>
    <definedName name="s" localSheetId="5" hidden="1">{#N/A,#N/A,TRUE,"Task Status";#N/A,#N/A,TRUE,"Document Status";#N/A,#N/A,TRUE,"Percent Complete";#N/A,#N/A,TRUE,"Manhour Sum"}</definedName>
    <definedName name="s" hidden="1">{#N/A,#N/A,TRUE,"Task Status";#N/A,#N/A,TRUE,"Document Status";#N/A,#N/A,TRUE,"Percent Complete";#N/A,#N/A,TRUE,"Manhour Sum"}</definedName>
    <definedName name="s_1" localSheetId="5" hidden="1">{#N/A,#N/A,TRUE,"Task Status";#N/A,#N/A,TRUE,"Document Status";#N/A,#N/A,TRUE,"Percent Complete";#N/A,#N/A,TRUE,"Manhour Sum"}</definedName>
    <definedName name="s_1" hidden="1">{#N/A,#N/A,TRUE,"Task Status";#N/A,#N/A,TRUE,"Document Status";#N/A,#N/A,TRUE,"Percent Complete";#N/A,#N/A,TRUE,"Manhour Sum"}</definedName>
    <definedName name="s_2" localSheetId="5" hidden="1">{#N/A,#N/A,TRUE,"Task Status";#N/A,#N/A,TRUE,"Document Status";#N/A,#N/A,TRUE,"Percent Complete";#N/A,#N/A,TRUE,"Manhour Sum"}</definedName>
    <definedName name="s_2" hidden="1">{#N/A,#N/A,TRUE,"Task Status";#N/A,#N/A,TRUE,"Document Status";#N/A,#N/A,TRUE,"Percent Complete";#N/A,#N/A,TRUE,"Manhour Sum"}</definedName>
    <definedName name="Schedule" localSheetId="5" hidden="1">{#N/A,#N/A,TRUE,"Task Status";#N/A,#N/A,TRUE,"Document Status";#N/A,#N/A,TRUE,"Percent Complete";#N/A,#N/A,TRUE,"Manhour Sum"}</definedName>
    <definedName name="Schedule" hidden="1">{#N/A,#N/A,TRUE,"Task Status";#N/A,#N/A,TRUE,"Document Status";#N/A,#N/A,TRUE,"Percent Complete";#N/A,#N/A,TRUE,"Manhour Sum"}</definedName>
    <definedName name="Schedule_1" localSheetId="5" hidden="1">{#N/A,#N/A,TRUE,"Task Status";#N/A,#N/A,TRUE,"Document Status";#N/A,#N/A,TRUE,"Percent Complete";#N/A,#N/A,TRUE,"Manhour Sum"}</definedName>
    <definedName name="Schedule_1" hidden="1">{#N/A,#N/A,TRUE,"Task Status";#N/A,#N/A,TRUE,"Document Status";#N/A,#N/A,TRUE,"Percent Complete";#N/A,#N/A,TRUE,"Manhour Sum"}</definedName>
    <definedName name="Schedule_2" localSheetId="5" hidden="1">{#N/A,#N/A,TRUE,"Task Status";#N/A,#N/A,TRUE,"Document Status";#N/A,#N/A,TRUE,"Percent Complete";#N/A,#N/A,TRUE,"Manhour Sum"}</definedName>
    <definedName name="Schedule_2" hidden="1">{#N/A,#N/A,TRUE,"Task Status";#N/A,#N/A,TRUE,"Document Status";#N/A,#N/A,TRUE,"Percent Complete";#N/A,#N/A,TRUE,"Manhour Sum"}</definedName>
    <definedName name="sdfji" localSheetId="5" hidden="1">{"Detail",#N/A,FALSE,"Detail"}</definedName>
    <definedName name="sdfji" hidden="1">{"Detail",#N/A,FALSE,"Detail"}</definedName>
    <definedName name="sf" localSheetId="5" hidden="1">{#N/A,#N/A,TRUE,"Task Status";#N/A,#N/A,TRUE,"Document Status";#N/A,#N/A,TRUE,"Percent Complete";#N/A,#N/A,TRUE,"Manhour Sum"}</definedName>
    <definedName name="sf" hidden="1">{#N/A,#N/A,TRUE,"Task Status";#N/A,#N/A,TRUE,"Document Status";#N/A,#N/A,TRUE,"Percent Complete";#N/A,#N/A,TRUE,"Manhour Sum"}</definedName>
    <definedName name="StationOrLine">'[1]Data Input sheet'!$D$20</definedName>
    <definedName name="Sub" localSheetId="5" hidden="1">{#N/A,#N/A,TRUE,"Task Status";#N/A,#N/A,TRUE,"Document Status";#N/A,#N/A,TRUE,"Percent Complete";#N/A,#N/A,TRUE,"Manhour Sum"}</definedName>
    <definedName name="Sub" hidden="1">{#N/A,#N/A,TRUE,"Task Status";#N/A,#N/A,TRUE,"Document Status";#N/A,#N/A,TRUE,"Percent Complete";#N/A,#N/A,TRUE,"Manhour Sum"}</definedName>
    <definedName name="Sub_1" localSheetId="5" hidden="1">{#N/A,#N/A,TRUE,"Task Status";#N/A,#N/A,TRUE,"Document Status";#N/A,#N/A,TRUE,"Percent Complete";#N/A,#N/A,TRUE,"Manhour Sum"}</definedName>
    <definedName name="Sub_1" hidden="1">{#N/A,#N/A,TRUE,"Task Status";#N/A,#N/A,TRUE,"Document Status";#N/A,#N/A,TRUE,"Percent Complete";#N/A,#N/A,TRUE,"Manhour Sum"}</definedName>
    <definedName name="Sub_2" localSheetId="5" hidden="1">{#N/A,#N/A,TRUE,"Task Status";#N/A,#N/A,TRUE,"Document Status";#N/A,#N/A,TRUE,"Percent Complete";#N/A,#N/A,TRUE,"Manhour Sum"}</definedName>
    <definedName name="Sub_2" hidden="1">{#N/A,#N/A,TRUE,"Task Status";#N/A,#N/A,TRUE,"Document Status";#N/A,#N/A,TRUE,"Percent Complete";#N/A,#N/A,TRUE,"Manhour Sum"}</definedName>
    <definedName name="temp" localSheetId="5" hidden="1">{#N/A,#N/A,TRUE,"Task Status";#N/A,#N/A,TRUE,"Document Status";#N/A,#N/A,TRUE,"Percent Complete";#N/A,#N/A,TRUE,"Manhour Sum"}</definedName>
    <definedName name="temp" hidden="1">{#N/A,#N/A,TRUE,"Task Status";#N/A,#N/A,TRUE,"Document Status";#N/A,#N/A,TRUE,"Percent Complete";#N/A,#N/A,TRUE,"Manhour Sum"}</definedName>
    <definedName name="temp_1" localSheetId="5" hidden="1">{#N/A,#N/A,TRUE,"Task Status";#N/A,#N/A,TRUE,"Document Status";#N/A,#N/A,TRUE,"Percent Complete";#N/A,#N/A,TRUE,"Manhour Sum"}</definedName>
    <definedName name="temp_1" hidden="1">{#N/A,#N/A,TRUE,"Task Status";#N/A,#N/A,TRUE,"Document Status";#N/A,#N/A,TRUE,"Percent Complete";#N/A,#N/A,TRUE,"Manhour Sum"}</definedName>
    <definedName name="temp_2" localSheetId="5" hidden="1">{#N/A,#N/A,TRUE,"Task Status";#N/A,#N/A,TRUE,"Document Status";#N/A,#N/A,TRUE,"Percent Complete";#N/A,#N/A,TRUE,"Manhour Sum"}</definedName>
    <definedName name="temp_2" hidden="1">{#N/A,#N/A,TRUE,"Task Status";#N/A,#N/A,TRUE,"Document Status";#N/A,#N/A,TRUE,"Percent Complete";#N/A,#N/A,TRUE,"Manhour Sum"}</definedName>
    <definedName name="temp1" localSheetId="5" hidden="1">{#N/A,#N/A,TRUE,"Task Status";#N/A,#N/A,TRUE,"Document Status";#N/A,#N/A,TRUE,"Percent Complete";#N/A,#N/A,TRUE,"Manhour Sum"}</definedName>
    <definedName name="temp1" hidden="1">{#N/A,#N/A,TRUE,"Task Status";#N/A,#N/A,TRUE,"Document Status";#N/A,#N/A,TRUE,"Percent Complete";#N/A,#N/A,TRUE,"Manhour Sum"}</definedName>
    <definedName name="temp1_1" localSheetId="5" hidden="1">{#N/A,#N/A,TRUE,"Task Status";#N/A,#N/A,TRUE,"Document Status";#N/A,#N/A,TRUE,"Percent Complete";#N/A,#N/A,TRUE,"Manhour Sum"}</definedName>
    <definedName name="temp1_1" hidden="1">{#N/A,#N/A,TRUE,"Task Status";#N/A,#N/A,TRUE,"Document Status";#N/A,#N/A,TRUE,"Percent Complete";#N/A,#N/A,TRUE,"Manhour Sum"}</definedName>
    <definedName name="temp1_2" localSheetId="5" hidden="1">{#N/A,#N/A,TRUE,"Task Status";#N/A,#N/A,TRUE,"Document Status";#N/A,#N/A,TRUE,"Percent Complete";#N/A,#N/A,TRUE,"Manhour Sum"}</definedName>
    <definedName name="temp1_2" hidden="1">{#N/A,#N/A,TRUE,"Task Status";#N/A,#N/A,TRUE,"Document Status";#N/A,#N/A,TRUE,"Percent Complete";#N/A,#N/A,TRUE,"Manhour Sum"}</definedName>
    <definedName name="temp2" localSheetId="5" hidden="1">{#N/A,#N/A,TRUE,"Task Status";#N/A,#N/A,TRUE,"Document Status";#N/A,#N/A,TRUE,"Percent Complete";#N/A,#N/A,TRUE,"Manhour Sum"}</definedName>
    <definedName name="temp2" hidden="1">{#N/A,#N/A,TRUE,"Task Status";#N/A,#N/A,TRUE,"Document Status";#N/A,#N/A,TRUE,"Percent Complete";#N/A,#N/A,TRUE,"Manhour Sum"}</definedName>
    <definedName name="temp2_1" localSheetId="5" hidden="1">{#N/A,#N/A,TRUE,"Task Status";#N/A,#N/A,TRUE,"Document Status";#N/A,#N/A,TRUE,"Percent Complete";#N/A,#N/A,TRUE,"Manhour Sum"}</definedName>
    <definedName name="temp2_1" hidden="1">{#N/A,#N/A,TRUE,"Task Status";#N/A,#N/A,TRUE,"Document Status";#N/A,#N/A,TRUE,"Percent Complete";#N/A,#N/A,TRUE,"Manhour Sum"}</definedName>
    <definedName name="temp2_2" localSheetId="5" hidden="1">{#N/A,#N/A,TRUE,"Task Status";#N/A,#N/A,TRUE,"Document Status";#N/A,#N/A,TRUE,"Percent Complete";#N/A,#N/A,TRUE,"Manhour Sum"}</definedName>
    <definedName name="temp2_2" hidden="1">{#N/A,#N/A,TRUE,"Task Status";#N/A,#N/A,TRUE,"Document Status";#N/A,#N/A,TRUE,"Percent Complete";#N/A,#N/A,TRUE,"Manhour Sum"}</definedName>
    <definedName name="temp3" localSheetId="5" hidden="1">{#N/A,#N/A,TRUE,"Task Status";#N/A,#N/A,TRUE,"Document Status";#N/A,#N/A,TRUE,"Percent Complete";#N/A,#N/A,TRUE,"Manhour Sum"}</definedName>
    <definedName name="temp3" hidden="1">{#N/A,#N/A,TRUE,"Task Status";#N/A,#N/A,TRUE,"Document Status";#N/A,#N/A,TRUE,"Percent Complete";#N/A,#N/A,TRUE,"Manhour Sum"}</definedName>
    <definedName name="tyikrto" localSheetId="5" hidden="1">{#N/A,#N/A,FALSE,"F. Tax Analysis";#N/A,#N/A,FALSE,"G. Bond Analysis";#N/A,#N/A,FALSE,"H. Insurance Analysis"}</definedName>
    <definedName name="tyikrto" hidden="1">{#N/A,#N/A,FALSE,"F. Tax Analysis";#N/A,#N/A,FALSE,"G. Bond Analysis";#N/A,#N/A,FALSE,"H. Insurance Analysis"}</definedName>
    <definedName name="vasdrfawer" localSheetId="5" hidden="1">{#N/A,#N/A,TRUE,"Task Status";#N/A,#N/A,TRUE,"Document Status";#N/A,#N/A,TRUE,"Percent Complete";#N/A,#N/A,TRUE,"Manhour Sum"}</definedName>
    <definedName name="vasdrfawer" hidden="1">{#N/A,#N/A,TRUE,"Task Status";#N/A,#N/A,TRUE,"Document Status";#N/A,#N/A,TRUE,"Percent Complete";#N/A,#N/A,TRUE,"Manhour Sum"}</definedName>
    <definedName name="vate" localSheetId="5" hidden="1">{#N/A,#N/A,TRUE,"Task Status";#N/A,#N/A,TRUE,"Document Status";#N/A,#N/A,TRUE,"Percent Complete";#N/A,#N/A,TRUE,"Manhour Sum"}</definedName>
    <definedName name="vate" hidden="1">{#N/A,#N/A,TRUE,"Task Status";#N/A,#N/A,TRUE,"Document Status";#N/A,#N/A,TRUE,"Percent Complete";#N/A,#N/A,TRUE,"Manhour Sum"}</definedName>
    <definedName name="vk" localSheetId="5" hidden="1">{"Summary",#N/A,FALSE,"Summary"}</definedName>
    <definedName name="vk" hidden="1">{"Summary",#N/A,FALSE,"Summary"}</definedName>
    <definedName name="vl" localSheetId="5" hidden="1">{#N/A,#N/A,FALSE,"Sum6 (1)"}</definedName>
    <definedName name="vl" hidden="1">{#N/A,#N/A,FALSE,"Sum6 (1)"}</definedName>
    <definedName name="wrn.Allowance._.Analysis." localSheetId="5" hidden="1">{#N/A,#N/A,FALSE,"F. Tax Analysis";#N/A,#N/A,FALSE,"G. Bond Analysis";#N/A,#N/A,FALSE,"H. Insurance Analysis"}</definedName>
    <definedName name="wrn.Allowance._.Analysis." hidden="1">{#N/A,#N/A,FALSE,"F. Tax Analysis";#N/A,#N/A,FALSE,"G. Bond Analysis";#N/A,#N/A,FALSE,"H. Insurance Analysis"}</definedName>
    <definedName name="wrn.Allowance._.Analysis._1" localSheetId="5" hidden="1">{#N/A,#N/A,FALSE,"F. Tax Analysis";#N/A,#N/A,FALSE,"G. Bond Analysis";#N/A,#N/A,FALSE,"H. Insurance Analysis"}</definedName>
    <definedName name="wrn.Allowance._.Analysis._1" hidden="1">{#N/A,#N/A,FALSE,"F. Tax Analysis";#N/A,#N/A,FALSE,"G. Bond Analysis";#N/A,#N/A,FALSE,"H. Insurance Analysis"}</definedName>
    <definedName name="wrn.Allowance._.Analysis._2" localSheetId="5" hidden="1">{#N/A,#N/A,FALSE,"F. Tax Analysis";#N/A,#N/A,FALSE,"G. Bond Analysis";#N/A,#N/A,FALSE,"H. Insurance Analysis"}</definedName>
    <definedName name="wrn.Allowance._.Analysis._2" hidden="1">{#N/A,#N/A,FALSE,"F. Tax Analysis";#N/A,#N/A,FALSE,"G. Bond Analysis";#N/A,#N/A,FALSE,"H. Insurance Analysis"}</definedName>
    <definedName name="wrn.Citgo._.Status." localSheetId="5" hidden="1">{#N/A,#N/A,TRUE,"Task Status";#N/A,#N/A,TRUE,"Document Status";#N/A,#N/A,TRUE,"Percent Complete";#N/A,#N/A,TRUE,"Manhour Sum"}</definedName>
    <definedName name="wrn.Citgo._.Status." hidden="1">{#N/A,#N/A,TRUE,"Task Status";#N/A,#N/A,TRUE,"Document Status";#N/A,#N/A,TRUE,"Percent Complete";#N/A,#N/A,TRUE,"Manhour Sum"}</definedName>
    <definedName name="wrn.Citgo._.Status._1" localSheetId="5" hidden="1">{#N/A,#N/A,TRUE,"Task Status";#N/A,#N/A,TRUE,"Document Status";#N/A,#N/A,TRUE,"Percent Complete";#N/A,#N/A,TRUE,"Manhour Sum"}</definedName>
    <definedName name="wrn.Citgo._.Status._1" hidden="1">{#N/A,#N/A,TRUE,"Task Status";#N/A,#N/A,TRUE,"Document Status";#N/A,#N/A,TRUE,"Percent Complete";#N/A,#N/A,TRUE,"Manhour Sum"}</definedName>
    <definedName name="wrn.Citgo._.Status._2" localSheetId="5" hidden="1">{#N/A,#N/A,TRUE,"Task Status";#N/A,#N/A,TRUE,"Document Status";#N/A,#N/A,TRUE,"Percent Complete";#N/A,#N/A,TRUE,"Manhour Sum"}</definedName>
    <definedName name="wrn.Citgo._.Status._2" hidden="1">{#N/A,#N/A,TRUE,"Task Status";#N/A,#N/A,TRUE,"Document Status";#N/A,#N/A,TRUE,"Percent Complete";#N/A,#N/A,TRUE,"Manhour Sum"}</definedName>
    <definedName name="wrn.Detail." localSheetId="5" hidden="1">{"Detail",#N/A,FALSE,"Detail"}</definedName>
    <definedName name="wrn.Detail." hidden="1">{"Detail",#N/A,FALSE,"Detail"}</definedName>
    <definedName name="wrn.Detail._1" localSheetId="5" hidden="1">{"Detail",#N/A,FALSE,"Detail"}</definedName>
    <definedName name="wrn.Detail._1" hidden="1">{"Detail",#N/A,FALSE,"Detail"}</definedName>
    <definedName name="wrn.Detail._2" localSheetId="5" hidden="1">{"Detail",#N/A,FALSE,"Detail"}</definedName>
    <definedName name="wrn.Detail._2" hidden="1">{"Detail",#N/A,FALSE,"Detail"}</definedName>
    <definedName name="wrn.Executive._.Review._.Report." localSheetId="5" hidden="1">{#N/A,#N/A,FALSE,"Executive Review Sheet";#N/A,#N/A,FALSE,"Summary of Estimate Components";#N/A,#N/A,FALSE,"Summary of Allowances"}</definedName>
    <definedName name="wrn.Executive._.Review._.Report." hidden="1">{#N/A,#N/A,FALSE,"Executive Review Sheet";#N/A,#N/A,FALSE,"Summary of Estimate Components";#N/A,#N/A,FALSE,"Summary of Allowances"}</definedName>
    <definedName name="wrn.Executive._.Review._.Report._1" localSheetId="5" hidden="1">{#N/A,#N/A,FALSE,"Executive Review Sheet";#N/A,#N/A,FALSE,"Summary of Estimate Components";#N/A,#N/A,FALSE,"Summary of Allowances"}</definedName>
    <definedName name="wrn.Executive._.Review._.Report._1" hidden="1">{#N/A,#N/A,FALSE,"Executive Review Sheet";#N/A,#N/A,FALSE,"Summary of Estimate Components";#N/A,#N/A,FALSE,"Summary of Allowances"}</definedName>
    <definedName name="wrn.Executive._.Review._.Report._2" localSheetId="5" hidden="1">{#N/A,#N/A,FALSE,"Executive Review Sheet";#N/A,#N/A,FALSE,"Summary of Estimate Components";#N/A,#N/A,FALSE,"Summary of Allowances"}</definedName>
    <definedName name="wrn.Executive._.Review._.Report._2" hidden="1">{#N/A,#N/A,FALSE,"Executive Review Sheet";#N/A,#N/A,FALSE,"Summary of Estimate Components";#N/A,#N/A,FALSE,"Summary of Allowances"}</definedName>
    <definedName name="wrn.FNM._.Graph." localSheetId="5" hidden="1">{"fnm graph",#N/A,FALSE,"Graphs"}</definedName>
    <definedName name="wrn.FNM._.Graph." hidden="1">{"fnm graph",#N/A,FALSE,"Graphs"}</definedName>
    <definedName name="wrn.Indirects." localSheetId="5" hidden="1">{"Budget",#N/A,TRUE,"Criteria";"Summary",#N/A,TRUE,"Summary";"Detail",#N/A,TRUE,"Detail";"Staff",#N/A,TRUE,"Staffing";"Equip",#N/A,TRUE,"Equipment"}</definedName>
    <definedName name="wrn.Indirects." hidden="1">{"Budget",#N/A,TRUE,"Criteria";"Summary",#N/A,TRUE,"Summary";"Detail",#N/A,TRUE,"Detail";"Staff",#N/A,TRUE,"Staffing";"Equip",#N/A,TRUE,"Equipment"}</definedName>
    <definedName name="wrn.Indirects._1" localSheetId="5" hidden="1">{"Budget",#N/A,TRUE,"Criteria";"Summary",#N/A,TRUE,"Summary";"Detail",#N/A,TRUE,"Detail";"Staff",#N/A,TRUE,"Staffing";"Equip",#N/A,TRUE,"Equipment"}</definedName>
    <definedName name="wrn.Indirects._1" hidden="1">{"Budget",#N/A,TRUE,"Criteria";"Summary",#N/A,TRUE,"Summary";"Detail",#N/A,TRUE,"Detail";"Staff",#N/A,TRUE,"Staffing";"Equip",#N/A,TRUE,"Equipment"}</definedName>
    <definedName name="wrn.Indirects._2" localSheetId="5" hidden="1">{"Budget",#N/A,TRUE,"Criteria";"Summary",#N/A,TRUE,"Summary";"Detail",#N/A,TRUE,"Detail";"Staff",#N/A,TRUE,"Staffing";"Equip",#N/A,TRUE,"Equipment"}</definedName>
    <definedName name="wrn.Indirects._2" hidden="1">{"Budget",#N/A,TRUE,"Criteria";"Summary",#N/A,TRUE,"Summary";"Detail",#N/A,TRUE,"Detail";"Staff",#N/A,TRUE,"Staffing";"Equip",#N/A,TRUE,"Equipment"}</definedName>
    <definedName name="wrn.leroy." localSheetId="5" hidden="1">{"Summary",#N/A,FALSE,"Summary"}</definedName>
    <definedName name="wrn.leroy." hidden="1">{"Summary",#N/A,FALSE,"Summary"}</definedName>
    <definedName name="wrn.Profile._.and._.Basis." localSheetId="5" hidden="1">{#N/A,#N/A,FALSE,"Project Profile";#N/A,#N/A,FALSE,"Basis of Estimate"}</definedName>
    <definedName name="wrn.Profile._.and._.Basis." hidden="1">{#N/A,#N/A,FALSE,"Project Profile";#N/A,#N/A,FALSE,"Basis of Estimate"}</definedName>
    <definedName name="wrn.Profile._.and._.Basis._1" localSheetId="5" hidden="1">{#N/A,#N/A,FALSE,"Project Profile";#N/A,#N/A,FALSE,"Basis of Estimate"}</definedName>
    <definedName name="wrn.Profile._.and._.Basis._1" hidden="1">{#N/A,#N/A,FALSE,"Project Profile";#N/A,#N/A,FALSE,"Basis of Estimate"}</definedName>
    <definedName name="wrn.Profile._.and._.Basis._2" localSheetId="5" hidden="1">{#N/A,#N/A,FALSE,"Project Profile";#N/A,#N/A,FALSE,"Basis of Estimate"}</definedName>
    <definedName name="wrn.Profile._.and._.Basis._2" hidden="1">{#N/A,#N/A,FALSE,"Project Profile";#N/A,#N/A,FALSE,"Basis of Estimate"}</definedName>
    <definedName name="wrn.Rev._.0." localSheetId="5" hidden="1">{"Rev 0 Normal",#N/A,FALSE,"FNM Plan-Rev 0";"Rev 0 Pricing",#N/A,FALSE,"FNM Plan-Rev 0"}</definedName>
    <definedName name="wrn.Rev._.0." hidden="1">{"Rev 0 Normal",#N/A,FALSE,"FNM Plan-Rev 0";"Rev 0 Pricing",#N/A,FALSE,"FNM Plan-Rev 0"}</definedName>
    <definedName name="wrn.Rev._.0._1" localSheetId="5" hidden="1">{"Rev 0 Normal",#N/A,FALSE,"FNM Plan-Rev 0";"Rev 0 Pricing",#N/A,FALSE,"FNM Plan-Rev 0"}</definedName>
    <definedName name="wrn.Rev._.0._1" hidden="1">{"Rev 0 Normal",#N/A,FALSE,"FNM Plan-Rev 0";"Rev 0 Pricing",#N/A,FALSE,"FNM Plan-Rev 0"}</definedName>
    <definedName name="wrn.Rev._.0._2" localSheetId="5" hidden="1">{"Rev 0 Normal",#N/A,FALSE,"FNM Plan-Rev 0";"Rev 0 Pricing",#N/A,FALSE,"FNM Plan-Rev 0"}</definedName>
    <definedName name="wrn.Rev._.0._2" hidden="1">{"Rev 0 Normal",#N/A,FALSE,"FNM Plan-Rev 0";"Rev 0 Pricing",#N/A,FALSE,"FNM Plan-Rev 0"}</definedName>
    <definedName name="wrn.Summary." localSheetId="5" hidden="1">{"Summary",#N/A,FALSE,"Summary"}</definedName>
    <definedName name="wrn.Summary." hidden="1">{"Summary",#N/A,FALSE,"Summary"}</definedName>
    <definedName name="wrn.Summary._1" localSheetId="5" hidden="1">{"Summary",#N/A,FALSE,"Summary"}</definedName>
    <definedName name="wrn.Summary._1" hidden="1">{"Summary",#N/A,FALSE,"Summary"}</definedName>
    <definedName name="wrn.Summary._2" localSheetId="5" hidden="1">{"Summary",#N/A,FALSE,"Summary"}</definedName>
    <definedName name="wrn.Summary._2" hidden="1">{"Summary",#N/A,FALSE,"Summary"}</definedName>
    <definedName name="wrtywy" localSheetId="5" hidden="1">{#N/A,#N/A,TRUE,"Task Status";#N/A,#N/A,TRUE,"Document Status";#N/A,#N/A,TRUE,"Percent Complete";#N/A,#N/A,TRUE,"Manhour Sum"}</definedName>
    <definedName name="wrtywy" hidden="1">{#N/A,#N/A,TRUE,"Task Status";#N/A,#N/A,TRUE,"Document Status";#N/A,#N/A,TRUE,"Percent Complete";#N/A,#N/A,TRUE,"Manhour Sum"}</definedName>
    <definedName name="x" localSheetId="5" hidden="1">{#N/A,#N/A,TRUE,"Task Status";#N/A,#N/A,TRUE,"Document Status";#N/A,#N/A,TRUE,"Percent Complete";#N/A,#N/A,TRUE,"Manhour Sum"}</definedName>
    <definedName name="x" hidden="1">{#N/A,#N/A,TRUE,"Task Status";#N/A,#N/A,TRUE,"Document Status";#N/A,#N/A,TRUE,"Percent Complete";#N/A,#N/A,TRUE,"Manhour Sum"}</definedName>
    <definedName name="xch" localSheetId="5" hidden="1">{#N/A,#N/A,FALSE,"Project Profile";#N/A,#N/A,FALSE,"Basis of Estimate"}</definedName>
    <definedName name="xch" hidden="1">{#N/A,#N/A,FALSE,"Project Profile";#N/A,#N/A,FALSE,"Basis of Estimate"}</definedName>
    <definedName name="XLOPTvec">"12 14 1 125 1 0 1 1 1 1 1 1 0 0 1 0 0 0 0 0"</definedName>
    <definedName name="xxx" localSheetId="5" hidden="1">{#N/A,#N/A,FALSE,"Sum6 (1)"}</definedName>
    <definedName name="xxx" hidden="1">{#N/A,#N/A,FALSE,"Sum6 (1)"}</definedName>
    <definedName name="xxxxxxx" localSheetId="5" hidden="1">{#N/A,#N/A,FALSE,"Sum6 (1)"}</definedName>
    <definedName name="xxxxxxx" hidden="1">{#N/A,#N/A,FALSE,"Sum6 (1)"}</definedName>
    <definedName name="xxxxxxx_1" localSheetId="5" hidden="1">{#N/A,#N/A,FALSE,"Sum6 (1)"}</definedName>
    <definedName name="xxxxxxx_1" hidden="1">{#N/A,#N/A,FALSE,"Sum6 (1)"}</definedName>
    <definedName name="xxxxxxx_2" localSheetId="5" hidden="1">{#N/A,#N/A,FALSE,"Sum6 (1)"}</definedName>
    <definedName name="xxxxxxx_2" hidden="1">{#N/A,#N/A,FALSE,"Sum6 (1)"}</definedName>
    <definedName name="yipkiedyu" localSheetId="5" hidden="1">{#N/A,#N/A,FALSE,"Executive Review Sheet";#N/A,#N/A,FALSE,"Summary of Estimate Components";#N/A,#N/A,FALSE,"Summary of Allowances"}</definedName>
    <definedName name="yipkiedyu" hidden="1">{#N/A,#N/A,FALSE,"Executive Review Sheet";#N/A,#N/A,FALSE,"Summary of Estimate Components";#N/A,#N/A,FALSE,"Summary of Allowances"}</definedName>
    <definedName name="ypt" localSheetId="5" hidden="1">{#N/A,#N/A,TRUE,"Task Status";#N/A,#N/A,TRUE,"Document Status";#N/A,#N/A,TRUE,"Percent Complete";#N/A,#N/A,TRUE,"Manhour Sum"}</definedName>
    <definedName name="ypt" hidden="1">{#N/A,#N/A,TRUE,"Task Status";#N/A,#N/A,TRUE,"Document Status";#N/A,#N/A,TRUE,"Percent Complete";#N/A,#N/A,TRUE,"Manhour Sum"}</definedName>
    <definedName name="yy" localSheetId="5" hidden="1">{#N/A,#N/A,FALSE,"Sum6 (1)"}</definedName>
    <definedName name="yy" hidden="1">{#N/A,#N/A,FALSE,"Sum6 (1)"}</definedName>
    <definedName name="z" localSheetId="5" hidden="1">{#N/A,#N/A,TRUE,"Task Status";#N/A,#N/A,TRUE,"Document Status";#N/A,#N/A,TRUE,"Percent Complete";#N/A,#N/A,TRUE,"Manhour Sum"}</definedName>
    <definedName name="z" hidden="1">{#N/A,#N/A,TRUE,"Task Status";#N/A,#N/A,TRUE,"Document Status";#N/A,#N/A,TRUE,"Percent Complete";#N/A,#N/A,TRUE,"Manhour Sum"}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7" i="4" l="1"/>
  <c r="R6" i="4"/>
  <c r="S3" i="4"/>
  <c r="R3" i="4" s="1"/>
  <c r="S4" i="4"/>
  <c r="R4" i="4" s="1"/>
  <c r="T4" i="4"/>
  <c r="T3" i="4"/>
  <c r="T5" i="4" l="1"/>
  <c r="T6" i="4"/>
  <c r="S7" i="4"/>
  <c r="S6" i="4" l="1"/>
  <c r="S5" i="4"/>
  <c r="R5" i="4" s="1"/>
</calcChain>
</file>

<file path=xl/sharedStrings.xml><?xml version="1.0" encoding="utf-8"?>
<sst xmlns="http://schemas.openxmlformats.org/spreadsheetml/2006/main" count="239" uniqueCount="145">
  <si>
    <t>Recommendations</t>
  </si>
  <si>
    <t>Estimate Review Comments Tracking</t>
  </si>
  <si>
    <t>Peer Review</t>
  </si>
  <si>
    <t>Item #</t>
  </si>
  <si>
    <t>Item /Tab</t>
  </si>
  <si>
    <t>Review Comments</t>
  </si>
  <si>
    <t>Estimator reply</t>
  </si>
  <si>
    <t>Other Notes</t>
  </si>
  <si>
    <t>Reviewer</t>
  </si>
  <si>
    <t>Peer 2</t>
  </si>
  <si>
    <t>-</t>
  </si>
  <si>
    <t>* Reference deliverables required for each level of estimate grade</t>
  </si>
  <si>
    <t>Table of Deliverables for Estimates by Estimate Grade</t>
  </si>
  <si>
    <t>Rev 01</t>
  </si>
  <si>
    <t>Level of estimate</t>
  </si>
  <si>
    <t>Order of Magnitude (OOM)</t>
  </si>
  <si>
    <t>Conceptual</t>
  </si>
  <si>
    <t>Planning</t>
  </si>
  <si>
    <t>Detailed</t>
  </si>
  <si>
    <t>IFC</t>
  </si>
  <si>
    <t>Partial Funding</t>
  </si>
  <si>
    <t>SDC ( alternates)</t>
  </si>
  <si>
    <t>SDC (preferred alt)</t>
  </si>
  <si>
    <t>Full Funding</t>
  </si>
  <si>
    <t>Not Distinct Est. Category</t>
  </si>
  <si>
    <t>Engr. Deliverables by discipline with project scope</t>
  </si>
  <si>
    <t>OOM</t>
  </si>
  <si>
    <t>Preliminary</t>
  </si>
  <si>
    <t>Engr. Deliverables Checklist by each disipline with project scope</t>
  </si>
  <si>
    <t>P6 Schedule</t>
  </si>
  <si>
    <t>NA</t>
  </si>
  <si>
    <t>Milestone dates</t>
  </si>
  <si>
    <t>Construciblilty review (Form)</t>
  </si>
  <si>
    <t>Overview - constr. execution</t>
  </si>
  <si>
    <t>Input (scope &amp; cost) from supporting groups</t>
  </si>
  <si>
    <t xml:space="preserve">   Siting</t>
  </si>
  <si>
    <t>Type of Siting Req'd</t>
  </si>
  <si>
    <t xml:space="preserve">Scope &amp; Cost </t>
  </si>
  <si>
    <t>Scope &amp; Cost</t>
  </si>
  <si>
    <t xml:space="preserve">   Project services</t>
  </si>
  <si>
    <t>Type of Outreach Req'd</t>
  </si>
  <si>
    <t xml:space="preserve">   Enviromental</t>
  </si>
  <si>
    <t>Any major costs anticipated such as a large remediation effort</t>
  </si>
  <si>
    <t xml:space="preserve">   Legal</t>
  </si>
  <si>
    <t xml:space="preserve">   Land</t>
  </si>
  <si>
    <t>Vendor or Const. bids</t>
  </si>
  <si>
    <t>Any Available</t>
  </si>
  <si>
    <t>Actuals to date (Formatted by E-Builder WBS codes)</t>
  </si>
  <si>
    <t>Risks Identification</t>
  </si>
  <si>
    <t>Single Contingency Line Loss</t>
  </si>
  <si>
    <t>Identify Potential</t>
  </si>
  <si>
    <t xml:space="preserve">   ERM impacts         ( if applicable)</t>
  </si>
  <si>
    <t>-25% / 50%</t>
  </si>
  <si>
    <t>-50% / 200%</t>
  </si>
  <si>
    <t>-25% / 25%</t>
  </si>
  <si>
    <t>-10% / 10%</t>
  </si>
  <si>
    <t>Required</t>
  </si>
  <si>
    <t>Review Req'd By</t>
  </si>
  <si>
    <t>_</t>
  </si>
  <si>
    <t>EPAC notes</t>
  </si>
  <si>
    <t>Project unit costs</t>
  </si>
  <si>
    <t>Cost drivers</t>
  </si>
  <si>
    <t>Lead Review</t>
  </si>
  <si>
    <t>Managerial Review</t>
  </si>
  <si>
    <t>Ghari Bassaragh</t>
  </si>
  <si>
    <t>Review Status</t>
  </si>
  <si>
    <t xml:space="preserve">Peer 1 </t>
  </si>
  <si>
    <t>MGMT</t>
  </si>
  <si>
    <t>Stage</t>
  </si>
  <si>
    <t>Status</t>
  </si>
  <si>
    <t>Complete</t>
  </si>
  <si>
    <t>Lead 1</t>
  </si>
  <si>
    <t>Lead 2</t>
  </si>
  <si>
    <t xml:space="preserve">ESTIMATE BASIS </t>
  </si>
  <si>
    <t xml:space="preserve">Project Title: </t>
  </si>
  <si>
    <t xml:space="preserve">Estimate #: </t>
  </si>
  <si>
    <t xml:space="preserve">Project Mgr/Lead: </t>
  </si>
  <si>
    <t xml:space="preserve">Project Number: </t>
  </si>
  <si>
    <t xml:space="preserve">Estimate done by: </t>
  </si>
  <si>
    <t xml:space="preserve">WO &amp; Task #: </t>
  </si>
  <si>
    <t>In Service date (ISD):</t>
  </si>
  <si>
    <t>Date of Estimate:</t>
  </si>
  <si>
    <t>Estimate Conditions</t>
  </si>
  <si>
    <t>Estimate Scope</t>
  </si>
  <si>
    <t>Reviewer #2</t>
  </si>
  <si>
    <t>Reviewer #1</t>
  </si>
  <si>
    <t>Estimate Closeout Checklist (complete before submission of estimate to requester)</t>
  </si>
  <si>
    <t>Item</t>
  </si>
  <si>
    <t>Notes</t>
  </si>
  <si>
    <t xml:space="preserve">Archive </t>
  </si>
  <si>
    <t>Estimate Request</t>
  </si>
  <si>
    <t>Scope Basis Information</t>
  </si>
  <si>
    <t>General Email Correspondence</t>
  </si>
  <si>
    <t>Pertinent Information Uploaded to Database</t>
  </si>
  <si>
    <t>Estimate Log Updated</t>
  </si>
  <si>
    <t>Date Scoping Received Filled Out</t>
  </si>
  <si>
    <t>Self-Check Completed</t>
  </si>
  <si>
    <t>Basis Checklist Completed</t>
  </si>
  <si>
    <t xml:space="preserve">Summary and Assumptions Documented </t>
  </si>
  <si>
    <t>Cover, PAF and Detail Sum Totals Match</t>
  </si>
  <si>
    <t>Costs in-line with Benchmark? If not address on cover.</t>
  </si>
  <si>
    <t>Review Completed</t>
  </si>
  <si>
    <t>See estimate review comments tab</t>
  </si>
  <si>
    <t>Pre-Submission Checklist</t>
  </si>
  <si>
    <t>Peer Reviews complete</t>
  </si>
  <si>
    <t>Lead Review complete</t>
  </si>
  <si>
    <t>Submitted ESF in Estimate folder</t>
  </si>
  <si>
    <t>ESF Created and verified</t>
  </si>
  <si>
    <t>All scoping information included in ESF</t>
  </si>
  <si>
    <t>Scoping Documents</t>
  </si>
  <si>
    <t>Name</t>
  </si>
  <si>
    <t>Location</t>
  </si>
  <si>
    <t>Date</t>
  </si>
  <si>
    <t>PAG</t>
  </si>
  <si>
    <t>Hyde Park BESS</t>
  </si>
  <si>
    <t>Sage</t>
  </si>
  <si>
    <t>bump your environmental Contractor hours to at least 160 beacause of the landfill</t>
  </si>
  <si>
    <t xml:space="preserve">Increase your outreach hours because the area residents are not happy about this and were using eversource property for gardens and such. </t>
  </si>
  <si>
    <t>40hrs to 160hrs both Eversource and Contractor - complete 8/24/26</t>
  </si>
  <si>
    <t>240 hrs to 480 mhrs  Eversource and 40 hrs to 480 mhrs Contractor - complete 8/24/26</t>
  </si>
  <si>
    <t>Hyde Park BESS - new station 360</t>
  </si>
  <si>
    <t>D. Piccorelli</t>
  </si>
  <si>
    <t>SAGE</t>
  </si>
  <si>
    <t>Permits costs.</t>
  </si>
  <si>
    <t>Include soil disposal</t>
  </si>
  <si>
    <t>Complete 8/24/26</t>
  </si>
  <si>
    <t>Risk, include cost for soil contamination</t>
  </si>
  <si>
    <t>Hyde Park BESS - new station 496</t>
  </si>
  <si>
    <t>Estimate level</t>
  </si>
  <si>
    <t>Key quantities</t>
  </si>
  <si>
    <t>ESF</t>
  </si>
  <si>
    <t>Cont. 15% R/C</t>
  </si>
  <si>
    <t>Robert Herman</t>
  </si>
  <si>
    <t>Brian Roche</t>
  </si>
  <si>
    <t>12/28/285</t>
  </si>
  <si>
    <t>200'x200' - Develop a New SS Site.</t>
  </si>
  <si>
    <t>Twelve (12) - Normad Voyager Eagle LFP BESS Systems with 251"x108" Foundation Pads.</t>
  </si>
  <si>
    <t>Four (4) - 15 kV, Siemens SDV7 Standalone, 1,200-Amps Breaker with Foundations.</t>
  </si>
  <si>
    <t>(2.5 Acres) - Clear and Grub.</t>
  </si>
  <si>
    <t>(1.75 Acres) - Clear Wooded Area for Access Road.</t>
  </si>
  <si>
    <t>Justin Niderno</t>
  </si>
  <si>
    <t>Conditional approval</t>
  </si>
  <si>
    <t>Need CWIP set to yes</t>
  </si>
  <si>
    <t>Suggest staying between 15-18% for Risk/contingency.</t>
  </si>
  <si>
    <t>complete 8/25/26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</si>
</sst>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$&quot;#,##0_);\(&quot;$&quot;#,##0\)"/>
    <numFmt numFmtId="164" formatCode="m/d/yyyy;@"/>
  </numFmts>
  <fonts count="2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8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Helv"/>
    </font>
    <font>
      <sz val="8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3F9FA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auto="1"/>
      </right>
      <top/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4">
    <xf numFmtId="0" fontId="0" fillId="0" borderId="0"/>
    <xf numFmtId="0" fontId="10" fillId="0" borderId="0"/>
    <xf numFmtId="0" fontId="11" fillId="0" borderId="0"/>
    <xf numFmtId="0" fontId="19" fillId="0" borderId="0"/>
  </cellStyleXfs>
  <cellXfs count="13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0" fontId="1" fillId="0" borderId="4" xfId="0" applyFont="1" applyBorder="1"/>
    <xf numFmtId="0" fontId="1" fillId="0" borderId="5" xfId="0" applyFont="1" applyBorder="1"/>
    <xf numFmtId="0" fontId="1" fillId="0" borderId="5" xfId="0" applyFont="1" applyBorder="1" applyAlignment="1">
      <alignment vertical="top" wrapText="1"/>
    </xf>
    <xf numFmtId="0" fontId="1" fillId="0" borderId="0" xfId="0" applyFont="1" applyBorder="1"/>
    <xf numFmtId="0" fontId="0" fillId="0" borderId="0" xfId="0" applyAlignment="1">
      <alignment vertical="top"/>
    </xf>
    <xf numFmtId="0" fontId="4" fillId="0" borderId="13" xfId="0" applyFont="1" applyBorder="1" applyAlignment="1">
      <alignment horizontal="center" vertical="top"/>
    </xf>
    <xf numFmtId="0" fontId="0" fillId="2" borderId="14" xfId="0" applyFill="1" applyBorder="1" applyAlignment="1" applyProtection="1">
      <alignment vertical="top" wrapText="1"/>
      <protection locked="0"/>
    </xf>
    <xf numFmtId="0" fontId="4" fillId="0" borderId="0" xfId="0" applyFont="1" applyBorder="1" applyAlignment="1">
      <alignment horizontal="center" vertical="top"/>
    </xf>
    <xf numFmtId="0" fontId="0" fillId="0" borderId="4" xfId="0" applyBorder="1" applyAlignment="1">
      <alignment vertical="top"/>
    </xf>
    <xf numFmtId="0" fontId="0" fillId="0" borderId="0" xfId="0" applyBorder="1" applyAlignment="1">
      <alignment vertical="top"/>
    </xf>
    <xf numFmtId="0" fontId="4" fillId="2" borderId="0" xfId="0" applyFont="1" applyFill="1" applyBorder="1" applyAlignment="1" applyProtection="1">
      <alignment horizontal="center" vertical="top"/>
      <protection locked="0"/>
    </xf>
    <xf numFmtId="0" fontId="3" fillId="0" borderId="1" xfId="0" applyFont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3" fillId="0" borderId="4" xfId="0" applyFont="1" applyBorder="1" applyAlignment="1">
      <alignment vertical="top"/>
    </xf>
    <xf numFmtId="0" fontId="0" fillId="0" borderId="5" xfId="0" applyBorder="1" applyAlignment="1">
      <alignment vertical="top"/>
    </xf>
    <xf numFmtId="0" fontId="4" fillId="0" borderId="15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2" fillId="0" borderId="4" xfId="0" applyFont="1" applyBorder="1"/>
    <xf numFmtId="0" fontId="0" fillId="2" borderId="16" xfId="0" applyFill="1" applyBorder="1" applyAlignment="1" applyProtection="1">
      <alignment vertical="top" wrapText="1"/>
      <protection locked="0"/>
    </xf>
    <xf numFmtId="0" fontId="0" fillId="2" borderId="17" xfId="0" applyFill="1" applyBorder="1" applyAlignment="1" applyProtection="1">
      <alignment vertical="top" wrapText="1"/>
      <protection locked="0"/>
    </xf>
    <xf numFmtId="0" fontId="5" fillId="2" borderId="18" xfId="0" applyFont="1" applyFill="1" applyBorder="1" applyAlignment="1" applyProtection="1">
      <alignment vertical="top" wrapText="1"/>
      <protection locked="0"/>
    </xf>
    <xf numFmtId="0" fontId="4" fillId="0" borderId="19" xfId="0" applyFont="1" applyBorder="1" applyAlignment="1">
      <alignment horizontal="center" vertical="top"/>
    </xf>
    <xf numFmtId="0" fontId="4" fillId="0" borderId="20" xfId="0" applyFont="1" applyBorder="1" applyAlignment="1">
      <alignment horizontal="center" vertical="top"/>
    </xf>
    <xf numFmtId="0" fontId="1" fillId="0" borderId="21" xfId="0" applyFont="1" applyBorder="1"/>
    <xf numFmtId="0" fontId="0" fillId="0" borderId="22" xfId="0" applyBorder="1" applyAlignment="1">
      <alignment horizontal="center" vertical="top"/>
    </xf>
    <xf numFmtId="0" fontId="6" fillId="3" borderId="23" xfId="0" applyFont="1" applyFill="1" applyBorder="1" applyAlignment="1">
      <alignment horizontal="left" vertical="top" wrapText="1" readingOrder="1"/>
    </xf>
    <xf numFmtId="0" fontId="6" fillId="3" borderId="23" xfId="0" applyFont="1" applyFill="1" applyBorder="1" applyAlignment="1">
      <alignment horizontal="center" vertical="top" wrapText="1" readingOrder="1"/>
    </xf>
    <xf numFmtId="0" fontId="7" fillId="3" borderId="23" xfId="0" applyFont="1" applyFill="1" applyBorder="1" applyAlignment="1">
      <alignment horizontal="center" vertical="top" wrapText="1"/>
    </xf>
    <xf numFmtId="0" fontId="7" fillId="3" borderId="23" xfId="0" applyFont="1" applyFill="1" applyBorder="1" applyAlignment="1">
      <alignment vertical="top" wrapText="1"/>
    </xf>
    <xf numFmtId="14" fontId="6" fillId="3" borderId="23" xfId="0" applyNumberFormat="1" applyFont="1" applyFill="1" applyBorder="1" applyAlignment="1">
      <alignment horizontal="right" vertical="top" wrapText="1" readingOrder="1"/>
    </xf>
    <xf numFmtId="0" fontId="6" fillId="3" borderId="23" xfId="0" applyFont="1" applyFill="1" applyBorder="1" applyAlignment="1">
      <alignment horizontal="right" vertical="top" wrapText="1" readingOrder="1"/>
    </xf>
    <xf numFmtId="49" fontId="6" fillId="3" borderId="23" xfId="0" applyNumberFormat="1" applyFont="1" applyFill="1" applyBorder="1" applyAlignment="1">
      <alignment horizontal="center" vertical="top" wrapText="1" readingOrder="1"/>
    </xf>
    <xf numFmtId="49" fontId="6" fillId="3" borderId="23" xfId="0" applyNumberFormat="1" applyFont="1" applyFill="1" applyBorder="1" applyAlignment="1">
      <alignment horizontal="left" vertical="top" wrapText="1" readingOrder="1"/>
    </xf>
    <xf numFmtId="0" fontId="3" fillId="0" borderId="0" xfId="0" applyFont="1" applyAlignment="1">
      <alignment vertical="top"/>
    </xf>
    <xf numFmtId="5" fontId="0" fillId="0" borderId="0" xfId="0" applyNumberFormat="1" applyAlignment="1">
      <alignment horizontal="right" vertical="top"/>
    </xf>
    <xf numFmtId="0" fontId="4" fillId="0" borderId="13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 applyProtection="1">
      <alignment horizontal="center" vertical="top"/>
      <protection locked="0"/>
    </xf>
    <xf numFmtId="0" fontId="0" fillId="0" borderId="0" xfId="0" applyAlignment="1">
      <alignment horizontal="center" vertical="top"/>
    </xf>
    <xf numFmtId="0" fontId="0" fillId="2" borderId="0" xfId="0" applyFill="1" applyAlignment="1" applyProtection="1">
      <alignment vertical="top" wrapText="1"/>
      <protection locked="0"/>
    </xf>
    <xf numFmtId="0" fontId="5" fillId="0" borderId="0" xfId="0" applyFont="1" applyAlignment="1">
      <alignment vertical="top"/>
    </xf>
    <xf numFmtId="0" fontId="0" fillId="4" borderId="0" xfId="0" applyFill="1" applyAlignment="1">
      <alignment vertical="top"/>
    </xf>
    <xf numFmtId="0" fontId="8" fillId="0" borderId="0" xfId="0" applyFont="1"/>
    <xf numFmtId="0" fontId="9" fillId="0" borderId="0" xfId="0" applyFont="1"/>
    <xf numFmtId="0" fontId="0" fillId="2" borderId="0" xfId="0" applyFill="1" applyAlignment="1" applyProtection="1">
      <alignment horizontal="centerContinuous" wrapText="1"/>
      <protection locked="0"/>
    </xf>
    <xf numFmtId="0" fontId="0" fillId="2" borderId="0" xfId="0" applyFill="1" applyAlignment="1" applyProtection="1">
      <alignment horizontal="centerContinuous" vertical="top" wrapText="1"/>
      <protection locked="0"/>
    </xf>
    <xf numFmtId="0" fontId="0" fillId="0" borderId="0" xfId="0" applyAlignment="1">
      <alignment horizontal="centerContinuous" wrapText="1"/>
    </xf>
    <xf numFmtId="0" fontId="0" fillId="0" borderId="0" xfId="0" applyAlignment="1">
      <alignment horizontal="centerContinuous" vertical="top" wrapText="1"/>
    </xf>
    <xf numFmtId="0" fontId="0" fillId="0" borderId="0" xfId="0" applyAlignment="1">
      <alignment horizontal="center"/>
    </xf>
    <xf numFmtId="0" fontId="10" fillId="0" borderId="0" xfId="1"/>
    <xf numFmtId="5" fontId="12" fillId="0" borderId="9" xfId="2" applyNumberFormat="1" applyFont="1" applyBorder="1"/>
    <xf numFmtId="5" fontId="12" fillId="0" borderId="9" xfId="2" applyNumberFormat="1" applyFont="1" applyBorder="1" applyAlignment="1">
      <alignment horizontal="center"/>
    </xf>
    <xf numFmtId="5" fontId="14" fillId="0" borderId="28" xfId="2" applyNumberFormat="1" applyFont="1" applyBorder="1" applyAlignment="1">
      <alignment horizontal="left"/>
    </xf>
    <xf numFmtId="5" fontId="14" fillId="0" borderId="0" xfId="2" applyNumberFormat="1" applyFont="1"/>
    <xf numFmtId="5" fontId="15" fillId="0" borderId="0" xfId="2" applyNumberFormat="1" applyFont="1" applyAlignment="1">
      <alignment horizontal="left"/>
    </xf>
    <xf numFmtId="5" fontId="12" fillId="0" borderId="0" xfId="2" applyNumberFormat="1" applyFont="1"/>
    <xf numFmtId="5" fontId="14" fillId="0" borderId="0" xfId="2" applyNumberFormat="1" applyFont="1" applyAlignment="1">
      <alignment horizontal="left"/>
    </xf>
    <xf numFmtId="0" fontId="12" fillId="0" borderId="29" xfId="2" applyFont="1" applyBorder="1"/>
    <xf numFmtId="0" fontId="4" fillId="0" borderId="0" xfId="2" applyFont="1"/>
    <xf numFmtId="1" fontId="16" fillId="0" borderId="0" xfId="2" applyNumberFormat="1" applyFont="1" applyAlignment="1">
      <alignment horizontal="left"/>
    </xf>
    <xf numFmtId="0" fontId="12" fillId="0" borderId="0" xfId="2" applyFont="1" applyAlignment="1">
      <alignment horizontal="left"/>
    </xf>
    <xf numFmtId="164" fontId="17" fillId="0" borderId="0" xfId="2" applyNumberFormat="1" applyFont="1"/>
    <xf numFmtId="5" fontId="18" fillId="0" borderId="29" xfId="2" applyNumberFormat="1" applyFont="1" applyBorder="1" applyAlignment="1">
      <alignment horizontal="left"/>
    </xf>
    <xf numFmtId="0" fontId="12" fillId="0" borderId="0" xfId="2" applyFont="1"/>
    <xf numFmtId="14" fontId="12" fillId="0" borderId="0" xfId="2" applyNumberFormat="1" applyFont="1" applyAlignment="1">
      <alignment horizontal="left"/>
    </xf>
    <xf numFmtId="5" fontId="12" fillId="0" borderId="0" xfId="2" applyNumberFormat="1" applyFont="1" applyAlignment="1">
      <alignment horizontal="center"/>
    </xf>
    <xf numFmtId="5" fontId="14" fillId="0" borderId="30" xfId="2" applyNumberFormat="1" applyFont="1" applyBorder="1"/>
    <xf numFmtId="5" fontId="14" fillId="0" borderId="31" xfId="2" applyNumberFormat="1" applyFont="1" applyBorder="1"/>
    <xf numFmtId="5" fontId="12" fillId="0" borderId="31" xfId="2" applyNumberFormat="1" applyFont="1" applyBorder="1" applyAlignment="1">
      <alignment horizontal="left"/>
    </xf>
    <xf numFmtId="5" fontId="12" fillId="0" borderId="31" xfId="2" applyNumberFormat="1" applyFont="1" applyBorder="1"/>
    <xf numFmtId="0" fontId="0" fillId="0" borderId="31" xfId="0" applyBorder="1"/>
    <xf numFmtId="5" fontId="14" fillId="0" borderId="32" xfId="2" applyNumberFormat="1" applyFont="1" applyBorder="1" applyAlignment="1">
      <alignment horizontal="left"/>
    </xf>
    <xf numFmtId="5" fontId="14" fillId="0" borderId="0" xfId="2" applyNumberFormat="1" applyFont="1" applyAlignment="1">
      <alignment horizontal="right"/>
    </xf>
    <xf numFmtId="5" fontId="14" fillId="0" borderId="0" xfId="2" applyNumberFormat="1" applyFont="1" applyFill="1" applyBorder="1"/>
    <xf numFmtId="0" fontId="20" fillId="0" borderId="19" xfId="3" applyFont="1" applyBorder="1"/>
    <xf numFmtId="0" fontId="19" fillId="0" borderId="13" xfId="3" applyBorder="1"/>
    <xf numFmtId="0" fontId="19" fillId="0" borderId="20" xfId="3" applyBorder="1"/>
    <xf numFmtId="0" fontId="21" fillId="0" borderId="19" xfId="3" applyFont="1" applyBorder="1"/>
    <xf numFmtId="0" fontId="21" fillId="0" borderId="13" xfId="3" applyFont="1" applyBorder="1"/>
    <xf numFmtId="0" fontId="21" fillId="0" borderId="23" xfId="3" applyFont="1" applyBorder="1" applyAlignment="1">
      <alignment horizontal="left" textRotation="59"/>
    </xf>
    <xf numFmtId="0" fontId="21" fillId="0" borderId="20" xfId="3" applyFont="1" applyBorder="1" applyAlignment="1">
      <alignment horizontal="center"/>
    </xf>
    <xf numFmtId="0" fontId="22" fillId="5" borderId="19" xfId="3" applyFont="1" applyFill="1" applyBorder="1"/>
    <xf numFmtId="0" fontId="22" fillId="5" borderId="13" xfId="3" applyFont="1" applyFill="1" applyBorder="1"/>
    <xf numFmtId="0" fontId="22" fillId="5" borderId="23" xfId="3" applyFont="1" applyFill="1" applyBorder="1"/>
    <xf numFmtId="0" fontId="22" fillId="5" borderId="20" xfId="3" applyFont="1" applyFill="1" applyBorder="1" applyAlignment="1">
      <alignment wrapText="1"/>
    </xf>
    <xf numFmtId="0" fontId="22" fillId="0" borderId="19" xfId="3" applyFont="1" applyBorder="1"/>
    <xf numFmtId="0" fontId="22" fillId="0" borderId="13" xfId="3" applyFont="1" applyBorder="1"/>
    <xf numFmtId="0" fontId="22" fillId="0" borderId="23" xfId="3" applyFont="1" applyBorder="1"/>
    <xf numFmtId="0" fontId="22" fillId="0" borderId="20" xfId="3" applyFont="1" applyBorder="1" applyAlignment="1" applyProtection="1">
      <alignment wrapText="1"/>
      <protection locked="0"/>
    </xf>
    <xf numFmtId="0" fontId="22" fillId="5" borderId="20" xfId="3" applyFont="1" applyFill="1" applyBorder="1" applyAlignment="1" applyProtection="1">
      <alignment wrapText="1"/>
      <protection locked="0"/>
    </xf>
    <xf numFmtId="0" fontId="23" fillId="0" borderId="13" xfId="3" applyFont="1" applyBorder="1"/>
    <xf numFmtId="0" fontId="19" fillId="0" borderId="19" xfId="3" applyBorder="1"/>
    <xf numFmtId="0" fontId="19" fillId="0" borderId="0" xfId="3"/>
    <xf numFmtId="0" fontId="0" fillId="0" borderId="23" xfId="0" applyBorder="1"/>
    <xf numFmtId="14" fontId="5" fillId="2" borderId="18" xfId="0" applyNumberFormat="1" applyFont="1" applyFill="1" applyBorder="1" applyAlignment="1" applyProtection="1">
      <alignment vertical="top" wrapText="1"/>
      <protection locked="0"/>
    </xf>
    <xf numFmtId="0" fontId="0" fillId="2" borderId="14" xfId="0" applyFill="1" applyBorder="1" applyAlignment="1" applyProtection="1">
      <alignment horizontal="left" vertical="top" wrapText="1"/>
      <protection locked="0"/>
    </xf>
    <xf numFmtId="0" fontId="0" fillId="2" borderId="16" xfId="0" applyFill="1" applyBorder="1" applyAlignment="1" applyProtection="1">
      <alignment vertical="top"/>
      <protection locked="0"/>
    </xf>
    <xf numFmtId="1" fontId="5" fillId="0" borderId="0" xfId="2" applyNumberFormat="1" applyFont="1" applyAlignment="1">
      <alignment horizontal="left"/>
    </xf>
    <xf numFmtId="38" fontId="5" fillId="0" borderId="0" xfId="2" quotePrefix="1" applyNumberFormat="1" applyFont="1" applyAlignment="1">
      <alignment horizontal="left"/>
    </xf>
    <xf numFmtId="0" fontId="5" fillId="0" borderId="0" xfId="2" applyFont="1"/>
    <xf numFmtId="5" fontId="12" fillId="0" borderId="0" xfId="2" applyNumberFormat="1" applyFont="1" applyAlignment="1">
      <alignment horizontal="left"/>
    </xf>
    <xf numFmtId="164" fontId="16" fillId="0" borderId="0" xfId="2" applyNumberFormat="1" applyFont="1" applyAlignment="1">
      <alignment horizontal="left"/>
    </xf>
    <xf numFmtId="0" fontId="0" fillId="2" borderId="0" xfId="0" applyFill="1" applyAlignment="1" applyProtection="1">
      <alignment horizontal="left"/>
      <protection locked="0"/>
    </xf>
    <xf numFmtId="0" fontId="6" fillId="3" borderId="23" xfId="0" applyFont="1" applyFill="1" applyBorder="1" applyAlignment="1">
      <alignment horizontal="left" vertical="top" wrapText="1" readingOrder="1"/>
    </xf>
    <xf numFmtId="0" fontId="0" fillId="0" borderId="23" xfId="0" applyBorder="1" applyAlignment="1">
      <alignment horizontal="center"/>
    </xf>
    <xf numFmtId="0" fontId="8" fillId="0" borderId="0" xfId="0" applyFont="1" applyAlignment="1">
      <alignment horizontal="center" vertical="top"/>
    </xf>
    <xf numFmtId="5" fontId="13" fillId="0" borderId="25" xfId="2" applyNumberFormat="1" applyFont="1" applyBorder="1" applyAlignment="1">
      <alignment horizontal="center"/>
    </xf>
    <xf numFmtId="5" fontId="13" fillId="0" borderId="26" xfId="2" applyNumberFormat="1" applyFont="1" applyBorder="1" applyAlignment="1">
      <alignment horizontal="center"/>
    </xf>
    <xf numFmtId="5" fontId="13" fillId="0" borderId="27" xfId="2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/>
    </xf>
    <xf numFmtId="0" fontId="4" fillId="2" borderId="0" xfId="0" applyFont="1" applyFill="1" applyBorder="1" applyAlignment="1">
      <alignment horizontal="left" vertical="top"/>
    </xf>
    <xf numFmtId="0" fontId="0" fillId="2" borderId="16" xfId="0" applyFill="1" applyBorder="1" applyAlignment="1" applyProtection="1">
      <alignment horizontal="left" vertical="top" wrapText="1"/>
      <protection locked="0"/>
    </xf>
    <xf numFmtId="0" fontId="0" fillId="2" borderId="17" xfId="0" applyFill="1" applyBorder="1" applyAlignment="1" applyProtection="1">
      <alignment horizontal="left" vertical="top" wrapText="1"/>
      <protection locked="0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0" fillId="2" borderId="18" xfId="0" applyFill="1" applyBorder="1" applyAlignment="1" applyProtection="1">
      <alignment horizontal="left" vertical="top" wrapText="1"/>
      <protection locked="0"/>
    </xf>
    <xf numFmtId="0" fontId="0" fillId="2" borderId="0" xfId="0" applyFill="1" applyBorder="1" applyAlignment="1" applyProtection="1">
      <alignment horizontal="center" vertical="top" wrapText="1"/>
      <protection locked="0"/>
    </xf>
    <xf numFmtId="0" fontId="0" fillId="2" borderId="24" xfId="0" applyFill="1" applyBorder="1" applyAlignment="1" applyProtection="1">
      <alignment horizontal="center" vertical="top" wrapText="1"/>
      <protection locked="0"/>
    </xf>
    <xf numFmtId="0" fontId="0" fillId="2" borderId="0" xfId="0" applyFill="1" applyAlignment="1" applyProtection="1">
      <alignment horizontal="center" vertical="top" wrapText="1"/>
      <protection locked="0"/>
    </xf>
  </cellXfs>
  <cellStyles count="4">
    <cellStyle name="Normal" xfId="0" builtinId="0"/>
    <cellStyle name="Normal 2 2" xfId="3" xr:uid="{9F822B8B-92E0-4239-82F9-7C4799C106F5}"/>
    <cellStyle name="Normal 7" xfId="1" xr:uid="{FAEB248C-3477-4886-A6E2-1C4B8D60359C}"/>
    <cellStyle name="Normal_CBATCOV" xfId="2" xr:uid="{ABC1B4F9-9C53-430C-8BA1-B07A42C80C50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9</xdr:row>
      <xdr:rowOff>66675</xdr:rowOff>
    </xdr:from>
    <xdr:to>
      <xdr:col>15</xdr:col>
      <xdr:colOff>9525</xdr:colOff>
      <xdr:row>18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09550" y="1809750"/>
          <a:ext cx="9105900" cy="1676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11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Installation of a 10MW/20MWH utility scale battery storage system (BESS) at 401-403 Cummings Highway near Hyde Park Substation #496 in Hyde Park, Boston MA.</a:t>
          </a:r>
        </a:p>
        <a:p>
          <a:pPr rtl="0"/>
          <a:endParaRPr lang="en-US" sz="1100" b="0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rtl="0"/>
          <a:r>
            <a:rPr lang="en-US" sz="11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Substation Design to integrate the existing 13.8 kV distribution infrastructure with a new Battery Energy Storage System (BESS) facility. Station 360 will include 4 standalone interconnection breakers, and the BESS system.</a:t>
          </a:r>
        </a:p>
        <a:p>
          <a:pPr rtl="0"/>
          <a:endParaRPr lang="en-US" sz="1100" b="0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rtl="0"/>
          <a:endParaRPr lang="en-US" sz="1100" b="0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twoCellAnchor>
  <xdr:twoCellAnchor>
    <xdr:from>
      <xdr:col>1</xdr:col>
      <xdr:colOff>133350</xdr:colOff>
      <xdr:row>21</xdr:row>
      <xdr:rowOff>114299</xdr:rowOff>
    </xdr:from>
    <xdr:to>
      <xdr:col>14</xdr:col>
      <xdr:colOff>571500</xdr:colOff>
      <xdr:row>32</xdr:row>
      <xdr:rowOff>85724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247650" y="4152899"/>
          <a:ext cx="9020175" cy="2066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11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Site is a former landfill for construction debris and efforts will be made during the design process to limit excavation when possible.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No site conditions poise any challenges for the ground grid.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Soil borings are planned.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Eversource is the owner of the property.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Building construction is not required.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Per project team: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No control house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Breakers, $300k each, include skid, relays, PTs, hook type disconnect switches, DC battery, </a:t>
          </a:r>
        </a:p>
        <a:p>
          <a:pPr rtl="0"/>
          <a:endParaRPr lang="en-US" sz="1100" b="0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rtl="0"/>
          <a:endParaRPr lang="en-US" sz="1100" b="0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rtl="0"/>
          <a:endParaRPr lang="en-US" sz="1100" b="0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2</xdr:row>
          <xdr:rowOff>123825</xdr:rowOff>
        </xdr:from>
        <xdr:to>
          <xdr:col>5</xdr:col>
          <xdr:colOff>0</xdr:colOff>
          <xdr:row>4</xdr:row>
          <xdr:rowOff>9525</xdr:rowOff>
        </xdr:to>
        <xdr:sp macro="" textlink="">
          <xdr:nvSpPr>
            <xdr:cNvPr id="10241" name="Check Box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5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3</xdr:row>
          <xdr:rowOff>123825</xdr:rowOff>
        </xdr:from>
        <xdr:to>
          <xdr:col>5</xdr:col>
          <xdr:colOff>0</xdr:colOff>
          <xdr:row>5</xdr:row>
          <xdr:rowOff>9525</xdr:rowOff>
        </xdr:to>
        <xdr:sp macro="" textlink="">
          <xdr:nvSpPr>
            <xdr:cNvPr id="10242" name="Check Box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5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4</xdr:row>
          <xdr:rowOff>123825</xdr:rowOff>
        </xdr:from>
        <xdr:to>
          <xdr:col>5</xdr:col>
          <xdr:colOff>0</xdr:colOff>
          <xdr:row>6</xdr:row>
          <xdr:rowOff>9525</xdr:rowOff>
        </xdr:to>
        <xdr:sp macro="" textlink="">
          <xdr:nvSpPr>
            <xdr:cNvPr id="10243" name="Check Box 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0500-00000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5</xdr:row>
          <xdr:rowOff>123825</xdr:rowOff>
        </xdr:from>
        <xdr:to>
          <xdr:col>5</xdr:col>
          <xdr:colOff>0</xdr:colOff>
          <xdr:row>7</xdr:row>
          <xdr:rowOff>9525</xdr:rowOff>
        </xdr:to>
        <xdr:sp macro="" textlink="">
          <xdr:nvSpPr>
            <xdr:cNvPr id="10244" name="Check Box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0500-00000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6</xdr:row>
          <xdr:rowOff>123825</xdr:rowOff>
        </xdr:from>
        <xdr:to>
          <xdr:col>5</xdr:col>
          <xdr:colOff>0</xdr:colOff>
          <xdr:row>8</xdr:row>
          <xdr:rowOff>9525</xdr:rowOff>
        </xdr:to>
        <xdr:sp macro="" textlink="">
          <xdr:nvSpPr>
            <xdr:cNvPr id="10245" name="Check Box 5" hidden="1">
              <a:extLst>
                <a:ext uri="{63B3BB69-23CF-44E3-9099-C40C66FF867C}">
                  <a14:compatExt spid="_x0000_s10245"/>
                </a:ext>
                <a:ext uri="{FF2B5EF4-FFF2-40B4-BE49-F238E27FC236}">
                  <a16:creationId xmlns:a16="http://schemas.microsoft.com/office/drawing/2014/main" id="{00000000-0008-0000-0500-00000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9</xdr:row>
          <xdr:rowOff>123825</xdr:rowOff>
        </xdr:from>
        <xdr:to>
          <xdr:col>5</xdr:col>
          <xdr:colOff>0</xdr:colOff>
          <xdr:row>11</xdr:row>
          <xdr:rowOff>9525</xdr:rowOff>
        </xdr:to>
        <xdr:sp macro="" textlink="">
          <xdr:nvSpPr>
            <xdr:cNvPr id="10246" name="Check Box 6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5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10</xdr:row>
          <xdr:rowOff>123825</xdr:rowOff>
        </xdr:from>
        <xdr:to>
          <xdr:col>5</xdr:col>
          <xdr:colOff>0</xdr:colOff>
          <xdr:row>12</xdr:row>
          <xdr:rowOff>9525</xdr:rowOff>
        </xdr:to>
        <xdr:sp macro="" textlink="">
          <xdr:nvSpPr>
            <xdr:cNvPr id="10247" name="Check Box 7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5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11</xdr:row>
          <xdr:rowOff>123825</xdr:rowOff>
        </xdr:from>
        <xdr:to>
          <xdr:col>5</xdr:col>
          <xdr:colOff>0</xdr:colOff>
          <xdr:row>13</xdr:row>
          <xdr:rowOff>9525</xdr:rowOff>
        </xdr:to>
        <xdr:sp macro="" textlink="">
          <xdr:nvSpPr>
            <xdr:cNvPr id="10248" name="Check Box 8" hidden="1">
              <a:extLst>
                <a:ext uri="{63B3BB69-23CF-44E3-9099-C40C66FF867C}">
                  <a14:compatExt spid="_x0000_s10248"/>
                </a:ext>
                <a:ext uri="{FF2B5EF4-FFF2-40B4-BE49-F238E27FC236}">
                  <a16:creationId xmlns:a16="http://schemas.microsoft.com/office/drawing/2014/main" id="{00000000-0008-0000-0500-00000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12</xdr:row>
          <xdr:rowOff>123825</xdr:rowOff>
        </xdr:from>
        <xdr:to>
          <xdr:col>5</xdr:col>
          <xdr:colOff>0</xdr:colOff>
          <xdr:row>14</xdr:row>
          <xdr:rowOff>9525</xdr:rowOff>
        </xdr:to>
        <xdr:sp macro="" textlink="">
          <xdr:nvSpPr>
            <xdr:cNvPr id="10249" name="Check Box 9" hidden="1">
              <a:extLst>
                <a:ext uri="{63B3BB69-23CF-44E3-9099-C40C66FF867C}">
                  <a14:compatExt spid="_x0000_s10249"/>
                </a:ext>
                <a:ext uri="{FF2B5EF4-FFF2-40B4-BE49-F238E27FC236}">
                  <a16:creationId xmlns:a16="http://schemas.microsoft.com/office/drawing/2014/main" id="{00000000-0008-0000-0500-00000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13</xdr:row>
          <xdr:rowOff>123825</xdr:rowOff>
        </xdr:from>
        <xdr:to>
          <xdr:col>5</xdr:col>
          <xdr:colOff>0</xdr:colOff>
          <xdr:row>15</xdr:row>
          <xdr:rowOff>9525</xdr:rowOff>
        </xdr:to>
        <xdr:sp macro="" textlink="">
          <xdr:nvSpPr>
            <xdr:cNvPr id="10250" name="Check Box 10" hidden="1">
              <a:extLst>
                <a:ext uri="{63B3BB69-23CF-44E3-9099-C40C66FF867C}">
                  <a14:compatExt spid="_x0000_s10250"/>
                </a:ext>
                <a:ext uri="{FF2B5EF4-FFF2-40B4-BE49-F238E27FC236}">
                  <a16:creationId xmlns:a16="http://schemas.microsoft.com/office/drawing/2014/main" id="{00000000-0008-0000-0500-00000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16</xdr:row>
          <xdr:rowOff>123825</xdr:rowOff>
        </xdr:from>
        <xdr:to>
          <xdr:col>5</xdr:col>
          <xdr:colOff>0</xdr:colOff>
          <xdr:row>18</xdr:row>
          <xdr:rowOff>9525</xdr:rowOff>
        </xdr:to>
        <xdr:sp macro="" textlink="">
          <xdr:nvSpPr>
            <xdr:cNvPr id="10251" name="Check Box 11" hidden="1">
              <a:extLst>
                <a:ext uri="{63B3BB69-23CF-44E3-9099-C40C66FF867C}">
                  <a14:compatExt spid="_x0000_s10251"/>
                </a:ext>
                <a:ext uri="{FF2B5EF4-FFF2-40B4-BE49-F238E27FC236}">
                  <a16:creationId xmlns:a16="http://schemas.microsoft.com/office/drawing/2014/main" id="{00000000-0008-0000-0500-00000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19</xdr:row>
          <xdr:rowOff>123825</xdr:rowOff>
        </xdr:from>
        <xdr:to>
          <xdr:col>5</xdr:col>
          <xdr:colOff>0</xdr:colOff>
          <xdr:row>21</xdr:row>
          <xdr:rowOff>9525</xdr:rowOff>
        </xdr:to>
        <xdr:sp macro="" textlink="">
          <xdr:nvSpPr>
            <xdr:cNvPr id="10252" name="Check Box 12" hidden="1">
              <a:extLst>
                <a:ext uri="{63B3BB69-23CF-44E3-9099-C40C66FF867C}">
                  <a14:compatExt spid="_x0000_s10252"/>
                </a:ext>
                <a:ext uri="{FF2B5EF4-FFF2-40B4-BE49-F238E27FC236}">
                  <a16:creationId xmlns:a16="http://schemas.microsoft.com/office/drawing/2014/main" id="{00000000-0008-0000-0500-00000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20</xdr:row>
          <xdr:rowOff>123825</xdr:rowOff>
        </xdr:from>
        <xdr:to>
          <xdr:col>5</xdr:col>
          <xdr:colOff>0</xdr:colOff>
          <xdr:row>22</xdr:row>
          <xdr:rowOff>9525</xdr:rowOff>
        </xdr:to>
        <xdr:sp macro="" textlink="">
          <xdr:nvSpPr>
            <xdr:cNvPr id="10253" name="Check Box 13" hidden="1">
              <a:extLst>
                <a:ext uri="{63B3BB69-23CF-44E3-9099-C40C66FF867C}">
                  <a14:compatExt spid="_x0000_s10253"/>
                </a:ext>
                <a:ext uri="{FF2B5EF4-FFF2-40B4-BE49-F238E27FC236}">
                  <a16:creationId xmlns:a16="http://schemas.microsoft.com/office/drawing/2014/main" id="{00000000-0008-0000-0500-00000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21</xdr:row>
          <xdr:rowOff>123825</xdr:rowOff>
        </xdr:from>
        <xdr:to>
          <xdr:col>5</xdr:col>
          <xdr:colOff>0</xdr:colOff>
          <xdr:row>23</xdr:row>
          <xdr:rowOff>9525</xdr:rowOff>
        </xdr:to>
        <xdr:sp macro="" textlink="">
          <xdr:nvSpPr>
            <xdr:cNvPr id="10254" name="Check Box 14" hidden="1">
              <a:extLst>
                <a:ext uri="{63B3BB69-23CF-44E3-9099-C40C66FF867C}">
                  <a14:compatExt spid="_x0000_s10254"/>
                </a:ext>
                <a:ext uri="{FF2B5EF4-FFF2-40B4-BE49-F238E27FC236}">
                  <a16:creationId xmlns:a16="http://schemas.microsoft.com/office/drawing/2014/main" id="{00000000-0008-0000-0500-00000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22</xdr:row>
          <xdr:rowOff>123825</xdr:rowOff>
        </xdr:from>
        <xdr:to>
          <xdr:col>5</xdr:col>
          <xdr:colOff>0</xdr:colOff>
          <xdr:row>24</xdr:row>
          <xdr:rowOff>9525</xdr:rowOff>
        </xdr:to>
        <xdr:sp macro="" textlink="">
          <xdr:nvSpPr>
            <xdr:cNvPr id="10255" name="Check Box 15" hidden="1">
              <a:extLst>
                <a:ext uri="{63B3BB69-23CF-44E3-9099-C40C66FF867C}">
                  <a14:compatExt spid="_x0000_s10255"/>
                </a:ext>
                <a:ext uri="{FF2B5EF4-FFF2-40B4-BE49-F238E27FC236}">
                  <a16:creationId xmlns:a16="http://schemas.microsoft.com/office/drawing/2014/main" id="{00000000-0008-0000-0500-00000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23</xdr:row>
          <xdr:rowOff>123825</xdr:rowOff>
        </xdr:from>
        <xdr:to>
          <xdr:col>5</xdr:col>
          <xdr:colOff>0</xdr:colOff>
          <xdr:row>25</xdr:row>
          <xdr:rowOff>9525</xdr:rowOff>
        </xdr:to>
        <xdr:sp macro="" textlink="">
          <xdr:nvSpPr>
            <xdr:cNvPr id="10256" name="Check Box 16" hidden="1">
              <a:extLst>
                <a:ext uri="{63B3BB69-23CF-44E3-9099-C40C66FF867C}">
                  <a14:compatExt spid="_x0000_s10256"/>
                </a:ext>
                <a:ext uri="{FF2B5EF4-FFF2-40B4-BE49-F238E27FC236}">
                  <a16:creationId xmlns:a16="http://schemas.microsoft.com/office/drawing/2014/main" id="{00000000-0008-0000-0500-00001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26</xdr:row>
          <xdr:rowOff>123825</xdr:rowOff>
        </xdr:from>
        <xdr:to>
          <xdr:col>5</xdr:col>
          <xdr:colOff>0</xdr:colOff>
          <xdr:row>28</xdr:row>
          <xdr:rowOff>9525</xdr:rowOff>
        </xdr:to>
        <xdr:sp macro="" textlink="">
          <xdr:nvSpPr>
            <xdr:cNvPr id="10257" name="Check Box 17" hidden="1">
              <a:extLst>
                <a:ext uri="{63B3BB69-23CF-44E3-9099-C40C66FF867C}">
                  <a14:compatExt spid="_x0000_s10257"/>
                </a:ext>
                <a:ext uri="{FF2B5EF4-FFF2-40B4-BE49-F238E27FC236}">
                  <a16:creationId xmlns:a16="http://schemas.microsoft.com/office/drawing/2014/main" id="{00000000-0008-0000-0500-00001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27</xdr:row>
          <xdr:rowOff>0</xdr:rowOff>
        </xdr:from>
        <xdr:to>
          <xdr:col>5</xdr:col>
          <xdr:colOff>0</xdr:colOff>
          <xdr:row>28</xdr:row>
          <xdr:rowOff>28575</xdr:rowOff>
        </xdr:to>
        <xdr:sp macro="" textlink="">
          <xdr:nvSpPr>
            <xdr:cNvPr id="10258" name="Check Box 18" hidden="1">
              <a:extLst>
                <a:ext uri="{63B3BB69-23CF-44E3-9099-C40C66FF867C}">
                  <a14:compatExt spid="_x0000_s10258"/>
                </a:ext>
                <a:ext uri="{FF2B5EF4-FFF2-40B4-BE49-F238E27FC236}">
                  <a16:creationId xmlns:a16="http://schemas.microsoft.com/office/drawing/2014/main" id="{00000000-0008-0000-0500-00001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27</xdr:row>
          <xdr:rowOff>0</xdr:rowOff>
        </xdr:from>
        <xdr:to>
          <xdr:col>5</xdr:col>
          <xdr:colOff>0</xdr:colOff>
          <xdr:row>28</xdr:row>
          <xdr:rowOff>28575</xdr:rowOff>
        </xdr:to>
        <xdr:sp macro="" textlink="">
          <xdr:nvSpPr>
            <xdr:cNvPr id="10259" name="Check Box 19" hidden="1">
              <a:extLst>
                <a:ext uri="{63B3BB69-23CF-44E3-9099-C40C66FF867C}">
                  <a14:compatExt spid="_x0000_s10259"/>
                </a:ext>
                <a:ext uri="{FF2B5EF4-FFF2-40B4-BE49-F238E27FC236}">
                  <a16:creationId xmlns:a16="http://schemas.microsoft.com/office/drawing/2014/main" id="{00000000-0008-0000-0500-00001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1</xdr:row>
          <xdr:rowOff>676275</xdr:rowOff>
        </xdr:from>
        <xdr:to>
          <xdr:col>5</xdr:col>
          <xdr:colOff>0</xdr:colOff>
          <xdr:row>3</xdr:row>
          <xdr:rowOff>9525</xdr:rowOff>
        </xdr:to>
        <xdr:sp macro="" textlink="">
          <xdr:nvSpPr>
            <xdr:cNvPr id="10260" name="Check Box 20" hidden="1">
              <a:extLst>
                <a:ext uri="{63B3BB69-23CF-44E3-9099-C40C66FF867C}">
                  <a14:compatExt spid="_x0000_s10260"/>
                </a:ext>
                <a:ext uri="{FF2B5EF4-FFF2-40B4-BE49-F238E27FC236}">
                  <a16:creationId xmlns:a16="http://schemas.microsoft.com/office/drawing/2014/main" id="{00000000-0008-0000-0500-00001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8</xdr:row>
          <xdr:rowOff>123825</xdr:rowOff>
        </xdr:from>
        <xdr:to>
          <xdr:col>5</xdr:col>
          <xdr:colOff>0</xdr:colOff>
          <xdr:row>10</xdr:row>
          <xdr:rowOff>9525</xdr:rowOff>
        </xdr:to>
        <xdr:sp macro="" textlink="">
          <xdr:nvSpPr>
            <xdr:cNvPr id="10261" name="Check Box 21" hidden="1">
              <a:extLst>
                <a:ext uri="{63B3BB69-23CF-44E3-9099-C40C66FF867C}">
                  <a14:compatExt spid="_x0000_s10261"/>
                </a:ext>
                <a:ext uri="{FF2B5EF4-FFF2-40B4-BE49-F238E27FC236}">
                  <a16:creationId xmlns:a16="http://schemas.microsoft.com/office/drawing/2014/main" id="{00000000-0008-0000-0500-00001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15</xdr:row>
          <xdr:rowOff>123825</xdr:rowOff>
        </xdr:from>
        <xdr:to>
          <xdr:col>5</xdr:col>
          <xdr:colOff>0</xdr:colOff>
          <xdr:row>17</xdr:row>
          <xdr:rowOff>9525</xdr:rowOff>
        </xdr:to>
        <xdr:sp macro="" textlink="">
          <xdr:nvSpPr>
            <xdr:cNvPr id="10262" name="Check Box 22" hidden="1">
              <a:extLst>
                <a:ext uri="{63B3BB69-23CF-44E3-9099-C40C66FF867C}">
                  <a14:compatExt spid="_x0000_s10262"/>
                </a:ext>
                <a:ext uri="{FF2B5EF4-FFF2-40B4-BE49-F238E27FC236}">
                  <a16:creationId xmlns:a16="http://schemas.microsoft.com/office/drawing/2014/main" id="{00000000-0008-0000-0500-00001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18</xdr:row>
          <xdr:rowOff>123825</xdr:rowOff>
        </xdr:from>
        <xdr:to>
          <xdr:col>5</xdr:col>
          <xdr:colOff>0</xdr:colOff>
          <xdr:row>20</xdr:row>
          <xdr:rowOff>9525</xdr:rowOff>
        </xdr:to>
        <xdr:sp macro="" textlink="">
          <xdr:nvSpPr>
            <xdr:cNvPr id="10263" name="Check Box 23" hidden="1">
              <a:extLst>
                <a:ext uri="{63B3BB69-23CF-44E3-9099-C40C66FF867C}">
                  <a14:compatExt spid="_x0000_s10263"/>
                </a:ext>
                <a:ext uri="{FF2B5EF4-FFF2-40B4-BE49-F238E27FC236}">
                  <a16:creationId xmlns:a16="http://schemas.microsoft.com/office/drawing/2014/main" id="{00000000-0008-0000-0500-00001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matthew_shiel_eversource_com/Documents/Files/Initiatives/Eversource%20Estimate%20Template%20rev%201.92a%20(LA%20Template)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file:///\\nu.com\data\SharedData\Estimating-R\2)%20Estimates\405588%20QP1172\P-22-566%20Interconnection%20-%20Main%20St%20Franklin%20Solar\01)%20Estimate%20Summary\01)%20Current\405588%20%20QP1172%20P-22-566%20Interconnection%20-%20Main%20St%20Franklin%20Solar%20SS%20EST%20rev#01.xlsm?6DACDBBF" TargetMode="External"/><Relationship Id="rId1" Type="http://schemas.openxmlformats.org/officeDocument/2006/relationships/externalLinkPath" Target="file:///\\6DACDBBF\405588%20%20QP1172%20P-22-566%20Interconnection%20-%20Main%20St%20Franklin%20Solar%20SS%20EST%20rev%230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nput sheet"/>
      <sheetName val="Cover"/>
      <sheetName val="RequestDetails"/>
      <sheetName val="Cover (2)"/>
      <sheetName val="Delta"/>
      <sheetName val="DER customer summary"/>
      <sheetName val="DER Project Information"/>
      <sheetName val="PAF Summary (non WBS)"/>
      <sheetName val="PAF Summary"/>
      <sheetName val="PAF Summary (Full)"/>
      <sheetName val="ISO comparison table"/>
      <sheetName val="Cover (old)"/>
      <sheetName val="Unit Comparison"/>
      <sheetName val="Estimate Basis - Lines"/>
      <sheetName val="Estimate Basis - SS"/>
      <sheetName val="Estimate Closeout "/>
      <sheetName val="Chks and Balances"/>
      <sheetName val="PP4 Estimate and Schedule"/>
      <sheetName val="WBS by year"/>
      <sheetName val="Detail Summary"/>
      <sheetName val="Reference Info"/>
      <sheetName val="Peer Review Checklist"/>
      <sheetName val="Review Comments"/>
      <sheetName val="Summary-Scope"/>
      <sheetName val="PP4 Est Backup"/>
      <sheetName val="Milestone Summary"/>
      <sheetName val="Vendor Est Summary"/>
      <sheetName val="Estimated Risks"/>
      <sheetName val="Contingency"/>
      <sheetName val="Escalation"/>
      <sheetName val="Calc Sheet"/>
      <sheetName val="Lightning Arrestors"/>
      <sheetName val="Additional  Est Input"/>
      <sheetName val="Structure replacements"/>
      <sheetName val="OH Constr"/>
      <sheetName val="OH Civil WS"/>
      <sheetName val="115 kV &amp; 345 kV HPFF"/>
      <sheetName val="115 kV Und XLPE"/>
      <sheetName val="345 kV Und XLPE"/>
      <sheetName val="Substation Const"/>
      <sheetName val="Substation_D"/>
      <sheetName val="Removals"/>
      <sheetName val="Eng &amp; Proj Supp"/>
      <sheetName val="Labor Rate Table"/>
      <sheetName val="Indirect Rates"/>
      <sheetName val="AFUDC Rates"/>
      <sheetName val="SCS &amp; Siting Info"/>
      <sheetName val="Parameters"/>
      <sheetName val="Revision History"/>
      <sheetName val="Indirect method"/>
    </sheetNames>
    <sheetDataSet>
      <sheetData sheetId="0">
        <row r="19">
          <cell r="D19" t="str">
            <v>1T - CT</v>
          </cell>
        </row>
        <row r="20">
          <cell r="D20" t="str">
            <v>Lines work</v>
          </cell>
        </row>
        <row r="62">
          <cell r="C6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nput sheet"/>
      <sheetName val="RequestDetails"/>
      <sheetName val="Cover"/>
      <sheetName val="Cover (2)"/>
      <sheetName val="Delta"/>
      <sheetName val="Detail Summary"/>
      <sheetName val="Review Comments"/>
      <sheetName val="Estimated Risks"/>
      <sheetName val="Contingency"/>
      <sheetName val="Escalation"/>
      <sheetName val="Additional  Est Input"/>
      <sheetName val="Substation Const"/>
      <sheetName val="DER customer summary"/>
      <sheetName val="DER Project Information"/>
      <sheetName val="PAF Summary (non WBS)"/>
      <sheetName val="OH Constr"/>
      <sheetName val="OH Civil WS"/>
      <sheetName val="PAF Summary"/>
      <sheetName val="PAF Summary (Full)"/>
      <sheetName val="ISO comparison table"/>
      <sheetName val="Cover (old)"/>
      <sheetName val="Unit Comparison"/>
      <sheetName val="Estimate Basis - Lines"/>
      <sheetName val="Estimate Basis - SS"/>
      <sheetName val="Estimate Closeout "/>
      <sheetName val="Chks and Balances"/>
      <sheetName val="PP4 Estimate and Schedule "/>
      <sheetName val="WBS by year"/>
      <sheetName val="Summary-Scope"/>
      <sheetName val="PP4 Est Backup"/>
      <sheetName val="Milestone Summary"/>
      <sheetName val="Vendor Est Summary"/>
      <sheetName val="Calc Sheet"/>
      <sheetName val="Structure replacements"/>
      <sheetName val="115 kV &amp; 345 kV HPFF"/>
      <sheetName val="115 kV Und XLPE"/>
      <sheetName val="345 kV Und XLPE"/>
      <sheetName val="Substation_D"/>
      <sheetName val="Removals"/>
      <sheetName val="Eng &amp; Proj Supp"/>
      <sheetName val="Labor Rate Table 2021"/>
      <sheetName val="Indirect Rates"/>
      <sheetName val="AFUDC Rates"/>
      <sheetName val="SCS &amp; Siting Info"/>
      <sheetName val="Parameters"/>
      <sheetName val="Revision History"/>
      <sheetName val="Indirect method"/>
    </sheetNames>
    <sheetDataSet>
      <sheetData sheetId="0">
        <row r="4">
          <cell r="C4" t="str">
            <v>P-22-566</v>
          </cell>
        </row>
        <row r="19">
          <cell r="D19" t="str">
            <v>6T - NH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" Type="http://schemas.openxmlformats.org/officeDocument/2006/relationships/ctrlProp" Target="../ctrlProps/ctrlProp1.xml"/><Relationship Id="rId21" Type="http://schemas.openxmlformats.org/officeDocument/2006/relationships/ctrlProp" Target="../ctrlProps/ctrlProp19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0" Type="http://schemas.openxmlformats.org/officeDocument/2006/relationships/ctrlProp" Target="../ctrlProps/ctrlProp18.x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2FA7A-406C-4647-9452-186199988816}">
  <dimension ref="C3:O35"/>
  <sheetViews>
    <sheetView showGridLines="0" topLeftCell="A4" workbookViewId="0">
      <selection activeCell="O14" sqref="O14"/>
    </sheetView>
  </sheetViews>
  <sheetFormatPr defaultRowHeight="15" x14ac:dyDescent="0.25"/>
  <cols>
    <col min="1" max="1" width="3.5703125" customWidth="1"/>
    <col min="3" max="3" width="44.42578125" customWidth="1"/>
    <col min="4" max="4" width="2.28515625" customWidth="1"/>
    <col min="5" max="5" width="13.7109375" customWidth="1"/>
    <col min="6" max="6" width="2.28515625" customWidth="1"/>
    <col min="7" max="7" width="15.28515625" customWidth="1"/>
    <col min="8" max="8" width="2.28515625" customWidth="1"/>
    <col min="9" max="9" width="12.140625" customWidth="1"/>
    <col min="10" max="10" width="2.28515625" customWidth="1"/>
    <col min="11" max="11" width="12.7109375" customWidth="1"/>
    <col min="12" max="12" width="2.28515625" customWidth="1"/>
    <col min="13" max="13" width="11" bestFit="1" customWidth="1"/>
    <col min="14" max="14" width="2.28515625" customWidth="1"/>
    <col min="15" max="15" width="20.140625" customWidth="1"/>
  </cols>
  <sheetData>
    <row r="3" spans="3:15" x14ac:dyDescent="0.25">
      <c r="C3" t="s">
        <v>11</v>
      </c>
    </row>
    <row r="6" spans="3:15" x14ac:dyDescent="0.25">
      <c r="C6" s="110" t="s">
        <v>12</v>
      </c>
      <c r="D6" s="110"/>
      <c r="E6" s="110"/>
      <c r="F6" s="110"/>
      <c r="G6" s="33"/>
      <c r="H6" s="33"/>
      <c r="I6" s="33"/>
      <c r="J6" s="33"/>
      <c r="K6" s="33"/>
      <c r="L6" s="34"/>
      <c r="M6" s="35">
        <v>45020</v>
      </c>
      <c r="N6" s="34"/>
      <c r="O6" s="36" t="s">
        <v>13</v>
      </c>
    </row>
    <row r="7" spans="3:15" x14ac:dyDescent="0.25">
      <c r="C7" s="34"/>
      <c r="D7" s="34"/>
      <c r="E7" s="33"/>
      <c r="F7" s="33"/>
      <c r="G7" s="33"/>
      <c r="H7" s="33"/>
      <c r="I7" s="33"/>
      <c r="J7" s="33"/>
      <c r="K7" s="33"/>
      <c r="L7" s="34"/>
      <c r="M7" s="34"/>
      <c r="N7" s="34"/>
      <c r="O7" s="33"/>
    </row>
    <row r="8" spans="3:15" ht="22.5" x14ac:dyDescent="0.25">
      <c r="C8" s="31" t="s">
        <v>14</v>
      </c>
      <c r="D8" s="34"/>
      <c r="E8" s="32" t="s">
        <v>15</v>
      </c>
      <c r="F8" s="33"/>
      <c r="G8" s="32" t="s">
        <v>16</v>
      </c>
      <c r="H8" s="33"/>
      <c r="I8" s="32" t="s">
        <v>17</v>
      </c>
      <c r="J8" s="33"/>
      <c r="K8" s="32" t="s">
        <v>18</v>
      </c>
      <c r="L8" s="34"/>
      <c r="M8" s="32" t="s">
        <v>19</v>
      </c>
      <c r="N8" s="34"/>
      <c r="O8" s="32" t="s">
        <v>20</v>
      </c>
    </row>
    <row r="9" spans="3:15" x14ac:dyDescent="0.25">
      <c r="C9" s="34"/>
      <c r="D9" s="34"/>
      <c r="E9" s="32" t="s">
        <v>21</v>
      </c>
      <c r="F9" s="33"/>
      <c r="G9" s="32" t="s">
        <v>22</v>
      </c>
      <c r="H9" s="33"/>
      <c r="I9" s="32" t="s">
        <v>23</v>
      </c>
      <c r="J9" s="33"/>
      <c r="K9" s="33"/>
      <c r="L9" s="34"/>
      <c r="M9" s="33"/>
      <c r="N9" s="34"/>
      <c r="O9" s="32" t="s">
        <v>24</v>
      </c>
    </row>
    <row r="10" spans="3:15" x14ac:dyDescent="0.25">
      <c r="C10" s="31"/>
      <c r="D10" s="31"/>
      <c r="E10" s="37" t="s">
        <v>53</v>
      </c>
      <c r="F10" s="37"/>
      <c r="G10" s="37" t="s">
        <v>52</v>
      </c>
      <c r="H10" s="37"/>
      <c r="I10" s="37" t="s">
        <v>54</v>
      </c>
      <c r="J10" s="37"/>
      <c r="K10" s="37" t="s">
        <v>55</v>
      </c>
      <c r="L10" s="38"/>
      <c r="M10" s="37" t="s">
        <v>55</v>
      </c>
      <c r="N10" s="34"/>
      <c r="O10" s="32"/>
    </row>
    <row r="11" spans="3:15" x14ac:dyDescent="0.25">
      <c r="C11" s="34"/>
      <c r="D11" s="34"/>
      <c r="E11" s="33"/>
      <c r="F11" s="33"/>
      <c r="G11" s="33"/>
      <c r="H11" s="33"/>
      <c r="I11" s="33"/>
      <c r="J11" s="33"/>
      <c r="K11" s="33"/>
      <c r="L11" s="34"/>
      <c r="M11" s="33"/>
      <c r="N11" s="34"/>
      <c r="O11" s="33"/>
    </row>
    <row r="12" spans="3:15" x14ac:dyDescent="0.25">
      <c r="C12" s="31" t="s">
        <v>25</v>
      </c>
      <c r="D12" s="34"/>
      <c r="E12" s="32" t="s">
        <v>26</v>
      </c>
      <c r="F12" s="33"/>
      <c r="G12" s="32" t="s">
        <v>16</v>
      </c>
      <c r="H12" s="33"/>
      <c r="I12" s="32" t="s">
        <v>27</v>
      </c>
      <c r="J12" s="33"/>
      <c r="K12" s="32" t="s">
        <v>18</v>
      </c>
      <c r="L12" s="34"/>
      <c r="M12" s="32" t="s">
        <v>19</v>
      </c>
      <c r="N12" s="34"/>
      <c r="O12" s="33"/>
    </row>
    <row r="13" spans="3:15" ht="18" customHeight="1" x14ac:dyDescent="0.25">
      <c r="C13" s="31" t="s">
        <v>28</v>
      </c>
      <c r="D13" s="34"/>
      <c r="E13" s="32" t="s">
        <v>26</v>
      </c>
      <c r="F13" s="33"/>
      <c r="G13" s="32" t="s">
        <v>16</v>
      </c>
      <c r="H13" s="33"/>
      <c r="I13" s="32" t="s">
        <v>27</v>
      </c>
      <c r="J13" s="33"/>
      <c r="K13" s="32" t="s">
        <v>18</v>
      </c>
      <c r="L13" s="34"/>
      <c r="M13" s="32" t="s">
        <v>19</v>
      </c>
      <c r="N13" s="34"/>
      <c r="O13" s="33"/>
    </row>
    <row r="14" spans="3:15" x14ac:dyDescent="0.25">
      <c r="C14" s="34"/>
      <c r="D14" s="34"/>
      <c r="E14" s="33"/>
      <c r="F14" s="33"/>
      <c r="G14" s="33"/>
      <c r="H14" s="33"/>
      <c r="I14" s="33"/>
      <c r="J14" s="33"/>
      <c r="K14" s="33"/>
      <c r="L14" s="34"/>
      <c r="M14" s="33"/>
      <c r="N14" s="34"/>
      <c r="O14" s="33"/>
    </row>
    <row r="15" spans="3:15" x14ac:dyDescent="0.25">
      <c r="C15" s="31" t="s">
        <v>29</v>
      </c>
      <c r="D15" s="34"/>
      <c r="E15" s="32" t="s">
        <v>30</v>
      </c>
      <c r="F15" s="33"/>
      <c r="G15" s="32" t="s">
        <v>30</v>
      </c>
      <c r="H15" s="33"/>
      <c r="I15" s="32" t="s">
        <v>56</v>
      </c>
      <c r="J15" s="33"/>
      <c r="K15" s="32" t="s">
        <v>56</v>
      </c>
      <c r="L15" s="34"/>
      <c r="M15" s="32" t="s">
        <v>56</v>
      </c>
      <c r="N15" s="34"/>
      <c r="O15" s="33"/>
    </row>
    <row r="16" spans="3:15" x14ac:dyDescent="0.25">
      <c r="C16" s="34"/>
      <c r="D16" s="34"/>
      <c r="E16" s="33"/>
      <c r="F16" s="33"/>
      <c r="G16" s="33"/>
      <c r="H16" s="33"/>
      <c r="I16" s="33"/>
      <c r="J16" s="33"/>
      <c r="K16" s="33"/>
      <c r="L16" s="34"/>
      <c r="M16" s="33"/>
      <c r="N16" s="34"/>
      <c r="O16" s="33"/>
    </row>
    <row r="17" spans="3:15" x14ac:dyDescent="0.25">
      <c r="C17" s="31" t="s">
        <v>31</v>
      </c>
      <c r="D17" s="34"/>
      <c r="E17" s="32" t="s">
        <v>56</v>
      </c>
      <c r="F17" s="33"/>
      <c r="G17" s="32" t="s">
        <v>56</v>
      </c>
      <c r="H17" s="33"/>
      <c r="I17" s="33"/>
      <c r="J17" s="33"/>
      <c r="K17" s="33"/>
      <c r="L17" s="34"/>
      <c r="M17" s="33"/>
      <c r="N17" s="34"/>
      <c r="O17" s="32" t="s">
        <v>56</v>
      </c>
    </row>
    <row r="18" spans="3:15" x14ac:dyDescent="0.25">
      <c r="C18" s="34"/>
      <c r="D18" s="34"/>
      <c r="E18" s="33"/>
      <c r="F18" s="33"/>
      <c r="G18" s="33"/>
      <c r="H18" s="33"/>
      <c r="I18" s="33"/>
      <c r="J18" s="33"/>
      <c r="K18" s="33"/>
      <c r="L18" s="34"/>
      <c r="M18" s="33"/>
      <c r="N18" s="34"/>
      <c r="O18" s="33"/>
    </row>
    <row r="19" spans="3:15" ht="22.5" x14ac:dyDescent="0.25">
      <c r="C19" s="31" t="s">
        <v>32</v>
      </c>
      <c r="D19" s="34"/>
      <c r="E19" s="32" t="s">
        <v>30</v>
      </c>
      <c r="F19" s="33"/>
      <c r="G19" s="32" t="s">
        <v>33</v>
      </c>
      <c r="H19" s="33"/>
      <c r="I19" s="32" t="s">
        <v>18</v>
      </c>
      <c r="J19" s="33"/>
      <c r="K19" s="32" t="s">
        <v>18</v>
      </c>
      <c r="L19" s="34"/>
      <c r="M19" s="32" t="s">
        <v>18</v>
      </c>
      <c r="N19" s="34"/>
      <c r="O19" s="33"/>
    </row>
    <row r="20" spans="3:15" x14ac:dyDescent="0.25">
      <c r="C20" s="34"/>
      <c r="D20" s="34"/>
      <c r="E20" s="33"/>
      <c r="F20" s="33"/>
      <c r="G20" s="33"/>
      <c r="H20" s="33"/>
      <c r="I20" s="33"/>
      <c r="J20" s="33"/>
      <c r="K20" s="33"/>
      <c r="L20" s="34"/>
      <c r="M20" s="33"/>
      <c r="N20" s="34"/>
      <c r="O20" s="33"/>
    </row>
    <row r="21" spans="3:15" x14ac:dyDescent="0.25">
      <c r="C21" s="31" t="s">
        <v>34</v>
      </c>
      <c r="D21" s="34"/>
      <c r="E21" s="33"/>
      <c r="F21" s="33"/>
      <c r="G21" s="33"/>
      <c r="H21" s="33"/>
      <c r="I21" s="33"/>
      <c r="J21" s="33"/>
      <c r="K21" s="33"/>
      <c r="L21" s="34"/>
      <c r="M21" s="33"/>
      <c r="N21" s="34"/>
      <c r="O21" s="33"/>
    </row>
    <row r="22" spans="3:15" ht="18" customHeight="1" x14ac:dyDescent="0.25">
      <c r="C22" s="31" t="s">
        <v>35</v>
      </c>
      <c r="D22" s="34"/>
      <c r="E22" s="32" t="s">
        <v>30</v>
      </c>
      <c r="F22" s="33"/>
      <c r="G22" s="32" t="s">
        <v>36</v>
      </c>
      <c r="H22" s="33"/>
      <c r="I22" s="32" t="s">
        <v>37</v>
      </c>
      <c r="J22" s="33"/>
      <c r="K22" s="32" t="s">
        <v>38</v>
      </c>
      <c r="L22" s="34"/>
      <c r="M22" s="32" t="s">
        <v>38</v>
      </c>
      <c r="N22" s="34"/>
      <c r="O22" s="32" t="s">
        <v>38</v>
      </c>
    </row>
    <row r="23" spans="3:15" ht="22.5" x14ac:dyDescent="0.25">
      <c r="C23" s="31" t="s">
        <v>39</v>
      </c>
      <c r="D23" s="34"/>
      <c r="E23" s="32" t="s">
        <v>30</v>
      </c>
      <c r="F23" s="33"/>
      <c r="G23" s="32" t="s">
        <v>40</v>
      </c>
      <c r="H23" s="33"/>
      <c r="I23" s="32" t="s">
        <v>37</v>
      </c>
      <c r="J23" s="33"/>
      <c r="K23" s="32" t="s">
        <v>38</v>
      </c>
      <c r="L23" s="34"/>
      <c r="M23" s="32" t="s">
        <v>38</v>
      </c>
      <c r="N23" s="34"/>
      <c r="O23" s="32" t="s">
        <v>38</v>
      </c>
    </row>
    <row r="24" spans="3:15" ht="45" x14ac:dyDescent="0.25">
      <c r="C24" s="31" t="s">
        <v>41</v>
      </c>
      <c r="D24" s="34"/>
      <c r="E24" s="32" t="s">
        <v>30</v>
      </c>
      <c r="F24" s="33"/>
      <c r="G24" s="32" t="s">
        <v>42</v>
      </c>
      <c r="H24" s="33"/>
      <c r="I24" s="32" t="s">
        <v>38</v>
      </c>
      <c r="J24" s="33"/>
      <c r="K24" s="32" t="s">
        <v>38</v>
      </c>
      <c r="L24" s="34"/>
      <c r="M24" s="32" t="s">
        <v>38</v>
      </c>
      <c r="N24" s="34"/>
      <c r="O24" s="32" t="s">
        <v>38</v>
      </c>
    </row>
    <row r="25" spans="3:15" x14ac:dyDescent="0.25">
      <c r="C25" s="31" t="s">
        <v>43</v>
      </c>
      <c r="D25" s="34"/>
      <c r="E25" s="33"/>
      <c r="F25" s="33"/>
      <c r="G25" s="33"/>
      <c r="H25" s="33"/>
      <c r="I25" s="32" t="s">
        <v>38</v>
      </c>
      <c r="J25" s="33"/>
      <c r="K25" s="32" t="s">
        <v>38</v>
      </c>
      <c r="L25" s="34"/>
      <c r="M25" s="32" t="s">
        <v>38</v>
      </c>
      <c r="N25" s="34"/>
      <c r="O25" s="32" t="s">
        <v>38</v>
      </c>
    </row>
    <row r="26" spans="3:15" x14ac:dyDescent="0.25">
      <c r="C26" s="31" t="s">
        <v>44</v>
      </c>
      <c r="D26" s="34"/>
      <c r="E26" s="32" t="s">
        <v>38</v>
      </c>
      <c r="F26" s="33"/>
      <c r="G26" s="32" t="s">
        <v>38</v>
      </c>
      <c r="H26" s="33"/>
      <c r="I26" s="32" t="s">
        <v>38</v>
      </c>
      <c r="J26" s="33"/>
      <c r="K26" s="32" t="s">
        <v>38</v>
      </c>
      <c r="L26" s="34"/>
      <c r="M26" s="32" t="s">
        <v>38</v>
      </c>
      <c r="N26" s="34"/>
      <c r="O26" s="32" t="s">
        <v>38</v>
      </c>
    </row>
    <row r="27" spans="3:15" x14ac:dyDescent="0.25">
      <c r="C27" s="34"/>
      <c r="D27" s="34"/>
      <c r="E27" s="33"/>
      <c r="F27" s="33"/>
      <c r="G27" s="33"/>
      <c r="H27" s="33"/>
      <c r="I27" s="33"/>
      <c r="J27" s="33"/>
      <c r="K27" s="33"/>
      <c r="L27" s="34"/>
      <c r="M27" s="33"/>
      <c r="N27" s="34"/>
      <c r="O27" s="33"/>
    </row>
    <row r="28" spans="3:15" x14ac:dyDescent="0.25">
      <c r="C28" s="31" t="s">
        <v>45</v>
      </c>
      <c r="D28" s="34"/>
      <c r="E28" s="33"/>
      <c r="F28" s="33"/>
      <c r="G28" s="32" t="s">
        <v>46</v>
      </c>
      <c r="H28" s="33"/>
      <c r="I28" s="32" t="s">
        <v>46</v>
      </c>
      <c r="J28" s="33"/>
      <c r="K28" s="32" t="s">
        <v>46</v>
      </c>
      <c r="L28" s="34"/>
      <c r="M28" s="32" t="s">
        <v>46</v>
      </c>
      <c r="N28" s="34"/>
      <c r="O28" s="32" t="s">
        <v>46</v>
      </c>
    </row>
    <row r="29" spans="3:15" x14ac:dyDescent="0.25">
      <c r="C29" s="34"/>
      <c r="D29" s="34"/>
      <c r="E29" s="33"/>
      <c r="F29" s="33"/>
      <c r="G29" s="33"/>
      <c r="H29" s="33"/>
      <c r="I29" s="33"/>
      <c r="J29" s="33"/>
      <c r="K29" s="33"/>
      <c r="L29" s="34"/>
      <c r="M29" s="33"/>
      <c r="N29" s="34"/>
      <c r="O29" s="33"/>
    </row>
    <row r="30" spans="3:15" x14ac:dyDescent="0.25">
      <c r="C30" s="34"/>
      <c r="D30" s="34"/>
      <c r="E30" s="33"/>
      <c r="F30" s="33"/>
      <c r="G30" s="33"/>
      <c r="H30" s="33"/>
      <c r="I30" s="33"/>
      <c r="J30" s="33"/>
      <c r="K30" s="33"/>
      <c r="L30" s="34"/>
      <c r="M30" s="33"/>
      <c r="N30" s="34"/>
      <c r="O30" s="33"/>
    </row>
    <row r="31" spans="3:15" x14ac:dyDescent="0.25">
      <c r="C31" s="31" t="s">
        <v>47</v>
      </c>
      <c r="D31" s="34"/>
      <c r="E31" s="33"/>
      <c r="F31" s="33"/>
      <c r="G31" s="32" t="s">
        <v>56</v>
      </c>
      <c r="H31" s="33"/>
      <c r="I31" s="32" t="s">
        <v>56</v>
      </c>
      <c r="J31" s="33"/>
      <c r="K31" s="32" t="s">
        <v>56</v>
      </c>
      <c r="L31" s="34"/>
      <c r="M31" s="32" t="s">
        <v>56</v>
      </c>
      <c r="N31" s="34"/>
      <c r="O31" s="32" t="s">
        <v>56</v>
      </c>
    </row>
    <row r="32" spans="3:15" x14ac:dyDescent="0.25">
      <c r="C32" s="34"/>
      <c r="D32" s="34"/>
      <c r="E32" s="33"/>
      <c r="F32" s="33"/>
      <c r="G32" s="33"/>
      <c r="H32" s="33"/>
      <c r="I32" s="33"/>
      <c r="J32" s="33"/>
      <c r="K32" s="33"/>
      <c r="L32" s="34"/>
      <c r="M32" s="33"/>
      <c r="N32" s="34"/>
      <c r="O32" s="33"/>
    </row>
    <row r="33" spans="3:15" x14ac:dyDescent="0.25">
      <c r="C33" s="31" t="s">
        <v>48</v>
      </c>
      <c r="D33" s="34"/>
      <c r="E33" s="33"/>
      <c r="F33" s="33"/>
      <c r="G33" s="33"/>
      <c r="H33" s="33"/>
      <c r="I33" s="33"/>
      <c r="J33" s="33"/>
      <c r="K33" s="33"/>
      <c r="L33" s="34"/>
      <c r="M33" s="33"/>
      <c r="N33" s="34"/>
      <c r="O33" s="33"/>
    </row>
    <row r="34" spans="3:15" x14ac:dyDescent="0.25">
      <c r="C34" s="31" t="s">
        <v>49</v>
      </c>
      <c r="D34" s="34"/>
      <c r="E34" s="32" t="s">
        <v>50</v>
      </c>
      <c r="F34" s="33"/>
      <c r="G34" s="32" t="s">
        <v>50</v>
      </c>
      <c r="H34" s="33"/>
      <c r="I34" s="32" t="s">
        <v>56</v>
      </c>
      <c r="J34" s="33"/>
      <c r="K34" s="32" t="s">
        <v>56</v>
      </c>
      <c r="L34" s="34"/>
      <c r="M34" s="32" t="s">
        <v>56</v>
      </c>
      <c r="N34" s="34"/>
      <c r="O34" s="33"/>
    </row>
    <row r="35" spans="3:15" x14ac:dyDescent="0.25">
      <c r="C35" s="31" t="s">
        <v>51</v>
      </c>
      <c r="D35" s="34"/>
      <c r="E35" s="32" t="s">
        <v>50</v>
      </c>
      <c r="F35" s="33"/>
      <c r="G35" s="32" t="s">
        <v>50</v>
      </c>
      <c r="H35" s="33"/>
      <c r="I35" s="32" t="s">
        <v>56</v>
      </c>
      <c r="J35" s="33"/>
      <c r="K35" s="32" t="s">
        <v>56</v>
      </c>
      <c r="L35" s="34"/>
      <c r="M35" s="32" t="s">
        <v>56</v>
      </c>
      <c r="N35" s="34"/>
      <c r="O35" s="33"/>
    </row>
  </sheetData>
  <mergeCells count="1">
    <mergeCell ref="C6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BCA33-EED2-4B21-AEE8-EF0F24C4E217}">
  <dimension ref="A1:Z51"/>
  <sheetViews>
    <sheetView workbookViewId="0">
      <selection activeCell="J21" sqref="J21"/>
    </sheetView>
  </sheetViews>
  <sheetFormatPr defaultRowHeight="15" x14ac:dyDescent="0.25"/>
  <cols>
    <col min="1" max="1" width="1.7109375" customWidth="1"/>
    <col min="2" max="2" width="2.7109375" customWidth="1"/>
    <col min="3" max="3" width="18.28515625" customWidth="1"/>
    <col min="4" max="8" width="8.7109375" customWidth="1"/>
    <col min="9" max="9" width="19.7109375" customWidth="1"/>
    <col min="10" max="12" width="8.7109375" customWidth="1"/>
    <col min="17" max="17" width="13.5703125" bestFit="1" customWidth="1"/>
    <col min="18" max="18" width="13.5703125" customWidth="1"/>
    <col min="19" max="19" width="21.85546875" customWidth="1"/>
  </cols>
  <sheetData>
    <row r="1" spans="1:26" x14ac:dyDescent="0.25">
      <c r="A1" s="56"/>
      <c r="B1" s="57"/>
      <c r="C1" s="57"/>
      <c r="D1" s="57"/>
      <c r="E1" s="57"/>
      <c r="F1" s="57"/>
      <c r="G1" s="57"/>
      <c r="H1" s="57"/>
      <c r="I1" s="57"/>
      <c r="J1" s="58"/>
      <c r="K1" s="58"/>
      <c r="L1" s="57"/>
      <c r="Q1" t="s">
        <v>65</v>
      </c>
    </row>
    <row r="2" spans="1:26" x14ac:dyDescent="0.25">
      <c r="A2" s="56"/>
      <c r="B2" s="113" t="s">
        <v>73</v>
      </c>
      <c r="C2" s="114"/>
      <c r="D2" s="114"/>
      <c r="E2" s="114"/>
      <c r="F2" s="114"/>
      <c r="G2" s="114"/>
      <c r="H2" s="114"/>
      <c r="I2" s="114"/>
      <c r="J2" s="114"/>
      <c r="K2" s="114"/>
      <c r="L2" s="115"/>
      <c r="Q2" t="s">
        <v>68</v>
      </c>
      <c r="R2" t="s">
        <v>70</v>
      </c>
      <c r="S2" t="s">
        <v>69</v>
      </c>
      <c r="T2" t="s">
        <v>8</v>
      </c>
    </row>
    <row r="3" spans="1:26" ht="15.75" x14ac:dyDescent="0.25">
      <c r="A3" s="56"/>
      <c r="B3" s="59"/>
      <c r="C3" s="60" t="s">
        <v>74</v>
      </c>
      <c r="D3" s="104" t="s">
        <v>114</v>
      </c>
      <c r="E3" s="61"/>
      <c r="F3" s="62"/>
      <c r="G3" s="62"/>
      <c r="H3" s="56"/>
      <c r="I3" s="79" t="s">
        <v>75</v>
      </c>
      <c r="J3" s="63"/>
      <c r="K3" s="63"/>
      <c r="L3" s="64"/>
      <c r="Q3" t="s">
        <v>66</v>
      </c>
      <c r="R3" s="55" t="str">
        <f>IF(S3="Review Completed", "YES", "NO")</f>
        <v>YES</v>
      </c>
      <c r="S3" t="str">
        <f>'Peer Review'!D7</f>
        <v>Review Completed</v>
      </c>
      <c r="T3" t="str">
        <f>IF('Peer Review'!B7=0,"",'Peer Review'!B7)</f>
        <v>PAG</v>
      </c>
    </row>
    <row r="4" spans="1:26" ht="15.75" x14ac:dyDescent="0.25">
      <c r="A4" s="56"/>
      <c r="B4" s="59"/>
      <c r="C4" s="60" t="s">
        <v>76</v>
      </c>
      <c r="D4" s="105" t="s">
        <v>132</v>
      </c>
      <c r="E4" s="65"/>
      <c r="F4" s="66"/>
      <c r="G4" s="66"/>
      <c r="H4" s="56"/>
      <c r="I4" s="79" t="s">
        <v>81</v>
      </c>
      <c r="J4" s="71">
        <v>46258</v>
      </c>
      <c r="K4" s="67"/>
      <c r="L4" s="64"/>
      <c r="Q4" t="s">
        <v>9</v>
      </c>
      <c r="R4" s="55" t="str">
        <f>IF(S4="Review Completed", "YES", "NO")</f>
        <v>YES</v>
      </c>
      <c r="S4" t="str">
        <f>'Peer Review'!D14</f>
        <v>Review Completed</v>
      </c>
      <c r="T4" t="str">
        <f>IF('Peer Review'!B14=0,"",'Peer Review'!B14)</f>
        <v>D. Piccorelli</v>
      </c>
    </row>
    <row r="5" spans="1:26" ht="15.75" x14ac:dyDescent="0.25">
      <c r="A5" s="56"/>
      <c r="B5" s="59"/>
      <c r="C5" s="60" t="s">
        <v>77</v>
      </c>
      <c r="D5" s="104">
        <v>21334</v>
      </c>
      <c r="E5" s="65"/>
      <c r="F5" s="66"/>
      <c r="G5" s="66"/>
      <c r="H5" s="56"/>
      <c r="I5" s="79" t="s">
        <v>78</v>
      </c>
      <c r="J5" s="108" t="s">
        <v>133</v>
      </c>
      <c r="K5" s="68"/>
      <c r="L5" s="69"/>
      <c r="Q5" t="s">
        <v>71</v>
      </c>
      <c r="R5" s="55" t="str">
        <f>IF(S5="_","NO",IF(S5="NA","NO","YES"))</f>
        <v>YES</v>
      </c>
      <c r="S5" t="str">
        <f>'Lead Review'!D6</f>
        <v>Conditional approval</v>
      </c>
      <c r="T5" t="str">
        <f>IF('Lead Review'!B6=0,"",'Lead Review'!B6)</f>
        <v>Justin Niderno</v>
      </c>
    </row>
    <row r="6" spans="1:26" x14ac:dyDescent="0.25">
      <c r="A6" s="56"/>
      <c r="B6" s="59"/>
      <c r="C6" s="60" t="s">
        <v>79</v>
      </c>
      <c r="D6" s="106">
        <v>80089926</v>
      </c>
      <c r="E6" s="70"/>
      <c r="F6" s="71"/>
      <c r="G6" s="71"/>
      <c r="H6" s="56"/>
      <c r="I6" s="79" t="s">
        <v>80</v>
      </c>
      <c r="J6" s="107" t="s">
        <v>134</v>
      </c>
      <c r="K6" s="72"/>
      <c r="L6" s="69"/>
      <c r="Q6" t="s">
        <v>72</v>
      </c>
      <c r="R6" s="55" t="str">
        <f>IF(T6="","N/A",IF(S6="_","NO",IF(S6="NA","NO","YES")))</f>
        <v>N/A</v>
      </c>
      <c r="S6" t="str">
        <f>'Lead Review'!D30</f>
        <v>_</v>
      </c>
      <c r="T6" t="str">
        <f>IF('Lead Review'!B30=0,"",'Lead Review'!B30)</f>
        <v/>
      </c>
    </row>
    <row r="7" spans="1:26" x14ac:dyDescent="0.25">
      <c r="A7" s="56"/>
      <c r="B7" s="73"/>
      <c r="C7" s="74"/>
      <c r="D7" s="75"/>
      <c r="E7" s="75"/>
      <c r="F7" s="76"/>
      <c r="G7" s="76"/>
      <c r="H7" s="76"/>
      <c r="I7" s="77"/>
      <c r="J7" s="76"/>
      <c r="K7" s="76"/>
      <c r="L7" s="78"/>
      <c r="Q7" t="s">
        <v>67</v>
      </c>
      <c r="R7" s="55" t="str">
        <f>IF(S7="_","NO",IF(S7="N/A","YES","YES"))</f>
        <v>NO</v>
      </c>
      <c r="S7" t="str">
        <f>'Managerial Review'!D6</f>
        <v>_</v>
      </c>
    </row>
    <row r="8" spans="1:26" x14ac:dyDescent="0.25">
      <c r="A8" s="56"/>
      <c r="B8" s="56"/>
      <c r="D8" s="56"/>
      <c r="E8" s="56"/>
      <c r="F8" s="56"/>
      <c r="G8" s="56"/>
      <c r="H8" s="56"/>
      <c r="I8" s="56"/>
      <c r="J8" s="56"/>
      <c r="K8" s="56"/>
      <c r="L8" s="56"/>
    </row>
    <row r="9" spans="1:26" x14ac:dyDescent="0.25">
      <c r="C9" s="80" t="s">
        <v>83</v>
      </c>
    </row>
    <row r="10" spans="1:26" x14ac:dyDescent="0.25"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spans="1:26" x14ac:dyDescent="0.25">
      <c r="Q11" s="9"/>
      <c r="R11" s="112" t="s">
        <v>59</v>
      </c>
      <c r="S11" s="112"/>
      <c r="T11" s="112"/>
      <c r="U11" s="112"/>
      <c r="V11" s="112"/>
      <c r="W11" s="112"/>
      <c r="X11" s="112"/>
      <c r="Y11" s="112"/>
      <c r="Z11" s="112"/>
    </row>
    <row r="12" spans="1:26" ht="15.75" x14ac:dyDescent="0.25">
      <c r="Q12" s="49" t="s">
        <v>60</v>
      </c>
      <c r="R12" s="9"/>
      <c r="U12" s="49"/>
      <c r="V12" s="50"/>
      <c r="X12" s="9"/>
      <c r="Y12" s="9"/>
      <c r="Z12" s="9"/>
    </row>
    <row r="13" spans="1:26" x14ac:dyDescent="0.25">
      <c r="R13" s="9"/>
      <c r="X13" s="9"/>
      <c r="Y13" s="9"/>
      <c r="Z13" s="9"/>
    </row>
    <row r="14" spans="1:26" x14ac:dyDescent="0.25">
      <c r="Q14" s="49" t="s">
        <v>61</v>
      </c>
      <c r="R14" s="109" t="s">
        <v>135</v>
      </c>
      <c r="S14" s="51"/>
      <c r="T14" s="51"/>
      <c r="U14" s="51"/>
      <c r="V14" s="51"/>
      <c r="W14" s="51"/>
      <c r="X14" s="52"/>
      <c r="Y14" s="9"/>
      <c r="Z14" s="9"/>
    </row>
    <row r="15" spans="1:26" x14ac:dyDescent="0.25">
      <c r="Q15" s="9"/>
      <c r="R15" s="109" t="s">
        <v>136</v>
      </c>
      <c r="S15" s="51"/>
      <c r="T15" s="51"/>
      <c r="U15" s="51"/>
      <c r="V15" s="51"/>
      <c r="W15" s="51"/>
      <c r="X15" s="52"/>
      <c r="Y15" s="9"/>
      <c r="Z15" s="9"/>
    </row>
    <row r="16" spans="1:26" x14ac:dyDescent="0.25">
      <c r="Q16" s="9"/>
      <c r="R16" s="109" t="s">
        <v>137</v>
      </c>
      <c r="S16" s="51"/>
      <c r="T16" s="51"/>
      <c r="U16" s="51"/>
      <c r="V16" s="51"/>
      <c r="W16" s="51"/>
      <c r="X16" s="52"/>
      <c r="Y16" s="9"/>
      <c r="Z16" s="9"/>
    </row>
    <row r="17" spans="3:26" x14ac:dyDescent="0.25">
      <c r="Q17" s="9"/>
      <c r="R17" s="109" t="s">
        <v>138</v>
      </c>
      <c r="S17" s="51"/>
      <c r="T17" s="51"/>
      <c r="U17" s="51"/>
      <c r="V17" s="51"/>
      <c r="W17" s="51"/>
      <c r="X17" s="52"/>
      <c r="Y17" s="9"/>
      <c r="Z17" s="9"/>
    </row>
    <row r="18" spans="3:26" x14ac:dyDescent="0.25">
      <c r="Q18" s="9"/>
      <c r="R18" s="109" t="s">
        <v>139</v>
      </c>
      <c r="S18" s="51"/>
      <c r="T18" s="51"/>
      <c r="U18" s="51"/>
      <c r="V18" s="51"/>
      <c r="W18" s="51"/>
      <c r="X18" s="52"/>
      <c r="Y18" s="9"/>
      <c r="Z18" s="9"/>
    </row>
    <row r="19" spans="3:26" x14ac:dyDescent="0.25">
      <c r="Q19" s="9"/>
      <c r="R19" s="51"/>
      <c r="S19" s="51"/>
      <c r="T19" s="51"/>
      <c r="U19" s="51"/>
      <c r="V19" s="51"/>
      <c r="W19" s="51"/>
      <c r="X19" s="52"/>
      <c r="Y19" s="9"/>
      <c r="Z19" s="9"/>
    </row>
    <row r="20" spans="3:26" x14ac:dyDescent="0.25">
      <c r="Q20" s="9"/>
      <c r="R20" s="51"/>
      <c r="S20" s="51"/>
      <c r="T20" s="51"/>
      <c r="U20" s="51"/>
      <c r="V20" s="51"/>
      <c r="W20" s="51"/>
      <c r="X20" s="52"/>
      <c r="Y20" s="9"/>
      <c r="Z20" s="9"/>
    </row>
    <row r="21" spans="3:26" x14ac:dyDescent="0.25">
      <c r="C21" s="80" t="s">
        <v>82</v>
      </c>
      <c r="Q21" s="9"/>
      <c r="R21" s="51"/>
      <c r="S21" s="51"/>
      <c r="T21" s="51"/>
      <c r="U21" s="51"/>
      <c r="V21" s="51"/>
      <c r="W21" s="51"/>
      <c r="X21" s="52"/>
      <c r="Y21" s="9"/>
      <c r="Z21" s="9"/>
    </row>
    <row r="22" spans="3:26" x14ac:dyDescent="0.25">
      <c r="Q22" s="9"/>
      <c r="R22" s="9"/>
      <c r="S22" s="9"/>
      <c r="T22" s="9"/>
      <c r="U22" s="9"/>
      <c r="V22" s="53"/>
      <c r="W22" s="53"/>
      <c r="X22" s="54"/>
      <c r="Y22" s="9"/>
      <c r="Z22" s="9"/>
    </row>
    <row r="23" spans="3:26" x14ac:dyDescent="0.25"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33" spans="3:12" ht="15.75" thickBot="1" x14ac:dyDescent="0.3"/>
    <row r="34" spans="3:12" ht="15.75" thickBot="1" x14ac:dyDescent="0.3">
      <c r="C34" s="116" t="s">
        <v>109</v>
      </c>
      <c r="D34" s="117"/>
      <c r="E34" s="117"/>
      <c r="F34" s="117"/>
      <c r="G34" s="117"/>
      <c r="H34" s="117"/>
      <c r="I34" s="117"/>
      <c r="J34" s="117"/>
      <c r="K34" s="117"/>
      <c r="L34" s="118"/>
    </row>
    <row r="35" spans="3:12" x14ac:dyDescent="0.25">
      <c r="C35" t="s">
        <v>112</v>
      </c>
      <c r="D35" s="119" t="s">
        <v>110</v>
      </c>
      <c r="E35" s="119"/>
      <c r="F35" s="119"/>
      <c r="G35" s="119"/>
      <c r="H35" s="119"/>
      <c r="I35" s="119" t="s">
        <v>111</v>
      </c>
      <c r="J35" s="119"/>
      <c r="K35" s="119"/>
      <c r="L35" s="119"/>
    </row>
    <row r="36" spans="3:12" x14ac:dyDescent="0.25">
      <c r="C36" s="100"/>
      <c r="D36" s="111"/>
      <c r="E36" s="111"/>
      <c r="F36" s="111"/>
      <c r="G36" s="111"/>
      <c r="H36" s="111"/>
      <c r="I36" s="111"/>
      <c r="J36" s="111"/>
      <c r="K36" s="111"/>
      <c r="L36" s="111"/>
    </row>
    <row r="37" spans="3:12" x14ac:dyDescent="0.25">
      <c r="C37" s="100"/>
      <c r="D37" s="111"/>
      <c r="E37" s="111"/>
      <c r="F37" s="111"/>
      <c r="G37" s="111"/>
      <c r="H37" s="111"/>
      <c r="I37" s="111"/>
      <c r="J37" s="111"/>
      <c r="K37" s="111"/>
      <c r="L37" s="111"/>
    </row>
    <row r="38" spans="3:12" x14ac:dyDescent="0.25">
      <c r="C38" s="100"/>
      <c r="D38" s="111"/>
      <c r="E38" s="111"/>
      <c r="F38" s="111"/>
      <c r="G38" s="111"/>
      <c r="H38" s="111"/>
      <c r="I38" s="111"/>
      <c r="J38" s="111"/>
      <c r="K38" s="111"/>
      <c r="L38" s="111"/>
    </row>
    <row r="39" spans="3:12" x14ac:dyDescent="0.25">
      <c r="C39" s="100"/>
      <c r="D39" s="111"/>
      <c r="E39" s="111"/>
      <c r="F39" s="111"/>
      <c r="G39" s="111"/>
      <c r="H39" s="111"/>
      <c r="I39" s="111"/>
      <c r="J39" s="111"/>
      <c r="K39" s="111"/>
      <c r="L39" s="111"/>
    </row>
    <row r="40" spans="3:12" x14ac:dyDescent="0.25">
      <c r="C40" s="100"/>
      <c r="D40" s="111"/>
      <c r="E40" s="111"/>
      <c r="F40" s="111"/>
      <c r="G40" s="111"/>
      <c r="H40" s="111"/>
      <c r="I40" s="111"/>
      <c r="J40" s="111"/>
      <c r="K40" s="111"/>
      <c r="L40" s="111"/>
    </row>
    <row r="41" spans="3:12" x14ac:dyDescent="0.25">
      <c r="C41" s="100"/>
      <c r="D41" s="111"/>
      <c r="E41" s="111"/>
      <c r="F41" s="111"/>
      <c r="G41" s="111"/>
      <c r="H41" s="111"/>
      <c r="I41" s="111"/>
      <c r="J41" s="111"/>
      <c r="K41" s="111"/>
      <c r="L41" s="111"/>
    </row>
    <row r="42" spans="3:12" x14ac:dyDescent="0.25">
      <c r="C42" s="100"/>
      <c r="D42" s="111"/>
      <c r="E42" s="111"/>
      <c r="F42" s="111"/>
      <c r="G42" s="111"/>
      <c r="H42" s="111"/>
      <c r="I42" s="111"/>
      <c r="J42" s="111"/>
      <c r="K42" s="111"/>
      <c r="L42" s="111"/>
    </row>
    <row r="43" spans="3:12" x14ac:dyDescent="0.25">
      <c r="C43" s="100"/>
      <c r="D43" s="111"/>
      <c r="E43" s="111"/>
      <c r="F43" s="111"/>
      <c r="G43" s="111"/>
      <c r="H43" s="111"/>
      <c r="I43" s="111"/>
      <c r="J43" s="111"/>
      <c r="K43" s="111"/>
      <c r="L43" s="111"/>
    </row>
    <row r="44" spans="3:12" x14ac:dyDescent="0.25">
      <c r="C44" s="100"/>
      <c r="D44" s="111"/>
      <c r="E44" s="111"/>
      <c r="F44" s="111"/>
      <c r="G44" s="111"/>
      <c r="H44" s="111"/>
      <c r="I44" s="111"/>
      <c r="J44" s="111"/>
      <c r="K44" s="111"/>
      <c r="L44" s="111"/>
    </row>
    <row r="45" spans="3:12" x14ac:dyDescent="0.25">
      <c r="C45" s="100"/>
      <c r="D45" s="111"/>
      <c r="E45" s="111"/>
      <c r="F45" s="111"/>
      <c r="G45" s="111"/>
      <c r="H45" s="111"/>
      <c r="I45" s="111"/>
      <c r="J45" s="111"/>
      <c r="K45" s="111"/>
      <c r="L45" s="111"/>
    </row>
    <row r="46" spans="3:12" x14ac:dyDescent="0.25">
      <c r="C46" s="100"/>
      <c r="D46" s="111"/>
      <c r="E46" s="111"/>
      <c r="F46" s="111"/>
      <c r="G46" s="111"/>
      <c r="H46" s="111"/>
      <c r="I46" s="111"/>
      <c r="J46" s="111"/>
      <c r="K46" s="111"/>
      <c r="L46" s="111"/>
    </row>
    <row r="47" spans="3:12" x14ac:dyDescent="0.25">
      <c r="C47" s="100"/>
      <c r="D47" s="111"/>
      <c r="E47" s="111"/>
      <c r="F47" s="111"/>
      <c r="G47" s="111"/>
      <c r="H47" s="111"/>
      <c r="I47" s="111"/>
      <c r="J47" s="111"/>
      <c r="K47" s="111"/>
      <c r="L47" s="111"/>
    </row>
    <row r="48" spans="3:12" x14ac:dyDescent="0.25">
      <c r="C48" s="100"/>
      <c r="D48" s="111"/>
      <c r="E48" s="111"/>
      <c r="F48" s="111"/>
      <c r="G48" s="111"/>
      <c r="H48" s="111"/>
      <c r="I48" s="111"/>
      <c r="J48" s="111"/>
      <c r="K48" s="111"/>
      <c r="L48" s="111"/>
    </row>
    <row r="49" spans="3:12" x14ac:dyDescent="0.25">
      <c r="C49" s="100"/>
      <c r="D49" s="111"/>
      <c r="E49" s="111"/>
      <c r="F49" s="111"/>
      <c r="G49" s="111"/>
      <c r="H49" s="111"/>
      <c r="I49" s="111"/>
      <c r="J49" s="111"/>
      <c r="K49" s="111"/>
      <c r="L49" s="111"/>
    </row>
    <row r="50" spans="3:12" x14ac:dyDescent="0.25">
      <c r="C50" s="100"/>
      <c r="D50" s="111"/>
      <c r="E50" s="111"/>
      <c r="F50" s="111"/>
      <c r="G50" s="111"/>
      <c r="H50" s="111"/>
      <c r="I50" s="111"/>
      <c r="J50" s="111"/>
      <c r="K50" s="111"/>
      <c r="L50" s="111"/>
    </row>
    <row r="51" spans="3:12" x14ac:dyDescent="0.25">
      <c r="C51" s="100"/>
      <c r="D51" s="111"/>
      <c r="E51" s="111"/>
      <c r="F51" s="111"/>
      <c r="G51" s="111"/>
      <c r="H51" s="111"/>
      <c r="I51" s="111"/>
      <c r="J51" s="111"/>
      <c r="K51" s="111"/>
      <c r="L51" s="111"/>
    </row>
  </sheetData>
  <mergeCells count="37">
    <mergeCell ref="R11:Z11"/>
    <mergeCell ref="B2:L2"/>
    <mergeCell ref="C34:L34"/>
    <mergeCell ref="D35:H35"/>
    <mergeCell ref="I35:L35"/>
    <mergeCell ref="D36:H36"/>
    <mergeCell ref="I36:L36"/>
    <mergeCell ref="D37:H37"/>
    <mergeCell ref="I37:L37"/>
    <mergeCell ref="D38:H38"/>
    <mergeCell ref="I38:L38"/>
    <mergeCell ref="D39:H39"/>
    <mergeCell ref="I39:L39"/>
    <mergeCell ref="D40:H40"/>
    <mergeCell ref="I40:L40"/>
    <mergeCell ref="D41:H41"/>
    <mergeCell ref="I41:L41"/>
    <mergeCell ref="D42:H42"/>
    <mergeCell ref="I42:L42"/>
    <mergeCell ref="D43:H43"/>
    <mergeCell ref="I43:L43"/>
    <mergeCell ref="D44:H44"/>
    <mergeCell ref="I44:L44"/>
    <mergeCell ref="D45:H45"/>
    <mergeCell ref="I45:L45"/>
    <mergeCell ref="D46:H46"/>
    <mergeCell ref="I46:L46"/>
    <mergeCell ref="D47:H47"/>
    <mergeCell ref="I47:L47"/>
    <mergeCell ref="D51:H51"/>
    <mergeCell ref="I51:L51"/>
    <mergeCell ref="D48:H48"/>
    <mergeCell ref="I48:L48"/>
    <mergeCell ref="D49:H49"/>
    <mergeCell ref="I49:L49"/>
    <mergeCell ref="D50:H50"/>
    <mergeCell ref="I50:L50"/>
  </mergeCells>
  <conditionalFormatting sqref="R3:R7">
    <cfRule type="containsText" dxfId="1" priority="1" operator="containsText" text="YES">
      <formula>NOT(ISERROR(SEARCH("YES",R3)))</formula>
    </cfRule>
    <cfRule type="containsText" dxfId="0" priority="2" operator="containsText" text="NO">
      <formula>NOT(ISERROR(SEARCH("NO",R3)))</formula>
    </cfRule>
    <cfRule type="colorScale" priority="3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A656-774C-4E0F-9522-1C3E9D7371A7}">
  <dimension ref="A1:N39"/>
  <sheetViews>
    <sheetView workbookViewId="0">
      <selection activeCell="D19" sqref="D19"/>
    </sheetView>
  </sheetViews>
  <sheetFormatPr defaultRowHeight="15" outlineLevelRow="1" x14ac:dyDescent="0.25"/>
  <cols>
    <col min="1" max="1" width="1.7109375" customWidth="1"/>
    <col min="2" max="2" width="20.7109375" customWidth="1"/>
    <col min="4" max="4" width="20.7109375" customWidth="1"/>
    <col min="5" max="5" width="1.7109375" customWidth="1"/>
    <col min="6" max="7" width="30.7109375" customWidth="1"/>
    <col min="9" max="9" width="40.7109375" customWidth="1"/>
    <col min="14" max="14" width="0" hidden="1" customWidth="1"/>
  </cols>
  <sheetData>
    <row r="1" spans="1:14" s="4" customFormat="1" ht="12.75" thickBo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s="9" customFormat="1" ht="18" x14ac:dyDescent="0.2">
      <c r="A2" s="13"/>
      <c r="B2" s="16" t="s">
        <v>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  <c r="N2" s="6"/>
    </row>
    <row r="3" spans="1:14" s="9" customFormat="1" ht="18" x14ac:dyDescent="0.2">
      <c r="A3" s="13"/>
      <c r="B3" s="19"/>
      <c r="C3" s="14"/>
      <c r="D3" s="14"/>
      <c r="E3" s="14"/>
      <c r="F3" s="14"/>
      <c r="G3" s="14"/>
      <c r="H3" s="14"/>
      <c r="I3" s="14"/>
      <c r="J3" s="14"/>
      <c r="K3" s="14"/>
      <c r="L3" s="14"/>
      <c r="M3" s="20"/>
      <c r="N3" s="6"/>
    </row>
    <row r="4" spans="1:14" s="9" customFormat="1" ht="18" x14ac:dyDescent="0.2">
      <c r="A4" s="13"/>
      <c r="B4" s="19" t="s">
        <v>2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20"/>
      <c r="N4" s="6"/>
    </row>
    <row r="5" spans="1:14" s="9" customFormat="1" ht="30" x14ac:dyDescent="0.2">
      <c r="A5" s="13"/>
      <c r="B5" s="21" t="s">
        <v>8</v>
      </c>
      <c r="C5" s="10" t="s">
        <v>3</v>
      </c>
      <c r="D5" s="10" t="s">
        <v>4</v>
      </c>
      <c r="E5" s="10"/>
      <c r="F5" s="27"/>
      <c r="G5" s="10" t="s">
        <v>5</v>
      </c>
      <c r="H5" s="28"/>
      <c r="I5" s="10" t="s">
        <v>6</v>
      </c>
      <c r="J5" s="10"/>
      <c r="K5" s="10" t="s">
        <v>7</v>
      </c>
      <c r="L5" s="10"/>
      <c r="M5" s="10"/>
      <c r="N5" s="29"/>
    </row>
    <row r="6" spans="1:14" s="9" customFormat="1" x14ac:dyDescent="0.2">
      <c r="A6" s="13"/>
      <c r="B6" s="22" t="s">
        <v>85</v>
      </c>
      <c r="C6" s="12"/>
      <c r="D6" s="12"/>
      <c r="E6" s="12"/>
      <c r="F6" s="12"/>
      <c r="G6" s="12"/>
      <c r="H6" s="12"/>
      <c r="I6" s="12"/>
      <c r="J6" s="14"/>
      <c r="K6" s="14"/>
      <c r="L6" s="14"/>
      <c r="M6" s="20"/>
      <c r="N6" s="6"/>
    </row>
    <row r="7" spans="1:14" s="9" customFormat="1" x14ac:dyDescent="0.2">
      <c r="A7" s="13"/>
      <c r="B7" s="126" t="s">
        <v>113</v>
      </c>
      <c r="C7" s="127"/>
      <c r="D7" s="15" t="s">
        <v>101</v>
      </c>
      <c r="E7" s="14"/>
      <c r="F7" s="128" t="s">
        <v>120</v>
      </c>
      <c r="G7" s="129"/>
      <c r="H7" s="101">
        <v>46255</v>
      </c>
      <c r="I7" s="14"/>
      <c r="J7" s="14"/>
      <c r="K7" s="14"/>
      <c r="L7" s="14"/>
      <c r="M7" s="20"/>
      <c r="N7" s="6"/>
    </row>
    <row r="8" spans="1:14" s="9" customFormat="1" ht="30" customHeight="1" outlineLevel="1" x14ac:dyDescent="0.2">
      <c r="A8" s="13"/>
      <c r="B8" s="13"/>
      <c r="C8" s="30">
        <v>1</v>
      </c>
      <c r="D8" s="102" t="s">
        <v>115</v>
      </c>
      <c r="E8" s="11"/>
      <c r="F8" s="128" t="s">
        <v>116</v>
      </c>
      <c r="G8" s="129"/>
      <c r="H8" s="133"/>
      <c r="I8" s="11" t="s">
        <v>118</v>
      </c>
      <c r="J8" s="11"/>
      <c r="K8" s="11"/>
      <c r="L8" s="14"/>
      <c r="M8" s="20"/>
      <c r="N8" s="6"/>
    </row>
    <row r="9" spans="1:14" s="9" customFormat="1" ht="45" customHeight="1" outlineLevel="1" x14ac:dyDescent="0.2">
      <c r="A9" s="13"/>
      <c r="B9" s="13"/>
      <c r="C9" s="30">
        <v>2</v>
      </c>
      <c r="D9" s="102" t="s">
        <v>115</v>
      </c>
      <c r="E9" s="11"/>
      <c r="F9" s="128" t="s">
        <v>117</v>
      </c>
      <c r="G9" s="129"/>
      <c r="H9" s="133"/>
      <c r="I9" s="11" t="s">
        <v>119</v>
      </c>
      <c r="J9" s="11"/>
      <c r="K9" s="11"/>
      <c r="L9" s="14"/>
      <c r="M9" s="20"/>
      <c r="N9" s="6"/>
    </row>
    <row r="10" spans="1:14" s="9" customFormat="1" outlineLevel="1" x14ac:dyDescent="0.2">
      <c r="A10" s="13"/>
      <c r="B10" s="13"/>
      <c r="C10" s="30">
        <v>3</v>
      </c>
      <c r="D10" s="11"/>
      <c r="E10" s="11"/>
      <c r="F10" s="24"/>
      <c r="G10" s="25"/>
      <c r="H10" s="26"/>
      <c r="I10" s="11"/>
      <c r="J10" s="11"/>
      <c r="K10" s="11"/>
      <c r="L10" s="14"/>
      <c r="M10" s="20"/>
      <c r="N10" s="6"/>
    </row>
    <row r="11" spans="1:14" s="9" customFormat="1" x14ac:dyDescent="0.2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20"/>
      <c r="N11" s="6"/>
    </row>
    <row r="12" spans="1:14" s="4" customFormat="1" ht="12" x14ac:dyDescent="0.2">
      <c r="A12" s="5"/>
      <c r="B12" s="5"/>
      <c r="C12" s="8"/>
      <c r="D12" s="8"/>
      <c r="E12" s="8"/>
      <c r="F12" s="8"/>
      <c r="G12" s="8"/>
      <c r="H12" s="8"/>
      <c r="I12" s="8"/>
      <c r="J12" s="8"/>
      <c r="K12" s="8"/>
      <c r="L12" s="8"/>
      <c r="M12" s="6"/>
      <c r="N12" s="6"/>
    </row>
    <row r="13" spans="1:14" s="9" customFormat="1" x14ac:dyDescent="0.2">
      <c r="A13" s="13"/>
      <c r="B13" s="13" t="s">
        <v>84</v>
      </c>
      <c r="C13" s="12"/>
      <c r="D13" s="12"/>
      <c r="E13" s="12"/>
      <c r="F13" s="12"/>
      <c r="G13" s="12"/>
      <c r="H13" s="12"/>
      <c r="I13" s="12"/>
      <c r="J13" s="14"/>
      <c r="K13" s="14"/>
      <c r="L13" s="14"/>
      <c r="M13" s="20"/>
      <c r="N13" s="6"/>
    </row>
    <row r="14" spans="1:14" s="9" customFormat="1" x14ac:dyDescent="0.2">
      <c r="A14" s="13"/>
      <c r="B14" s="126" t="s">
        <v>121</v>
      </c>
      <c r="C14" s="127"/>
      <c r="D14" s="15" t="s">
        <v>101</v>
      </c>
      <c r="E14" s="14"/>
      <c r="F14" s="128" t="s">
        <v>120</v>
      </c>
      <c r="G14" s="129"/>
      <c r="H14" s="101">
        <v>46258</v>
      </c>
      <c r="I14" s="14"/>
      <c r="J14" s="14"/>
      <c r="K14" s="14"/>
      <c r="L14" s="14"/>
      <c r="M14" s="20"/>
      <c r="N14" s="6"/>
    </row>
    <row r="15" spans="1:14" s="9" customFormat="1" outlineLevel="1" x14ac:dyDescent="0.2">
      <c r="A15" s="13"/>
      <c r="B15" s="13"/>
      <c r="C15" s="30">
        <v>1</v>
      </c>
      <c r="D15" s="102" t="s">
        <v>122</v>
      </c>
      <c r="E15" s="11"/>
      <c r="F15" s="24" t="s">
        <v>123</v>
      </c>
      <c r="G15" s="25"/>
      <c r="H15" s="26"/>
      <c r="I15" s="11" t="s">
        <v>125</v>
      </c>
      <c r="J15" s="11"/>
      <c r="K15" s="11"/>
      <c r="L15" s="14"/>
      <c r="M15" s="20"/>
      <c r="N15" s="6"/>
    </row>
    <row r="16" spans="1:14" s="9" customFormat="1" outlineLevel="1" x14ac:dyDescent="0.2">
      <c r="A16" s="13"/>
      <c r="B16" s="13"/>
      <c r="C16" s="30">
        <v>2</v>
      </c>
      <c r="D16" s="102" t="s">
        <v>122</v>
      </c>
      <c r="E16" s="11"/>
      <c r="F16" s="24" t="s">
        <v>124</v>
      </c>
      <c r="G16" s="25"/>
      <c r="H16" s="26"/>
      <c r="I16" s="11" t="s">
        <v>125</v>
      </c>
      <c r="J16" s="11"/>
      <c r="K16" s="11"/>
      <c r="L16" s="14"/>
      <c r="M16" s="20"/>
      <c r="N16" s="6"/>
    </row>
    <row r="17" spans="1:14" s="9" customFormat="1" outlineLevel="1" x14ac:dyDescent="0.2">
      <c r="A17" s="13"/>
      <c r="B17" s="13"/>
      <c r="C17" s="30">
        <v>3</v>
      </c>
      <c r="D17" s="102"/>
      <c r="E17" s="11"/>
      <c r="F17" s="103"/>
      <c r="G17" s="25"/>
      <c r="H17" s="26"/>
      <c r="I17" s="11"/>
      <c r="J17" s="11"/>
      <c r="K17" s="11"/>
      <c r="L17" s="14"/>
      <c r="M17" s="20"/>
      <c r="N17" s="6"/>
    </row>
    <row r="18" spans="1:14" s="9" customFormat="1" outlineLevel="1" x14ac:dyDescent="0.2">
      <c r="A18" s="13"/>
      <c r="B18" s="13"/>
      <c r="C18" s="30">
        <v>4</v>
      </c>
      <c r="D18" s="102" t="s">
        <v>122</v>
      </c>
      <c r="E18" s="11"/>
      <c r="F18" s="103" t="s">
        <v>126</v>
      </c>
      <c r="G18" s="25"/>
      <c r="H18" s="26"/>
      <c r="I18" s="11" t="s">
        <v>125</v>
      </c>
      <c r="J18" s="11"/>
      <c r="K18" s="11"/>
      <c r="L18" s="14"/>
      <c r="M18" s="20"/>
      <c r="N18" s="6"/>
    </row>
    <row r="19" spans="1:14" s="9" customFormat="1" outlineLevel="1" x14ac:dyDescent="0.2">
      <c r="A19" s="13"/>
      <c r="B19" s="13"/>
      <c r="C19" s="30">
        <v>5</v>
      </c>
      <c r="D19" s="102"/>
      <c r="E19" s="11"/>
      <c r="F19" s="24"/>
      <c r="G19" s="25"/>
      <c r="H19" s="26"/>
      <c r="I19" s="11"/>
      <c r="J19" s="11"/>
      <c r="K19" s="11"/>
      <c r="L19" s="14"/>
      <c r="M19" s="20"/>
      <c r="N19" s="6"/>
    </row>
    <row r="20" spans="1:14" s="9" customFormat="1" outlineLevel="1" x14ac:dyDescent="0.2">
      <c r="A20" s="13"/>
      <c r="B20" s="13"/>
      <c r="C20" s="30">
        <v>6</v>
      </c>
      <c r="D20" s="102"/>
      <c r="E20" s="11"/>
      <c r="F20" s="128" t="s">
        <v>127</v>
      </c>
      <c r="G20" s="129"/>
      <c r="H20" s="101">
        <v>46258</v>
      </c>
      <c r="I20" s="11"/>
      <c r="J20" s="11"/>
      <c r="K20" s="11"/>
      <c r="L20" s="14"/>
      <c r="M20" s="20"/>
      <c r="N20" s="6"/>
    </row>
    <row r="21" spans="1:14" s="9" customFormat="1" outlineLevel="1" x14ac:dyDescent="0.2">
      <c r="A21" s="13"/>
      <c r="B21" s="13"/>
      <c r="C21" s="30">
        <v>7</v>
      </c>
      <c r="D21" s="102" t="s">
        <v>128</v>
      </c>
      <c r="E21" s="11"/>
      <c r="F21" s="24" t="s">
        <v>129</v>
      </c>
      <c r="G21" s="25"/>
      <c r="H21" s="26"/>
      <c r="I21" s="11" t="s">
        <v>125</v>
      </c>
      <c r="J21" s="11"/>
      <c r="K21" s="11"/>
      <c r="L21" s="14"/>
      <c r="M21" s="20"/>
      <c r="N21" s="6"/>
    </row>
    <row r="22" spans="1:14" s="9" customFormat="1" outlineLevel="1" x14ac:dyDescent="0.2">
      <c r="A22" s="13"/>
      <c r="B22" s="13"/>
      <c r="C22" s="30">
        <v>8</v>
      </c>
      <c r="D22" s="102" t="s">
        <v>130</v>
      </c>
      <c r="E22" s="11"/>
      <c r="F22" s="24" t="s">
        <v>131</v>
      </c>
      <c r="G22" s="25"/>
      <c r="H22" s="26"/>
      <c r="I22" s="11" t="s">
        <v>125</v>
      </c>
      <c r="J22" s="11"/>
      <c r="K22" s="11"/>
      <c r="L22" s="14"/>
      <c r="M22" s="20"/>
      <c r="N22" s="6"/>
    </row>
    <row r="23" spans="1:14" s="9" customFormat="1" outlineLevel="1" x14ac:dyDescent="0.2">
      <c r="A23" s="13"/>
      <c r="B23" s="13"/>
      <c r="C23" s="30">
        <v>9</v>
      </c>
      <c r="D23" s="102"/>
      <c r="E23" s="11"/>
      <c r="F23" s="24"/>
      <c r="G23" s="25"/>
      <c r="H23" s="26"/>
      <c r="I23" s="11"/>
      <c r="J23" s="11"/>
      <c r="K23" s="11"/>
      <c r="L23" s="14"/>
      <c r="M23" s="20"/>
      <c r="N23" s="6"/>
    </row>
    <row r="24" spans="1:14" s="9" customFormat="1" outlineLevel="1" x14ac:dyDescent="0.2">
      <c r="A24" s="13"/>
      <c r="B24" s="13"/>
      <c r="C24" s="30">
        <v>10</v>
      </c>
      <c r="D24" s="102"/>
      <c r="E24" s="11"/>
      <c r="F24" s="24"/>
      <c r="G24" s="25"/>
      <c r="H24" s="26"/>
      <c r="I24" s="11"/>
      <c r="J24" s="11"/>
      <c r="K24" s="11"/>
      <c r="L24" s="14"/>
      <c r="M24" s="20"/>
      <c r="N24" s="6"/>
    </row>
    <row r="25" spans="1:14" s="9" customFormat="1" x14ac:dyDescent="0.2">
      <c r="A25" s="13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20"/>
      <c r="N25" s="6"/>
    </row>
    <row r="26" spans="1:14" s="4" customFormat="1" ht="12" x14ac:dyDescent="0.2">
      <c r="A26" s="5"/>
      <c r="B26" s="23"/>
      <c r="C26" s="8"/>
      <c r="D26" s="8"/>
      <c r="E26" s="8"/>
      <c r="F26" s="8"/>
      <c r="G26" s="8"/>
      <c r="H26" s="8"/>
      <c r="I26" s="8"/>
      <c r="J26" s="8"/>
      <c r="K26" s="8"/>
      <c r="L26" s="8"/>
      <c r="M26" s="6"/>
      <c r="N26" s="6"/>
    </row>
    <row r="27" spans="1:14" s="4" customFormat="1" ht="12" x14ac:dyDescent="0.2">
      <c r="A27" s="5"/>
      <c r="B27" s="23"/>
      <c r="C27" s="8"/>
      <c r="D27" s="8"/>
      <c r="E27" s="8"/>
      <c r="F27" s="8"/>
      <c r="G27" s="8"/>
      <c r="H27" s="8"/>
      <c r="I27" s="8"/>
      <c r="J27" s="8"/>
      <c r="K27" s="8"/>
      <c r="L27" s="8"/>
      <c r="M27" s="6"/>
      <c r="N27" s="6"/>
    </row>
    <row r="28" spans="1:14" s="4" customFormat="1" ht="12.75" thickBot="1" x14ac:dyDescent="0.25">
      <c r="A28" s="5"/>
      <c r="B28" s="5"/>
      <c r="C28" s="8"/>
      <c r="D28" s="8"/>
      <c r="E28" s="8"/>
      <c r="F28" s="8"/>
      <c r="G28" s="8"/>
      <c r="H28" s="8"/>
      <c r="I28" s="8"/>
      <c r="J28" s="8"/>
      <c r="K28" s="8"/>
      <c r="L28" s="8"/>
      <c r="M28" s="6"/>
      <c r="N28" s="6"/>
    </row>
    <row r="29" spans="1:14" s="4" customFormat="1" ht="12.75" thickBot="1" x14ac:dyDescent="0.25">
      <c r="A29" s="5"/>
      <c r="B29" s="130" t="s">
        <v>0</v>
      </c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2"/>
      <c r="N29" s="7"/>
    </row>
    <row r="30" spans="1:14" s="4" customFormat="1" ht="12" x14ac:dyDescent="0.2">
      <c r="A30" s="5"/>
      <c r="B30" s="120" t="s">
        <v>10</v>
      </c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2"/>
      <c r="N30" s="7"/>
    </row>
    <row r="31" spans="1:14" s="4" customFormat="1" ht="12" x14ac:dyDescent="0.2">
      <c r="A31" s="5"/>
      <c r="B31" s="120" t="s">
        <v>10</v>
      </c>
      <c r="C31" s="121"/>
      <c r="D31" s="121"/>
      <c r="E31" s="121"/>
      <c r="F31" s="121"/>
      <c r="G31" s="121"/>
      <c r="H31" s="121"/>
      <c r="I31" s="121"/>
      <c r="J31" s="121"/>
      <c r="K31" s="121"/>
      <c r="L31" s="121"/>
      <c r="M31" s="122"/>
      <c r="N31" s="7"/>
    </row>
    <row r="32" spans="1:14" s="4" customFormat="1" ht="12" x14ac:dyDescent="0.2">
      <c r="A32" s="5"/>
      <c r="B32" s="120" t="s">
        <v>10</v>
      </c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2"/>
      <c r="N32" s="7"/>
    </row>
    <row r="33" spans="1:14" s="4" customFormat="1" ht="12" x14ac:dyDescent="0.2">
      <c r="A33" s="5"/>
      <c r="B33" s="120" t="s">
        <v>10</v>
      </c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2"/>
      <c r="N33" s="7"/>
    </row>
    <row r="34" spans="1:14" s="4" customFormat="1" ht="12" x14ac:dyDescent="0.2">
      <c r="A34" s="5"/>
      <c r="B34" s="120" t="s">
        <v>10</v>
      </c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2"/>
      <c r="N34" s="7"/>
    </row>
    <row r="35" spans="1:14" s="4" customFormat="1" ht="12" x14ac:dyDescent="0.2">
      <c r="A35" s="5"/>
      <c r="B35" s="120" t="s">
        <v>10</v>
      </c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2"/>
      <c r="N35" s="7"/>
    </row>
    <row r="36" spans="1:14" s="4" customFormat="1" ht="12" x14ac:dyDescent="0.2">
      <c r="A36" s="5"/>
      <c r="B36" s="120" t="s">
        <v>10</v>
      </c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2"/>
      <c r="N36" s="7"/>
    </row>
    <row r="37" spans="1:14" s="4" customFormat="1" ht="12" x14ac:dyDescent="0.2">
      <c r="A37" s="5"/>
      <c r="B37" s="120" t="s">
        <v>10</v>
      </c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2"/>
      <c r="N37" s="7"/>
    </row>
    <row r="38" spans="1:14" s="4" customFormat="1" ht="12" x14ac:dyDescent="0.2">
      <c r="A38" s="5"/>
      <c r="B38" s="120" t="s">
        <v>10</v>
      </c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2"/>
      <c r="N38" s="7"/>
    </row>
    <row r="39" spans="1:14" s="4" customFormat="1" ht="12.75" thickBot="1" x14ac:dyDescent="0.25">
      <c r="A39" s="5"/>
      <c r="B39" s="123" t="s">
        <v>10</v>
      </c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5"/>
      <c r="N39" s="7"/>
    </row>
  </sheetData>
  <mergeCells count="18">
    <mergeCell ref="B7:C7"/>
    <mergeCell ref="F7:G7"/>
    <mergeCell ref="B14:C14"/>
    <mergeCell ref="F14:G14"/>
    <mergeCell ref="B34:M34"/>
    <mergeCell ref="B29:M29"/>
    <mergeCell ref="B30:M30"/>
    <mergeCell ref="B31:M31"/>
    <mergeCell ref="B32:M32"/>
    <mergeCell ref="B33:M33"/>
    <mergeCell ref="F8:H8"/>
    <mergeCell ref="F9:H9"/>
    <mergeCell ref="F20:G20"/>
    <mergeCell ref="B35:M35"/>
    <mergeCell ref="B36:M36"/>
    <mergeCell ref="B37:M37"/>
    <mergeCell ref="B38:M38"/>
    <mergeCell ref="B39:M39"/>
  </mergeCells>
  <dataValidations count="1">
    <dataValidation type="list" allowBlank="1" showInputMessage="1" showErrorMessage="1" sqref="D7 D14" xr:uid="{591EBED6-2737-4D20-BF56-ECB66ECF11C9}">
      <formula1>" _, In Progress, Review Completed"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2F2F-6FE1-4AB2-AE0C-0EE277C5B572}">
  <dimension ref="B1:J52"/>
  <sheetViews>
    <sheetView tabSelected="1" workbookViewId="0">
      <selection activeCell="F12" sqref="F12"/>
    </sheetView>
  </sheetViews>
  <sheetFormatPr defaultColWidth="9.28515625" defaultRowHeight="15" outlineLevelRow="1" x14ac:dyDescent="0.25"/>
  <cols>
    <col min="1" max="1" width="4" style="9" customWidth="1"/>
    <col min="2" max="2" width="11.5703125" style="9" customWidth="1"/>
    <col min="3" max="3" width="10.7109375" style="9" customWidth="1"/>
    <col min="4" max="4" width="23.5703125" style="9" customWidth="1"/>
    <col min="5" max="5" width="1.7109375" style="9" customWidth="1"/>
    <col min="6" max="6" width="60.7109375" style="9" customWidth="1"/>
    <col min="7" max="7" width="1.7109375" style="9" customWidth="1"/>
    <col min="8" max="8" width="50.5703125" style="9" customWidth="1"/>
    <col min="9" max="9" width="1.7109375" style="9" customWidth="1"/>
    <col min="10" max="10" width="25.42578125" style="9" customWidth="1"/>
    <col min="11" max="16384" width="9.28515625" style="9"/>
  </cols>
  <sheetData>
    <row r="1" spans="2:10" ht="9" customHeight="1" x14ac:dyDescent="0.25"/>
    <row r="2" spans="2:10" ht="18" x14ac:dyDescent="0.25">
      <c r="B2" s="39"/>
      <c r="J2" s="40"/>
    </row>
    <row r="3" spans="2:10" ht="18" x14ac:dyDescent="0.25">
      <c r="B3" s="39" t="s">
        <v>62</v>
      </c>
    </row>
    <row r="4" spans="2:10" ht="30" x14ac:dyDescent="0.25">
      <c r="B4" s="41" t="s">
        <v>57</v>
      </c>
      <c r="C4" s="10" t="s">
        <v>3</v>
      </c>
      <c r="D4" s="10" t="s">
        <v>4</v>
      </c>
      <c r="E4" s="10"/>
      <c r="F4" s="10" t="s">
        <v>5</v>
      </c>
      <c r="G4" s="10"/>
      <c r="H4" s="10" t="s">
        <v>6</v>
      </c>
      <c r="I4" s="10"/>
      <c r="J4" s="10" t="s">
        <v>7</v>
      </c>
    </row>
    <row r="5" spans="2:10" x14ac:dyDescent="0.25">
      <c r="C5" s="42"/>
      <c r="D5" s="42"/>
      <c r="E5" s="42"/>
      <c r="F5" s="42"/>
      <c r="G5" s="42"/>
      <c r="H5" s="42"/>
      <c r="I5" s="42"/>
      <c r="J5" s="42"/>
    </row>
    <row r="6" spans="2:10" x14ac:dyDescent="0.25">
      <c r="B6" s="134" t="s">
        <v>140</v>
      </c>
      <c r="C6" s="135"/>
      <c r="D6" s="44" t="s">
        <v>141</v>
      </c>
      <c r="F6" s="11"/>
    </row>
    <row r="7" spans="2:10" x14ac:dyDescent="0.25">
      <c r="B7" s="43"/>
      <c r="C7" s="46"/>
      <c r="D7" s="44"/>
      <c r="F7" s="11"/>
    </row>
    <row r="8" spans="2:10" outlineLevel="1" x14ac:dyDescent="0.25">
      <c r="C8" s="45">
        <v>1</v>
      </c>
      <c r="D8" s="11"/>
      <c r="E8" s="11"/>
      <c r="F8" s="11" t="s">
        <v>142</v>
      </c>
      <c r="G8" s="11"/>
      <c r="H8" s="11" t="s">
        <v>144</v>
      </c>
      <c r="I8" s="11"/>
      <c r="J8" s="11"/>
    </row>
    <row r="9" spans="2:10" outlineLevel="1" x14ac:dyDescent="0.25">
      <c r="C9" s="45">
        <v>2</v>
      </c>
      <c r="D9" s="11"/>
      <c r="E9" s="11"/>
      <c r="F9" s="11"/>
      <c r="G9" s="11"/>
      <c r="H9" s="11"/>
      <c r="I9" s="11"/>
      <c r="J9" s="11"/>
    </row>
    <row r="10" spans="2:10" outlineLevel="1" x14ac:dyDescent="0.25">
      <c r="C10" s="45">
        <v>3</v>
      </c>
      <c r="D10" s="11"/>
      <c r="E10" s="11"/>
      <c r="F10" s="11" t="s">
        <v>143</v>
      </c>
      <c r="G10" s="11"/>
      <c r="H10" s="11" t="s">
        <v>144</v>
      </c>
      <c r="I10" s="11"/>
      <c r="J10" s="11"/>
    </row>
    <row r="11" spans="2:10" outlineLevel="1" x14ac:dyDescent="0.25">
      <c r="C11" s="45">
        <v>4</v>
      </c>
      <c r="D11" s="11"/>
      <c r="E11" s="11"/>
      <c r="F11" s="11"/>
      <c r="G11" s="11"/>
      <c r="H11" s="11"/>
      <c r="I11" s="11"/>
      <c r="J11" s="11"/>
    </row>
    <row r="12" spans="2:10" outlineLevel="1" x14ac:dyDescent="0.25">
      <c r="C12" s="45">
        <v>5</v>
      </c>
      <c r="D12" s="11"/>
      <c r="E12" s="11"/>
      <c r="F12" s="11"/>
      <c r="G12" s="11"/>
      <c r="H12" s="11"/>
      <c r="I12" s="11"/>
      <c r="J12" s="11"/>
    </row>
    <row r="13" spans="2:10" outlineLevel="1" x14ac:dyDescent="0.25">
      <c r="C13" s="45">
        <v>6</v>
      </c>
      <c r="D13" s="11"/>
      <c r="E13" s="11"/>
      <c r="F13" s="11"/>
      <c r="G13" s="11"/>
      <c r="H13" s="11"/>
      <c r="I13" s="11"/>
      <c r="J13" s="11"/>
    </row>
    <row r="14" spans="2:10" outlineLevel="1" x14ac:dyDescent="0.25">
      <c r="C14" s="45">
        <v>7</v>
      </c>
      <c r="D14" s="11"/>
      <c r="E14" s="11"/>
      <c r="F14" s="11"/>
      <c r="G14" s="11"/>
      <c r="H14" s="11"/>
      <c r="I14" s="11"/>
      <c r="J14" s="11"/>
    </row>
    <row r="15" spans="2:10" outlineLevel="1" x14ac:dyDescent="0.25">
      <c r="C15" s="45">
        <v>8</v>
      </c>
      <c r="D15" s="11"/>
      <c r="E15" s="11"/>
      <c r="F15" s="11"/>
      <c r="G15" s="11"/>
      <c r="H15" s="11"/>
      <c r="I15" s="11"/>
      <c r="J15" s="11"/>
    </row>
    <row r="16" spans="2:10" outlineLevel="1" x14ac:dyDescent="0.25">
      <c r="C16" s="45">
        <v>9</v>
      </c>
      <c r="D16" s="11"/>
      <c r="E16" s="11"/>
      <c r="F16" s="11"/>
      <c r="G16" s="11"/>
      <c r="H16" s="11"/>
      <c r="I16" s="11"/>
      <c r="J16" s="11"/>
    </row>
    <row r="17" spans="2:10" outlineLevel="1" x14ac:dyDescent="0.25">
      <c r="C17" s="45">
        <v>10</v>
      </c>
      <c r="D17" s="11"/>
      <c r="E17" s="11"/>
      <c r="F17" s="11"/>
      <c r="G17" s="11"/>
      <c r="H17" s="11"/>
      <c r="I17" s="11"/>
      <c r="J17" s="11"/>
    </row>
    <row r="18" spans="2:10" outlineLevel="1" x14ac:dyDescent="0.25">
      <c r="C18" s="45">
        <v>11</v>
      </c>
      <c r="D18" s="11"/>
      <c r="E18" s="11"/>
      <c r="F18" s="11"/>
      <c r="G18" s="11"/>
      <c r="H18" s="11"/>
      <c r="I18" s="11"/>
      <c r="J18" s="11"/>
    </row>
    <row r="19" spans="2:10" outlineLevel="1" x14ac:dyDescent="0.25">
      <c r="C19" s="45">
        <v>12</v>
      </c>
      <c r="D19" s="11"/>
      <c r="E19" s="11"/>
      <c r="F19" s="11"/>
      <c r="G19" s="11"/>
      <c r="H19" s="11"/>
      <c r="I19" s="11"/>
      <c r="J19" s="11"/>
    </row>
    <row r="20" spans="2:10" outlineLevel="1" x14ac:dyDescent="0.25">
      <c r="C20" s="45">
        <v>13</v>
      </c>
      <c r="D20" s="11"/>
      <c r="E20" s="11"/>
      <c r="F20" s="11"/>
      <c r="G20" s="11"/>
      <c r="H20" s="11"/>
      <c r="I20" s="11"/>
      <c r="J20" s="11"/>
    </row>
    <row r="21" spans="2:10" outlineLevel="1" x14ac:dyDescent="0.25">
      <c r="C21" s="45">
        <v>14</v>
      </c>
      <c r="D21" s="11"/>
      <c r="E21" s="11"/>
      <c r="F21" s="11"/>
      <c r="G21" s="11"/>
      <c r="H21" s="11"/>
      <c r="I21" s="11"/>
      <c r="J21" s="11"/>
    </row>
    <row r="22" spans="2:10" outlineLevel="1" x14ac:dyDescent="0.25">
      <c r="C22" s="45">
        <v>15</v>
      </c>
      <c r="D22" s="11"/>
      <c r="E22" s="11"/>
      <c r="F22" s="11"/>
      <c r="G22" s="11"/>
      <c r="H22" s="11"/>
      <c r="I22" s="11"/>
      <c r="J22" s="11"/>
    </row>
    <row r="23" spans="2:10" outlineLevel="1" x14ac:dyDescent="0.25">
      <c r="C23" s="45">
        <v>16</v>
      </c>
      <c r="D23" s="11"/>
      <c r="E23" s="11"/>
      <c r="F23" s="11"/>
      <c r="G23" s="11"/>
      <c r="H23" s="11"/>
      <c r="I23" s="11"/>
      <c r="J23" s="11"/>
    </row>
    <row r="24" spans="2:10" outlineLevel="1" x14ac:dyDescent="0.25">
      <c r="C24" s="45">
        <v>17</v>
      </c>
      <c r="D24" s="11"/>
      <c r="E24" s="11"/>
      <c r="F24" s="11"/>
      <c r="G24" s="11"/>
      <c r="H24" s="11"/>
      <c r="I24" s="11"/>
      <c r="J24" s="11"/>
    </row>
    <row r="25" spans="2:10" outlineLevel="1" x14ac:dyDescent="0.25">
      <c r="C25" s="45">
        <v>18</v>
      </c>
      <c r="D25" s="11"/>
      <c r="E25" s="11"/>
      <c r="F25" s="11"/>
      <c r="G25" s="11"/>
      <c r="H25" s="11"/>
      <c r="I25" s="11"/>
      <c r="J25" s="11"/>
    </row>
    <row r="26" spans="2:10" outlineLevel="1" x14ac:dyDescent="0.25">
      <c r="C26" s="45">
        <v>19</v>
      </c>
      <c r="D26" s="11"/>
      <c r="E26" s="11"/>
      <c r="F26" s="11"/>
      <c r="G26" s="11"/>
      <c r="H26" s="11"/>
      <c r="I26" s="11"/>
      <c r="J26" s="11"/>
    </row>
    <row r="27" spans="2:10" outlineLevel="1" x14ac:dyDescent="0.25">
      <c r="C27" s="45">
        <v>20</v>
      </c>
      <c r="D27" s="11"/>
      <c r="E27" s="11"/>
      <c r="F27" s="11"/>
      <c r="G27" s="11"/>
      <c r="H27" s="11"/>
      <c r="I27" s="11"/>
      <c r="J27" s="11"/>
    </row>
    <row r="28" spans="2:10" x14ac:dyDescent="0.25">
      <c r="C28" s="47"/>
    </row>
    <row r="29" spans="2:10" x14ac:dyDescent="0.25">
      <c r="C29" s="42"/>
      <c r="D29" s="42"/>
      <c r="E29" s="42"/>
      <c r="F29" s="42"/>
      <c r="G29" s="42"/>
      <c r="H29" s="42"/>
      <c r="I29" s="42"/>
      <c r="J29" s="42"/>
    </row>
    <row r="30" spans="2:10" x14ac:dyDescent="0.25">
      <c r="B30" s="134"/>
      <c r="C30" s="135"/>
      <c r="D30" s="44" t="s">
        <v>58</v>
      </c>
      <c r="F30" s="11"/>
    </row>
    <row r="31" spans="2:10" x14ac:dyDescent="0.25">
      <c r="B31" s="43"/>
      <c r="C31" s="46"/>
      <c r="D31" s="44"/>
      <c r="F31" s="11"/>
    </row>
    <row r="32" spans="2:10" outlineLevel="1" x14ac:dyDescent="0.25">
      <c r="C32" s="45">
        <v>1</v>
      </c>
      <c r="D32" s="11"/>
      <c r="E32" s="11"/>
      <c r="F32" s="11"/>
      <c r="G32" s="11"/>
      <c r="H32" s="11"/>
      <c r="I32" s="11"/>
      <c r="J32" s="11"/>
    </row>
    <row r="33" spans="3:10" outlineLevel="1" x14ac:dyDescent="0.25">
      <c r="C33" s="45">
        <v>2</v>
      </c>
      <c r="D33" s="11"/>
      <c r="E33" s="11"/>
      <c r="F33" s="11"/>
      <c r="G33" s="11"/>
      <c r="H33" s="11"/>
      <c r="I33" s="11"/>
      <c r="J33" s="11"/>
    </row>
    <row r="34" spans="3:10" outlineLevel="1" x14ac:dyDescent="0.25">
      <c r="C34" s="45">
        <v>3</v>
      </c>
      <c r="D34" s="11"/>
      <c r="E34" s="11"/>
      <c r="F34" s="11"/>
      <c r="G34" s="11"/>
      <c r="H34" s="11"/>
      <c r="I34" s="11"/>
      <c r="J34" s="11"/>
    </row>
    <row r="35" spans="3:10" outlineLevel="1" x14ac:dyDescent="0.25">
      <c r="C35" s="45">
        <v>4</v>
      </c>
      <c r="D35" s="11"/>
      <c r="E35" s="11"/>
      <c r="F35" s="11"/>
      <c r="G35" s="11"/>
      <c r="H35" s="11"/>
      <c r="I35" s="11"/>
      <c r="J35" s="11"/>
    </row>
    <row r="36" spans="3:10" outlineLevel="1" x14ac:dyDescent="0.25">
      <c r="C36" s="45">
        <v>5</v>
      </c>
      <c r="D36" s="11"/>
      <c r="E36" s="11"/>
      <c r="F36" s="11"/>
      <c r="G36" s="11"/>
      <c r="H36" s="11"/>
      <c r="I36" s="11"/>
      <c r="J36" s="11"/>
    </row>
    <row r="37" spans="3:10" outlineLevel="1" x14ac:dyDescent="0.25">
      <c r="C37" s="45">
        <v>6</v>
      </c>
      <c r="D37" s="11"/>
      <c r="E37" s="11"/>
      <c r="F37" s="11"/>
      <c r="G37" s="11"/>
      <c r="H37" s="11"/>
      <c r="I37" s="11"/>
      <c r="J37" s="11"/>
    </row>
    <row r="38" spans="3:10" outlineLevel="1" x14ac:dyDescent="0.25">
      <c r="C38" s="45">
        <v>7</v>
      </c>
      <c r="D38" s="11"/>
      <c r="E38" s="11"/>
      <c r="F38" s="11"/>
      <c r="G38" s="11"/>
      <c r="H38" s="11"/>
      <c r="I38" s="11"/>
      <c r="J38" s="11"/>
    </row>
    <row r="39" spans="3:10" outlineLevel="1" x14ac:dyDescent="0.25">
      <c r="C39" s="45">
        <v>8</v>
      </c>
      <c r="D39" s="11"/>
      <c r="E39" s="11"/>
      <c r="F39" s="11"/>
      <c r="G39" s="11"/>
      <c r="H39" s="11"/>
      <c r="I39" s="11"/>
      <c r="J39" s="11"/>
    </row>
    <row r="40" spans="3:10" outlineLevel="1" x14ac:dyDescent="0.25">
      <c r="C40" s="45">
        <v>9</v>
      </c>
      <c r="D40" s="11"/>
      <c r="E40" s="11"/>
      <c r="F40" s="11"/>
      <c r="G40" s="11"/>
      <c r="H40" s="11"/>
      <c r="I40" s="11"/>
      <c r="J40" s="11"/>
    </row>
    <row r="41" spans="3:10" outlineLevel="1" x14ac:dyDescent="0.25">
      <c r="C41" s="45">
        <v>10</v>
      </c>
      <c r="D41" s="11"/>
      <c r="E41" s="11"/>
      <c r="F41" s="11"/>
      <c r="G41" s="11"/>
      <c r="H41" s="11"/>
      <c r="I41" s="11"/>
      <c r="J41" s="11"/>
    </row>
    <row r="42" spans="3:10" outlineLevel="1" x14ac:dyDescent="0.25">
      <c r="C42" s="45">
        <v>11</v>
      </c>
      <c r="D42" s="11"/>
      <c r="E42" s="11"/>
      <c r="F42" s="11"/>
      <c r="G42" s="11"/>
      <c r="H42" s="11"/>
      <c r="I42" s="11"/>
      <c r="J42" s="11"/>
    </row>
    <row r="43" spans="3:10" outlineLevel="1" x14ac:dyDescent="0.25">
      <c r="C43" s="45">
        <v>12</v>
      </c>
      <c r="D43" s="11"/>
      <c r="E43" s="11"/>
      <c r="F43" s="11"/>
      <c r="G43" s="11"/>
      <c r="H43" s="11"/>
      <c r="I43" s="11"/>
      <c r="J43" s="11"/>
    </row>
    <row r="44" spans="3:10" outlineLevel="1" x14ac:dyDescent="0.25">
      <c r="C44" s="45">
        <v>13</v>
      </c>
      <c r="D44" s="11"/>
      <c r="E44" s="11"/>
      <c r="F44" s="11"/>
      <c r="G44" s="11"/>
      <c r="H44" s="11"/>
      <c r="I44" s="11"/>
      <c r="J44" s="11"/>
    </row>
    <row r="45" spans="3:10" outlineLevel="1" x14ac:dyDescent="0.25">
      <c r="C45" s="45">
        <v>14</v>
      </c>
      <c r="D45" s="11"/>
      <c r="E45" s="11"/>
      <c r="F45" s="11"/>
      <c r="G45" s="11"/>
      <c r="H45" s="11"/>
      <c r="I45" s="11"/>
      <c r="J45" s="11"/>
    </row>
    <row r="46" spans="3:10" outlineLevel="1" x14ac:dyDescent="0.25">
      <c r="C46" s="45">
        <v>15</v>
      </c>
      <c r="D46" s="11"/>
      <c r="E46" s="11"/>
      <c r="F46" s="11"/>
      <c r="G46" s="11"/>
      <c r="H46" s="11"/>
      <c r="I46" s="11"/>
      <c r="J46" s="11"/>
    </row>
    <row r="47" spans="3:10" outlineLevel="1" x14ac:dyDescent="0.25">
      <c r="C47" s="45">
        <v>16</v>
      </c>
      <c r="D47" s="11"/>
      <c r="E47" s="11"/>
      <c r="F47" s="11"/>
      <c r="G47" s="11"/>
      <c r="H47" s="11"/>
      <c r="I47" s="11"/>
      <c r="J47" s="11"/>
    </row>
    <row r="48" spans="3:10" outlineLevel="1" x14ac:dyDescent="0.25">
      <c r="C48" s="45">
        <v>17</v>
      </c>
      <c r="D48" s="11"/>
      <c r="E48" s="11"/>
      <c r="F48" s="11"/>
      <c r="G48" s="11"/>
      <c r="H48" s="11"/>
      <c r="I48" s="11"/>
      <c r="J48" s="11"/>
    </row>
    <row r="49" spans="3:10" outlineLevel="1" x14ac:dyDescent="0.25">
      <c r="C49" s="45">
        <v>18</v>
      </c>
      <c r="D49" s="11"/>
      <c r="E49" s="11"/>
      <c r="F49" s="11"/>
      <c r="G49" s="11"/>
      <c r="H49" s="11"/>
      <c r="I49" s="11"/>
      <c r="J49" s="11"/>
    </row>
    <row r="50" spans="3:10" outlineLevel="1" x14ac:dyDescent="0.25">
      <c r="C50" s="45">
        <v>19</v>
      </c>
      <c r="D50" s="11"/>
      <c r="E50" s="11"/>
      <c r="F50" s="11"/>
      <c r="G50" s="11"/>
      <c r="H50" s="11"/>
      <c r="I50" s="11"/>
      <c r="J50" s="11"/>
    </row>
    <row r="51" spans="3:10" outlineLevel="1" x14ac:dyDescent="0.25">
      <c r="C51" s="45">
        <v>20</v>
      </c>
      <c r="D51" s="11"/>
      <c r="E51" s="11"/>
      <c r="F51" s="11"/>
      <c r="G51" s="11"/>
      <c r="H51" s="11"/>
      <c r="I51" s="11"/>
      <c r="J51" s="11"/>
    </row>
    <row r="52" spans="3:10" x14ac:dyDescent="0.25">
      <c r="C52" s="47"/>
    </row>
  </sheetData>
  <mergeCells count="2">
    <mergeCell ref="B6:C6"/>
    <mergeCell ref="B30:C30"/>
  </mergeCells>
  <dataValidations count="3">
    <dataValidation type="list" allowBlank="1" showInputMessage="1" showErrorMessage="1" sqref="D6:D7 D30:D31" xr:uid="{40790679-1620-4334-A84D-1D05A5CC7266}">
      <formula1>"Estimate Approved, Conditional approval, Delegated, NA, _"</formula1>
    </dataValidation>
    <dataValidation type="list" allowBlank="1" showInputMessage="1" showErrorMessage="1" sqref="B7 B31" xr:uid="{3F02E2BA-A866-4169-BD1E-9593BD5AC41A}">
      <formula1>"Y,N"</formula1>
    </dataValidation>
    <dataValidation type="list" showInputMessage="1" showErrorMessage="1" sqref="B6:C6 B30:C30" xr:uid="{698A5A01-5B84-4877-88F3-7FEFF613C6F8}">
      <formula1>"Carla Fair-Johnson,Chris Mancini,Justin Niderno,Matthew Shiel"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AE6FB-0DE2-4AD2-B3F4-239D541BEBB5}">
  <dimension ref="B1:J17"/>
  <sheetViews>
    <sheetView workbookViewId="0">
      <selection activeCell="F12" sqref="F12"/>
    </sheetView>
  </sheetViews>
  <sheetFormatPr defaultRowHeight="15" outlineLevelRow="1" x14ac:dyDescent="0.25"/>
  <cols>
    <col min="1" max="1" width="3.7109375" customWidth="1"/>
    <col min="4" max="4" width="15.28515625" customWidth="1"/>
    <col min="5" max="5" width="1.7109375" customWidth="1"/>
    <col min="6" max="6" width="60.7109375" customWidth="1"/>
    <col min="7" max="7" width="1.7109375" customWidth="1"/>
    <col min="8" max="8" width="40.7109375" customWidth="1"/>
    <col min="9" max="9" width="1.7109375" customWidth="1"/>
    <col min="10" max="10" width="30.7109375" customWidth="1"/>
  </cols>
  <sheetData>
    <row r="1" spans="2:10" s="9" customFormat="1" ht="9" customHeight="1" x14ac:dyDescent="0.25"/>
    <row r="2" spans="2:10" s="9" customFormat="1" ht="18" x14ac:dyDescent="0.25">
      <c r="B2" s="39"/>
      <c r="J2" s="40"/>
    </row>
    <row r="3" spans="2:10" s="9" customFormat="1" ht="18" x14ac:dyDescent="0.25">
      <c r="B3" s="39" t="s">
        <v>63</v>
      </c>
    </row>
    <row r="4" spans="2:10" s="9" customFormat="1" ht="45" x14ac:dyDescent="0.25">
      <c r="B4" s="41" t="s">
        <v>57</v>
      </c>
      <c r="C4" s="10" t="s">
        <v>3</v>
      </c>
      <c r="D4" s="10" t="s">
        <v>4</v>
      </c>
      <c r="E4" s="10"/>
      <c r="F4" s="10" t="s">
        <v>5</v>
      </c>
      <c r="G4" s="10"/>
      <c r="H4" s="10" t="s">
        <v>6</v>
      </c>
      <c r="I4" s="10"/>
      <c r="J4" s="10" t="s">
        <v>7</v>
      </c>
    </row>
    <row r="5" spans="2:10" s="9" customFormat="1" x14ac:dyDescent="0.25">
      <c r="C5" s="42"/>
      <c r="D5" s="42"/>
      <c r="E5" s="42"/>
      <c r="F5" s="42"/>
      <c r="G5" s="42"/>
      <c r="H5" s="42"/>
      <c r="I5" s="42"/>
      <c r="J5" s="42"/>
    </row>
    <row r="6" spans="2:10" s="9" customFormat="1" x14ac:dyDescent="0.25">
      <c r="B6" s="136" t="s">
        <v>64</v>
      </c>
      <c r="C6" s="136"/>
      <c r="D6" s="44" t="s">
        <v>58</v>
      </c>
      <c r="F6" s="11"/>
    </row>
    <row r="7" spans="2:10" s="9" customFormat="1" x14ac:dyDescent="0.25">
      <c r="B7" s="46"/>
      <c r="C7" s="46"/>
      <c r="D7" s="44"/>
      <c r="F7" s="11"/>
    </row>
    <row r="8" spans="2:10" s="9" customFormat="1" outlineLevel="1" x14ac:dyDescent="0.25">
      <c r="C8" s="45">
        <v>1</v>
      </c>
      <c r="D8" s="11"/>
      <c r="E8" s="11"/>
      <c r="F8" s="11"/>
      <c r="G8" s="11"/>
      <c r="H8" s="11"/>
      <c r="I8" s="11"/>
      <c r="J8" s="11"/>
    </row>
    <row r="9" spans="2:10" s="9" customFormat="1" outlineLevel="1" x14ac:dyDescent="0.25">
      <c r="C9" s="45">
        <v>2</v>
      </c>
      <c r="D9" s="11"/>
      <c r="E9" s="11"/>
      <c r="F9" s="11"/>
      <c r="G9" s="11"/>
      <c r="H9" s="11"/>
      <c r="I9" s="11"/>
      <c r="J9" s="11"/>
    </row>
    <row r="10" spans="2:10" s="9" customFormat="1" outlineLevel="1" x14ac:dyDescent="0.25">
      <c r="C10" s="45">
        <v>3</v>
      </c>
      <c r="D10" s="11"/>
      <c r="E10" s="11"/>
      <c r="F10" s="11"/>
      <c r="G10" s="11"/>
      <c r="H10" s="11"/>
      <c r="I10" s="11"/>
      <c r="J10" s="11"/>
    </row>
    <row r="11" spans="2:10" s="9" customFormat="1" outlineLevel="1" x14ac:dyDescent="0.25">
      <c r="C11" s="45">
        <v>4</v>
      </c>
      <c r="D11" s="11"/>
      <c r="E11" s="11"/>
      <c r="F11" s="11"/>
      <c r="G11" s="11"/>
      <c r="H11" s="11"/>
      <c r="I11" s="11"/>
      <c r="J11" s="11"/>
    </row>
    <row r="12" spans="2:10" s="9" customFormat="1" outlineLevel="1" x14ac:dyDescent="0.25">
      <c r="C12" s="45">
        <v>5</v>
      </c>
      <c r="D12" s="11"/>
      <c r="E12" s="11"/>
      <c r="F12" s="11"/>
      <c r="G12" s="11"/>
      <c r="H12" s="11"/>
      <c r="I12" s="11"/>
      <c r="J12" s="11"/>
    </row>
    <row r="13" spans="2:10" s="9" customFormat="1" outlineLevel="1" x14ac:dyDescent="0.25">
      <c r="C13" s="45">
        <v>6</v>
      </c>
      <c r="D13" s="11"/>
      <c r="E13" s="11"/>
      <c r="F13" s="11"/>
      <c r="G13" s="11"/>
      <c r="H13" s="11"/>
      <c r="I13" s="11"/>
      <c r="J13" s="11"/>
    </row>
    <row r="14" spans="2:10" s="9" customFormat="1" outlineLevel="1" x14ac:dyDescent="0.25">
      <c r="C14" s="45">
        <v>7</v>
      </c>
      <c r="D14" s="11"/>
      <c r="E14" s="11"/>
      <c r="F14" s="11"/>
      <c r="G14" s="11"/>
      <c r="H14" s="11"/>
      <c r="I14" s="11"/>
      <c r="J14" s="11"/>
    </row>
    <row r="15" spans="2:10" s="9" customFormat="1" outlineLevel="1" x14ac:dyDescent="0.25">
      <c r="C15" s="45">
        <v>8</v>
      </c>
      <c r="D15" s="11"/>
      <c r="E15" s="11"/>
      <c r="F15" s="11"/>
      <c r="G15" s="11"/>
      <c r="H15" s="11"/>
      <c r="I15" s="11"/>
      <c r="J15" s="11"/>
    </row>
    <row r="16" spans="2:10" s="9" customFormat="1" outlineLevel="1" x14ac:dyDescent="0.25">
      <c r="C16" s="45">
        <v>9</v>
      </c>
      <c r="D16" s="11"/>
      <c r="E16" s="11"/>
      <c r="F16" s="11"/>
      <c r="G16" s="11"/>
      <c r="H16" s="11"/>
      <c r="I16" s="11"/>
      <c r="J16" s="11"/>
    </row>
    <row r="17" spans="3:10" s="9" customFormat="1" outlineLevel="1" x14ac:dyDescent="0.25">
      <c r="C17" s="45">
        <v>10</v>
      </c>
      <c r="D17" s="11"/>
      <c r="E17" s="11"/>
      <c r="F17" s="11"/>
      <c r="G17" s="11"/>
      <c r="H17" s="11"/>
      <c r="I17" s="11"/>
      <c r="J17" s="11"/>
    </row>
  </sheetData>
  <mergeCells count="1">
    <mergeCell ref="B6:C6"/>
  </mergeCells>
  <dataValidations count="2">
    <dataValidation type="list" allowBlank="1" showInputMessage="1" showErrorMessage="1" sqref="D7" xr:uid="{B8A56D64-339F-4BC0-A672-AE3862F1DAC6}">
      <formula1>"Estimate Approved, Conditional approval, Delegated, NA, _"</formula1>
    </dataValidation>
    <dataValidation type="list" allowBlank="1" showInputMessage="1" showErrorMessage="1" sqref="D6" xr:uid="{EEDB5F74-D199-4A44-A9EE-E87526865280}">
      <formula1>"Estimate Approved, Conditional approval, Delegated, N/A, _"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9A3E1-59DB-48F4-BAD0-EFC6D1BDDB7A}">
  <sheetPr codeName="Sheet37"/>
  <dimension ref="A1:F28"/>
  <sheetViews>
    <sheetView showGridLines="0" showZeros="0" workbookViewId="0">
      <selection activeCell="D35" sqref="D35"/>
    </sheetView>
  </sheetViews>
  <sheetFormatPr defaultColWidth="8.85546875" defaultRowHeight="12.6" customHeight="1" x14ac:dyDescent="0.25"/>
  <cols>
    <col min="1" max="1" width="5.140625" customWidth="1"/>
    <col min="4" max="4" width="25.42578125" customWidth="1"/>
    <col min="5" max="5" width="5.42578125" customWidth="1"/>
    <col min="6" max="6" width="36.42578125" customWidth="1"/>
  </cols>
  <sheetData>
    <row r="1" spans="1:6" ht="15" x14ac:dyDescent="0.25">
      <c r="A1" s="81" t="s">
        <v>86</v>
      </c>
      <c r="B1" s="82"/>
      <c r="C1" s="82"/>
      <c r="D1" s="82"/>
      <c r="E1" s="82"/>
      <c r="F1" s="83"/>
    </row>
    <row r="2" spans="1:6" ht="54" customHeight="1" x14ac:dyDescent="0.25">
      <c r="A2" s="84" t="s">
        <v>87</v>
      </c>
      <c r="B2" s="85"/>
      <c r="C2" s="85"/>
      <c r="D2" s="85"/>
      <c r="E2" s="86" t="s">
        <v>70</v>
      </c>
      <c r="F2" s="87" t="s">
        <v>88</v>
      </c>
    </row>
    <row r="3" spans="1:6" ht="11.1" customHeight="1" x14ac:dyDescent="0.25">
      <c r="A3" s="88" t="s">
        <v>103</v>
      </c>
      <c r="B3" s="89"/>
      <c r="C3" s="89"/>
      <c r="D3" s="89"/>
      <c r="E3" s="90"/>
      <c r="F3" s="91"/>
    </row>
    <row r="4" spans="1:6" ht="11.1" customHeight="1" x14ac:dyDescent="0.25">
      <c r="A4" s="92"/>
      <c r="B4" s="93" t="s">
        <v>104</v>
      </c>
      <c r="C4" s="93"/>
      <c r="D4" s="93"/>
      <c r="E4" s="94"/>
      <c r="F4" s="95"/>
    </row>
    <row r="5" spans="1:6" ht="11.1" customHeight="1" x14ac:dyDescent="0.25">
      <c r="A5" s="92"/>
      <c r="B5" s="93" t="s">
        <v>105</v>
      </c>
      <c r="C5" s="93"/>
      <c r="D5" s="93"/>
      <c r="E5" s="94"/>
      <c r="F5" s="95"/>
    </row>
    <row r="6" spans="1:6" ht="11.1" customHeight="1" x14ac:dyDescent="0.25">
      <c r="A6" s="92"/>
      <c r="B6" s="93" t="s">
        <v>107</v>
      </c>
      <c r="C6" s="93"/>
      <c r="D6" s="93"/>
      <c r="E6" s="94"/>
      <c r="F6" s="95"/>
    </row>
    <row r="7" spans="1:6" ht="11.1" customHeight="1" x14ac:dyDescent="0.25">
      <c r="A7" s="92"/>
      <c r="B7" s="93" t="s">
        <v>108</v>
      </c>
      <c r="C7" s="93"/>
      <c r="D7" s="93"/>
      <c r="E7" s="94"/>
      <c r="F7" s="95"/>
    </row>
    <row r="8" spans="1:6" ht="11.1" customHeight="1" x14ac:dyDescent="0.25">
      <c r="A8" s="92"/>
      <c r="B8" s="93"/>
      <c r="C8" s="93"/>
      <c r="D8" s="93"/>
      <c r="E8" s="94"/>
      <c r="F8" s="95"/>
    </row>
    <row r="9" spans="1:6" ht="11.1" customHeight="1" x14ac:dyDescent="0.25">
      <c r="A9" s="92"/>
      <c r="B9" s="93"/>
      <c r="C9" s="93"/>
      <c r="D9" s="93"/>
      <c r="E9" s="94"/>
      <c r="F9" s="95"/>
    </row>
    <row r="10" spans="1:6" ht="11.1" customHeight="1" x14ac:dyDescent="0.25">
      <c r="A10" s="88" t="s">
        <v>89</v>
      </c>
      <c r="B10" s="89"/>
      <c r="C10" s="89"/>
      <c r="D10" s="89"/>
      <c r="E10" s="90"/>
      <c r="F10" s="96"/>
    </row>
    <row r="11" spans="1:6" ht="11.1" customHeight="1" x14ac:dyDescent="0.25">
      <c r="A11" s="92"/>
      <c r="B11" s="93" t="s">
        <v>90</v>
      </c>
      <c r="C11" s="93"/>
      <c r="D11" s="93"/>
      <c r="E11" s="94"/>
      <c r="F11" s="95"/>
    </row>
    <row r="12" spans="1:6" ht="11.1" customHeight="1" x14ac:dyDescent="0.25">
      <c r="A12" s="92"/>
      <c r="B12" s="93" t="s">
        <v>91</v>
      </c>
      <c r="C12" s="93"/>
      <c r="D12" s="93"/>
      <c r="E12" s="94"/>
      <c r="F12" s="95"/>
    </row>
    <row r="13" spans="1:6" ht="11.1" customHeight="1" x14ac:dyDescent="0.25">
      <c r="A13" s="92"/>
      <c r="B13" s="93" t="s">
        <v>92</v>
      </c>
      <c r="C13" s="93"/>
      <c r="D13" s="93"/>
      <c r="E13" s="94"/>
      <c r="F13" s="95"/>
    </row>
    <row r="14" spans="1:6" ht="11.1" customHeight="1" x14ac:dyDescent="0.25">
      <c r="A14" s="92"/>
      <c r="B14" s="97" t="s">
        <v>106</v>
      </c>
      <c r="C14" s="93"/>
      <c r="D14" s="93"/>
      <c r="E14" s="94"/>
      <c r="F14" s="95"/>
    </row>
    <row r="15" spans="1:6" ht="11.1" customHeight="1" x14ac:dyDescent="0.25">
      <c r="A15" s="92"/>
      <c r="B15" s="97" t="s">
        <v>93</v>
      </c>
      <c r="C15" s="93"/>
      <c r="D15" s="93"/>
      <c r="E15" s="94"/>
      <c r="F15" s="95"/>
    </row>
    <row r="16" spans="1:6" ht="11.1" customHeight="1" x14ac:dyDescent="0.25">
      <c r="A16" s="92"/>
      <c r="B16" s="93"/>
      <c r="C16" s="93"/>
      <c r="D16" s="93"/>
      <c r="E16" s="94"/>
      <c r="F16" s="95"/>
    </row>
    <row r="17" spans="1:6" ht="11.1" customHeight="1" x14ac:dyDescent="0.25">
      <c r="A17" s="88" t="s">
        <v>94</v>
      </c>
      <c r="B17" s="89"/>
      <c r="C17" s="89"/>
      <c r="D17" s="89"/>
      <c r="E17" s="90"/>
      <c r="F17" s="96"/>
    </row>
    <row r="18" spans="1:6" ht="11.1" customHeight="1" x14ac:dyDescent="0.25">
      <c r="A18" s="92"/>
      <c r="B18" s="93" t="s">
        <v>95</v>
      </c>
      <c r="C18" s="93"/>
      <c r="D18" s="93"/>
      <c r="E18" s="94"/>
      <c r="F18" s="95"/>
    </row>
    <row r="19" spans="1:6" ht="11.1" customHeight="1" x14ac:dyDescent="0.25">
      <c r="A19" s="92"/>
      <c r="B19" s="93"/>
      <c r="C19" s="93"/>
      <c r="D19" s="93"/>
      <c r="E19" s="94"/>
      <c r="F19" s="95"/>
    </row>
    <row r="20" spans="1:6" ht="11.1" customHeight="1" x14ac:dyDescent="0.25">
      <c r="A20" s="88" t="s">
        <v>96</v>
      </c>
      <c r="B20" s="89"/>
      <c r="C20" s="89"/>
      <c r="D20" s="89"/>
      <c r="E20" s="90"/>
      <c r="F20" s="96"/>
    </row>
    <row r="21" spans="1:6" ht="10.7" customHeight="1" x14ac:dyDescent="0.25">
      <c r="A21" s="92"/>
      <c r="B21" s="93" t="s">
        <v>97</v>
      </c>
      <c r="C21" s="93"/>
      <c r="D21" s="93"/>
      <c r="E21" s="94"/>
      <c r="F21" s="95"/>
    </row>
    <row r="22" spans="1:6" ht="11.1" customHeight="1" x14ac:dyDescent="0.25">
      <c r="A22" s="92"/>
      <c r="B22" s="93" t="s">
        <v>98</v>
      </c>
      <c r="C22" s="93"/>
      <c r="D22" s="93"/>
      <c r="E22" s="94"/>
      <c r="F22" s="95"/>
    </row>
    <row r="23" spans="1:6" ht="11.1" customHeight="1" x14ac:dyDescent="0.25">
      <c r="A23" s="92"/>
      <c r="B23" s="93" t="s">
        <v>99</v>
      </c>
      <c r="C23" s="93"/>
      <c r="D23" s="93"/>
      <c r="E23" s="94"/>
      <c r="F23" s="95"/>
    </row>
    <row r="24" spans="1:6" ht="11.1" customHeight="1" x14ac:dyDescent="0.25">
      <c r="A24" s="92"/>
      <c r="B24" s="93" t="s">
        <v>100</v>
      </c>
      <c r="C24" s="93"/>
      <c r="D24" s="93"/>
      <c r="E24" s="94"/>
      <c r="F24" s="95"/>
    </row>
    <row r="25" spans="1:6" ht="11.1" customHeight="1" x14ac:dyDescent="0.25">
      <c r="A25" s="92"/>
      <c r="B25" s="93"/>
      <c r="C25" s="93"/>
      <c r="D25" s="93"/>
      <c r="E25" s="94"/>
      <c r="F25" s="95"/>
    </row>
    <row r="26" spans="1:6" ht="11.1" customHeight="1" x14ac:dyDescent="0.25">
      <c r="A26" s="98"/>
      <c r="B26" s="82"/>
      <c r="C26" s="82"/>
      <c r="D26" s="82"/>
      <c r="E26" s="94"/>
      <c r="F26" s="95"/>
    </row>
    <row r="27" spans="1:6" ht="11.1" customHeight="1" x14ac:dyDescent="0.25">
      <c r="A27" s="88" t="s">
        <v>101</v>
      </c>
      <c r="B27" s="89"/>
      <c r="C27" s="89"/>
      <c r="D27" s="89"/>
      <c r="F27" s="96" t="s">
        <v>102</v>
      </c>
    </row>
    <row r="28" spans="1:6" ht="11.1" customHeight="1" x14ac:dyDescent="0.25">
      <c r="A28" s="99"/>
      <c r="B28" s="99"/>
      <c r="C28" s="99"/>
      <c r="D28" s="99"/>
      <c r="F28" s="99"/>
    </row>
  </sheetData>
  <sheetProtection formatCells="0" formatColumns="0" formatRows="0" autoFilter="0"/>
  <pageMargins left="0.7" right="0.7" top="0.75" bottom="0.75" header="0.3" footer="0.3"/>
  <pageSetup orientation="portrait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3" name="Check Box 1">
              <controlPr defaultSize="0" autoFill="0" autoLine="0" autoPict="0">
                <anchor moveWithCells="1">
                  <from>
                    <xdr:col>4</xdr:col>
                    <xdr:colOff>85725</xdr:colOff>
                    <xdr:row>2</xdr:row>
                    <xdr:rowOff>123825</xdr:rowOff>
                  </from>
                  <to>
                    <xdr:col>5</xdr:col>
                    <xdr:colOff>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4" name="Check Box 2">
              <controlPr defaultSize="0" autoFill="0" autoLine="0" autoPict="0">
                <anchor moveWithCells="1">
                  <from>
                    <xdr:col>4</xdr:col>
                    <xdr:colOff>85725</xdr:colOff>
                    <xdr:row>3</xdr:row>
                    <xdr:rowOff>123825</xdr:rowOff>
                  </from>
                  <to>
                    <xdr:col>5</xdr:col>
                    <xdr:colOff>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5" name="Check Box 3">
              <controlPr defaultSize="0" autoFill="0" autoLine="0" autoPict="0">
                <anchor moveWithCells="1">
                  <from>
                    <xdr:col>4</xdr:col>
                    <xdr:colOff>85725</xdr:colOff>
                    <xdr:row>4</xdr:row>
                    <xdr:rowOff>123825</xdr:rowOff>
                  </from>
                  <to>
                    <xdr:col>5</xdr:col>
                    <xdr:colOff>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6" name="Check Box 4">
              <controlPr defaultSize="0" autoFill="0" autoLine="0" autoPict="0">
                <anchor moveWithCells="1">
                  <from>
                    <xdr:col>4</xdr:col>
                    <xdr:colOff>85725</xdr:colOff>
                    <xdr:row>5</xdr:row>
                    <xdr:rowOff>123825</xdr:rowOff>
                  </from>
                  <to>
                    <xdr:col>5</xdr:col>
                    <xdr:colOff>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7" name="Check Box 5">
              <controlPr defaultSize="0" autoFill="0" autoLine="0" autoPict="0">
                <anchor moveWithCells="1">
                  <from>
                    <xdr:col>4</xdr:col>
                    <xdr:colOff>85725</xdr:colOff>
                    <xdr:row>6</xdr:row>
                    <xdr:rowOff>123825</xdr:rowOff>
                  </from>
                  <to>
                    <xdr:col>5</xdr:col>
                    <xdr:colOff>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r:id="rId8" name="Check Box 6">
              <controlPr defaultSize="0" autoFill="0" autoLine="0" autoPict="0">
                <anchor moveWithCells="1">
                  <from>
                    <xdr:col>4</xdr:col>
                    <xdr:colOff>85725</xdr:colOff>
                    <xdr:row>9</xdr:row>
                    <xdr:rowOff>123825</xdr:rowOff>
                  </from>
                  <to>
                    <xdr:col>5</xdr:col>
                    <xdr:colOff>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7" r:id="rId9" name="Check Box 7">
              <controlPr defaultSize="0" autoFill="0" autoLine="0" autoPict="0">
                <anchor moveWithCells="1">
                  <from>
                    <xdr:col>4</xdr:col>
                    <xdr:colOff>85725</xdr:colOff>
                    <xdr:row>10</xdr:row>
                    <xdr:rowOff>123825</xdr:rowOff>
                  </from>
                  <to>
                    <xdr:col>5</xdr:col>
                    <xdr:colOff>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8" r:id="rId10" name="Check Box 8">
              <controlPr defaultSize="0" autoFill="0" autoLine="0" autoPict="0">
                <anchor moveWithCells="1">
                  <from>
                    <xdr:col>4</xdr:col>
                    <xdr:colOff>85725</xdr:colOff>
                    <xdr:row>11</xdr:row>
                    <xdr:rowOff>123825</xdr:rowOff>
                  </from>
                  <to>
                    <xdr:col>5</xdr:col>
                    <xdr:colOff>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9" r:id="rId11" name="Check Box 9">
              <controlPr defaultSize="0" autoFill="0" autoLine="0" autoPict="0">
                <anchor moveWithCells="1">
                  <from>
                    <xdr:col>4</xdr:col>
                    <xdr:colOff>85725</xdr:colOff>
                    <xdr:row>12</xdr:row>
                    <xdr:rowOff>123825</xdr:rowOff>
                  </from>
                  <to>
                    <xdr:col>5</xdr:col>
                    <xdr:colOff>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0" r:id="rId12" name="Check Box 10">
              <controlPr defaultSize="0" autoFill="0" autoLine="0" autoPict="0">
                <anchor moveWithCells="1">
                  <from>
                    <xdr:col>4</xdr:col>
                    <xdr:colOff>85725</xdr:colOff>
                    <xdr:row>13</xdr:row>
                    <xdr:rowOff>123825</xdr:rowOff>
                  </from>
                  <to>
                    <xdr:col>5</xdr:col>
                    <xdr:colOff>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1" r:id="rId13" name="Check Box 11">
              <controlPr defaultSize="0" autoFill="0" autoLine="0" autoPict="0">
                <anchor moveWithCells="1">
                  <from>
                    <xdr:col>4</xdr:col>
                    <xdr:colOff>85725</xdr:colOff>
                    <xdr:row>16</xdr:row>
                    <xdr:rowOff>123825</xdr:rowOff>
                  </from>
                  <to>
                    <xdr:col>5</xdr:col>
                    <xdr:colOff>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2" r:id="rId14" name="Check Box 12">
              <controlPr defaultSize="0" autoFill="0" autoLine="0" autoPict="0">
                <anchor moveWithCells="1">
                  <from>
                    <xdr:col>4</xdr:col>
                    <xdr:colOff>85725</xdr:colOff>
                    <xdr:row>19</xdr:row>
                    <xdr:rowOff>123825</xdr:rowOff>
                  </from>
                  <to>
                    <xdr:col>5</xdr:col>
                    <xdr:colOff>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3" r:id="rId15" name="Check Box 13">
              <controlPr defaultSize="0" autoFill="0" autoLine="0" autoPict="0">
                <anchor moveWithCells="1">
                  <from>
                    <xdr:col>4</xdr:col>
                    <xdr:colOff>85725</xdr:colOff>
                    <xdr:row>20</xdr:row>
                    <xdr:rowOff>123825</xdr:rowOff>
                  </from>
                  <to>
                    <xdr:col>5</xdr:col>
                    <xdr:colOff>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4" r:id="rId16" name="Check Box 14">
              <controlPr defaultSize="0" autoFill="0" autoLine="0" autoPict="0">
                <anchor moveWithCells="1">
                  <from>
                    <xdr:col>4</xdr:col>
                    <xdr:colOff>85725</xdr:colOff>
                    <xdr:row>21</xdr:row>
                    <xdr:rowOff>123825</xdr:rowOff>
                  </from>
                  <to>
                    <xdr:col>5</xdr:col>
                    <xdr:colOff>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5" r:id="rId17" name="Check Box 15">
              <controlPr defaultSize="0" autoFill="0" autoLine="0" autoPict="0">
                <anchor moveWithCells="1">
                  <from>
                    <xdr:col>4</xdr:col>
                    <xdr:colOff>85725</xdr:colOff>
                    <xdr:row>22</xdr:row>
                    <xdr:rowOff>123825</xdr:rowOff>
                  </from>
                  <to>
                    <xdr:col>5</xdr:col>
                    <xdr:colOff>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6" r:id="rId18" name="Check Box 16">
              <controlPr defaultSize="0" autoFill="0" autoLine="0" autoPict="0">
                <anchor moveWithCells="1">
                  <from>
                    <xdr:col>4</xdr:col>
                    <xdr:colOff>85725</xdr:colOff>
                    <xdr:row>23</xdr:row>
                    <xdr:rowOff>123825</xdr:rowOff>
                  </from>
                  <to>
                    <xdr:col>5</xdr:col>
                    <xdr:colOff>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7" r:id="rId19" name="Check Box 17">
              <controlPr defaultSize="0" autoFill="0" autoLine="0" autoPict="0">
                <anchor moveWithCells="1">
                  <from>
                    <xdr:col>4</xdr:col>
                    <xdr:colOff>85725</xdr:colOff>
                    <xdr:row>26</xdr:row>
                    <xdr:rowOff>123825</xdr:rowOff>
                  </from>
                  <to>
                    <xdr:col>5</xdr:col>
                    <xdr:colOff>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8" r:id="rId20" name="Check Box 18">
              <controlPr defaultSize="0" autoFill="0" autoLine="0" autoPict="0">
                <anchor moveWithCells="1">
                  <from>
                    <xdr:col>4</xdr:col>
                    <xdr:colOff>85725</xdr:colOff>
                    <xdr:row>27</xdr:row>
                    <xdr:rowOff>0</xdr:rowOff>
                  </from>
                  <to>
                    <xdr:col>5</xdr:col>
                    <xdr:colOff>0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9" r:id="rId21" name="Check Box 19">
              <controlPr defaultSize="0" autoFill="0" autoLine="0" autoPict="0">
                <anchor moveWithCells="1">
                  <from>
                    <xdr:col>4</xdr:col>
                    <xdr:colOff>85725</xdr:colOff>
                    <xdr:row>27</xdr:row>
                    <xdr:rowOff>0</xdr:rowOff>
                  </from>
                  <to>
                    <xdr:col>5</xdr:col>
                    <xdr:colOff>0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0" r:id="rId22" name="Check Box 20">
              <controlPr defaultSize="0" autoFill="0" autoLine="0" autoPict="0">
                <anchor moveWithCells="1">
                  <from>
                    <xdr:col>4</xdr:col>
                    <xdr:colOff>85725</xdr:colOff>
                    <xdr:row>1</xdr:row>
                    <xdr:rowOff>676275</xdr:rowOff>
                  </from>
                  <to>
                    <xdr:col>5</xdr:col>
                    <xdr:colOff>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1" r:id="rId23" name="Check Box 21">
              <controlPr defaultSize="0" autoFill="0" autoLine="0" autoPict="0">
                <anchor moveWithCells="1">
                  <from>
                    <xdr:col>4</xdr:col>
                    <xdr:colOff>85725</xdr:colOff>
                    <xdr:row>8</xdr:row>
                    <xdr:rowOff>123825</xdr:rowOff>
                  </from>
                  <to>
                    <xdr:col>5</xdr:col>
                    <xdr:colOff>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2" r:id="rId24" name="Check Box 22">
              <controlPr defaultSize="0" autoFill="0" autoLine="0" autoPict="0">
                <anchor moveWithCells="1">
                  <from>
                    <xdr:col>4</xdr:col>
                    <xdr:colOff>76200</xdr:colOff>
                    <xdr:row>15</xdr:row>
                    <xdr:rowOff>123825</xdr:rowOff>
                  </from>
                  <to>
                    <xdr:col>5</xdr:col>
                    <xdr:colOff>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3" r:id="rId25" name="Check Box 23">
              <controlPr defaultSize="0" autoFill="0" autoLine="0" autoPict="0">
                <anchor moveWithCells="1">
                  <from>
                    <xdr:col>4</xdr:col>
                    <xdr:colOff>85725</xdr:colOff>
                    <xdr:row>18</xdr:row>
                    <xdr:rowOff>123825</xdr:rowOff>
                  </from>
                  <to>
                    <xdr:col>5</xdr:col>
                    <xdr:colOff>0</xdr:colOff>
                    <xdr:row>20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805CE-C0B3-410D-8941-BE82DAD67C2D}">
  <dimension ref="A1"/>
  <sheetViews>
    <sheetView workbookViewId="0">
      <selection activeCell="L38" sqref="L38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B523390994E24982B38176E6D008E5" ma:contentTypeVersion="8" ma:contentTypeDescription="Create a new document." ma:contentTypeScope="" ma:versionID="7e3881cb783723912e9ffe85fd037c92">
  <xsd:schema xmlns:xsd="http://www.w3.org/2001/XMLSchema" xmlns:xs="http://www.w3.org/2001/XMLSchema" xmlns:p="http://schemas.microsoft.com/office/2006/metadata/properties" xmlns:ns2="24123782-2252-41e9-a71c-d008b6462fcc" xmlns:ns3="152c60b0-bec0-492e-ba22-16fa2eef0832" targetNamespace="http://schemas.microsoft.com/office/2006/metadata/properties" ma:root="true" ma:fieldsID="39c258b270f8a6ae1e5d35744002583e" ns2:_="" ns3:_="">
    <xsd:import namespace="24123782-2252-41e9-a71c-d008b6462fcc"/>
    <xsd:import namespace="152c60b0-bec0-492e-ba22-16fa2eef08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123782-2252-41e9-a71c-d008b6462f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2c60b0-bec0-492e-ba22-16fa2eef08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027F02-B580-4EBE-B676-86D2C8EE63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123782-2252-41e9-a71c-d008b6462fcc"/>
    <ds:schemaRef ds:uri="152c60b0-bec0-492e-ba22-16fa2eef08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477019-996B-44F5-869D-B580E566B7F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 &amp; Expectations</vt:lpstr>
      <vt:lpstr>Estimate Basis</vt:lpstr>
      <vt:lpstr>Peer Review</vt:lpstr>
      <vt:lpstr>Lead Review</vt:lpstr>
      <vt:lpstr>Managerial Review</vt:lpstr>
      <vt:lpstr>Estimate Closeout 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Bassaragh, Ghari A</dc:creator>
  <cp:lastModifiedBy>Roche, Brian J</cp:lastModifiedBy>
  <dcterms:created xsi:type="dcterms:W3CDTF">2023-06-20T17:05:39Z</dcterms:created>
  <dcterms:modified xsi:type="dcterms:W3CDTF">2026-08-25T10:03:09Z</dcterms:modified>
</cp:coreProperties>
</file>