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versourceenergy-my.sharepoint.com/personal/michael_hickey_1_eversource_com/Documents/My Documents/"/>
    </mc:Choice>
  </mc:AlternateContent>
  <xr:revisionPtr revIDLastSave="3" documentId="8_{A51D21E2-A9C1-4BF8-A3CC-C930A41E0245}" xr6:coauthVersionLast="47" xr6:coauthVersionMax="47" xr10:uidLastSave="{98A20828-58E6-41C3-BDC0-FF44112ED4E3}"/>
  <bookViews>
    <workbookView xWindow="-120" yWindow="-120" windowWidth="29040" windowHeight="15840" tabRatio="790" firstSheet="2" activeTab="4" xr2:uid="{00000000-000D-0000-FFFF-FFFF00000000}"/>
  </bookViews>
  <sheets>
    <sheet name="2023 CIAC Rates" sheetId="13" state="hidden" r:id="rId1"/>
    <sheet name="2023 OH Rates" sheetId="32" state="hidden" r:id="rId2"/>
    <sheet name="CIAC INPUT" sheetId="27" r:id="rId3"/>
    <sheet name="MOCK CIAC" sheetId="18" r:id="rId4"/>
    <sheet name="FULL LOADED COST" sheetId="33" r:id="rId5"/>
    <sheet name="CABLE" sheetId="28" r:id="rId6"/>
    <sheet name="CONDUIT" sheetId="29" r:id="rId7"/>
    <sheet name="EQUIPMENT" sheetId="30" r:id="rId8"/>
  </sheets>
  <definedNames>
    <definedName name="_xlnm.Print_Area" localSheetId="4">'FULL LOADED COST'!$A$1:$M$45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28" l="1"/>
  <c r="D97" i="18"/>
  <c r="D62" i="18"/>
  <c r="D54" i="18"/>
  <c r="D50" i="18"/>
  <c r="D46" i="18"/>
  <c r="D42" i="18"/>
  <c r="D38" i="18"/>
  <c r="D34" i="18"/>
  <c r="D30" i="18"/>
  <c r="G30" i="30" l="1"/>
  <c r="F6" i="30" l="1"/>
  <c r="C9" i="33"/>
  <c r="D9" i="33"/>
  <c r="H9" i="33"/>
  <c r="I9" i="33"/>
  <c r="J9" i="33"/>
  <c r="E35" i="33"/>
  <c r="H43" i="30"/>
  <c r="H42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23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6" i="30"/>
  <c r="H47" i="30" l="1"/>
  <c r="B44" i="33" l="1"/>
  <c r="D37" i="33"/>
  <c r="C37" i="33"/>
  <c r="D34" i="33"/>
  <c r="C34" i="33"/>
  <c r="D33" i="33"/>
  <c r="C33" i="33"/>
  <c r="J23" i="33"/>
  <c r="I23" i="33"/>
  <c r="H23" i="33"/>
  <c r="D23" i="33"/>
  <c r="C23" i="33"/>
  <c r="J22" i="33"/>
  <c r="I22" i="33"/>
  <c r="H22" i="33"/>
  <c r="D22" i="33"/>
  <c r="C22" i="33"/>
  <c r="K15" i="33"/>
  <c r="E15" i="33"/>
  <c r="K12" i="33"/>
  <c r="K11" i="33"/>
  <c r="K10" i="33"/>
  <c r="J13" i="33"/>
  <c r="I24" i="33"/>
  <c r="H24" i="33"/>
  <c r="C24" i="33"/>
  <c r="K8" i="33"/>
  <c r="K9" i="33" s="1"/>
  <c r="D32" i="33" l="1"/>
  <c r="D38" i="33" s="1"/>
  <c r="M15" i="33"/>
  <c r="E44" i="33"/>
  <c r="K23" i="33"/>
  <c r="I17" i="33"/>
  <c r="I18" i="33" s="1"/>
  <c r="I20" i="33" s="1"/>
  <c r="C17" i="33"/>
  <c r="C18" i="33" s="1"/>
  <c r="C20" i="33" s="1"/>
  <c r="D24" i="33"/>
  <c r="D17" i="33"/>
  <c r="D18" i="33" s="1"/>
  <c r="H17" i="33"/>
  <c r="H18" i="33" s="1"/>
  <c r="H20" i="33" s="1"/>
  <c r="K13" i="33"/>
  <c r="J17" i="33"/>
  <c r="J24" i="33"/>
  <c r="K22" i="33"/>
  <c r="C13" i="33"/>
  <c r="H13" i="33"/>
  <c r="C32" i="33"/>
  <c r="C38" i="33" s="1"/>
  <c r="D13" i="33"/>
  <c r="I13" i="33"/>
  <c r="J12" i="28"/>
  <c r="J13" i="28"/>
  <c r="J14" i="28"/>
  <c r="J15" i="28"/>
  <c r="J16" i="28"/>
  <c r="J17" i="28"/>
  <c r="J11" i="28"/>
  <c r="J4" i="28"/>
  <c r="J5" i="28"/>
  <c r="J6" i="28"/>
  <c r="J7" i="28"/>
  <c r="J8" i="28"/>
  <c r="J3" i="28"/>
  <c r="K24" i="33" l="1"/>
  <c r="I19" i="33"/>
  <c r="D20" i="33"/>
  <c r="D19" i="33"/>
  <c r="K17" i="33"/>
  <c r="I21" i="33"/>
  <c r="H21" i="33"/>
  <c r="D21" i="33"/>
  <c r="C21" i="33"/>
  <c r="H19" i="33"/>
  <c r="C19" i="33"/>
  <c r="J18" i="33"/>
  <c r="J20" i="33" s="1"/>
  <c r="K20" i="33" s="1"/>
  <c r="G13" i="30"/>
  <c r="G12" i="30"/>
  <c r="I25" i="33" l="1"/>
  <c r="D25" i="33"/>
  <c r="H25" i="33"/>
  <c r="J21" i="33"/>
  <c r="K21" i="33" s="1"/>
  <c r="J19" i="33"/>
  <c r="C25" i="33"/>
  <c r="K18" i="33"/>
  <c r="C32" i="28"/>
  <c r="E32" i="28" s="1"/>
  <c r="C31" i="28"/>
  <c r="E31" i="28" s="1"/>
  <c r="C30" i="28"/>
  <c r="E30" i="28" s="1"/>
  <c r="I25" i="28"/>
  <c r="I24" i="28"/>
  <c r="I21" i="28"/>
  <c r="I20" i="28"/>
  <c r="I17" i="28"/>
  <c r="H17" i="28"/>
  <c r="I16" i="28"/>
  <c r="I15" i="28"/>
  <c r="H15" i="28"/>
  <c r="I14" i="28"/>
  <c r="H14" i="28"/>
  <c r="I13" i="28"/>
  <c r="H13" i="28"/>
  <c r="I12" i="28"/>
  <c r="H12" i="28"/>
  <c r="I11" i="28"/>
  <c r="H11" i="28"/>
  <c r="I10" i="28"/>
  <c r="I9" i="28"/>
  <c r="I8" i="28"/>
  <c r="H8" i="28"/>
  <c r="I7" i="28"/>
  <c r="H7" i="28"/>
  <c r="I6" i="28"/>
  <c r="H6" i="28"/>
  <c r="I5" i="28"/>
  <c r="H5" i="28"/>
  <c r="I4" i="28"/>
  <c r="H4" i="28"/>
  <c r="I3" i="28"/>
  <c r="H3" i="28"/>
  <c r="C40" i="33" l="1"/>
  <c r="J25" i="33"/>
  <c r="D40" i="33" s="1"/>
  <c r="K19" i="33"/>
  <c r="K25" i="33" s="1"/>
  <c r="C29" i="28"/>
  <c r="E29" i="28" s="1"/>
  <c r="C35" i="28" s="1"/>
  <c r="C34" i="28"/>
  <c r="F43" i="30"/>
  <c r="G43" i="30"/>
  <c r="F42" i="30"/>
  <c r="G42" i="30"/>
  <c r="F38" i="30"/>
  <c r="G38" i="30"/>
  <c r="F37" i="30"/>
  <c r="G37" i="30"/>
  <c r="F36" i="30"/>
  <c r="G36" i="30"/>
  <c r="F35" i="30"/>
  <c r="G35" i="30"/>
  <c r="F34" i="30"/>
  <c r="G34" i="30"/>
  <c r="F33" i="30"/>
  <c r="G33" i="30"/>
  <c r="F32" i="30"/>
  <c r="G32" i="30"/>
  <c r="F31" i="30"/>
  <c r="G31" i="30"/>
  <c r="F30" i="30"/>
  <c r="F29" i="30"/>
  <c r="G29" i="30"/>
  <c r="F28" i="30"/>
  <c r="G28" i="30"/>
  <c r="F27" i="30"/>
  <c r="G27" i="30"/>
  <c r="F26" i="30"/>
  <c r="G26" i="30"/>
  <c r="F25" i="30"/>
  <c r="G25" i="30"/>
  <c r="F24" i="30"/>
  <c r="G24" i="30"/>
  <c r="F23" i="30"/>
  <c r="G23" i="30"/>
  <c r="F19" i="30"/>
  <c r="G19" i="30"/>
  <c r="F18" i="30"/>
  <c r="G18" i="30"/>
  <c r="F17" i="30"/>
  <c r="G17" i="30"/>
  <c r="F16" i="30"/>
  <c r="G16" i="30"/>
  <c r="F15" i="30"/>
  <c r="G15" i="30"/>
  <c r="G14" i="30"/>
  <c r="F11" i="30"/>
  <c r="G11" i="30"/>
  <c r="F10" i="30"/>
  <c r="G10" i="30"/>
  <c r="F9" i="30"/>
  <c r="G9" i="30"/>
  <c r="F8" i="30"/>
  <c r="G8" i="30"/>
  <c r="F7" i="30"/>
  <c r="G7" i="30"/>
  <c r="G6" i="30"/>
  <c r="L69" i="29"/>
  <c r="J69" i="29"/>
  <c r="N46" i="29"/>
  <c r="M46" i="29" s="1"/>
  <c r="J46" i="29" s="1"/>
  <c r="N45" i="29"/>
  <c r="J45" i="29"/>
  <c r="L45" i="29"/>
  <c r="N44" i="29"/>
  <c r="J44" i="29" s="1"/>
  <c r="L43" i="29"/>
  <c r="J43" i="29"/>
  <c r="G41" i="29"/>
  <c r="J41" i="29" s="1"/>
  <c r="J40" i="29"/>
  <c r="L40" i="29"/>
  <c r="M39" i="29"/>
  <c r="J39" i="29" s="1"/>
  <c r="L39" i="29"/>
  <c r="J38" i="29"/>
  <c r="L38" i="29"/>
  <c r="J37" i="29"/>
  <c r="L37" i="29"/>
  <c r="J36" i="29"/>
  <c r="L36" i="29"/>
  <c r="J35" i="29"/>
  <c r="L35" i="29"/>
  <c r="L34" i="29"/>
  <c r="J34" i="29"/>
  <c r="L33" i="29"/>
  <c r="J33" i="29"/>
  <c r="J32" i="29"/>
  <c r="L32" i="29"/>
  <c r="J31" i="29"/>
  <c r="L31" i="29"/>
  <c r="J30" i="29"/>
  <c r="L30" i="29"/>
  <c r="J29" i="29"/>
  <c r="L29" i="29"/>
  <c r="J28" i="29"/>
  <c r="L28" i="29"/>
  <c r="J27" i="29"/>
  <c r="L27" i="29"/>
  <c r="L26" i="29"/>
  <c r="J26" i="29"/>
  <c r="L25" i="29"/>
  <c r="J25" i="29"/>
  <c r="J24" i="29"/>
  <c r="L24" i="29"/>
  <c r="J23" i="29"/>
  <c r="L23" i="29"/>
  <c r="J22" i="29"/>
  <c r="L22" i="29"/>
  <c r="J21" i="29"/>
  <c r="L21" i="29"/>
  <c r="J20" i="29"/>
  <c r="L20" i="29"/>
  <c r="J19" i="29"/>
  <c r="L19" i="29"/>
  <c r="L18" i="29"/>
  <c r="J18" i="29"/>
  <c r="L17" i="29"/>
  <c r="J17" i="29"/>
  <c r="J16" i="29"/>
  <c r="L16" i="29"/>
  <c r="J15" i="29"/>
  <c r="L15" i="29"/>
  <c r="J14" i="29"/>
  <c r="L14" i="29"/>
  <c r="J13" i="29"/>
  <c r="L13" i="29"/>
  <c r="J12" i="29"/>
  <c r="L12" i="29"/>
  <c r="J11" i="29"/>
  <c r="L11" i="29"/>
  <c r="J10" i="29"/>
  <c r="L10" i="29"/>
  <c r="L9" i="29"/>
  <c r="J9" i="29"/>
  <c r="L8" i="29"/>
  <c r="J8" i="29"/>
  <c r="J7" i="29"/>
  <c r="L7" i="29"/>
  <c r="J5" i="29"/>
  <c r="L5" i="29"/>
  <c r="J4" i="29"/>
  <c r="L4" i="29"/>
  <c r="C36" i="28" l="1"/>
  <c r="C45" i="30"/>
  <c r="B15" i="27" s="1"/>
  <c r="B21" i="27" s="1"/>
  <c r="D16" i="18" s="1"/>
  <c r="C46" i="30"/>
  <c r="B14" i="27" s="1"/>
  <c r="B20" i="27" s="1"/>
  <c r="C16" i="18" s="1"/>
  <c r="L49" i="29"/>
  <c r="L53" i="29" s="1"/>
  <c r="J49" i="29"/>
  <c r="J53" i="29" s="1"/>
  <c r="H41" i="29"/>
  <c r="L44" i="29"/>
  <c r="L46" i="29"/>
  <c r="B75" i="18"/>
  <c r="B8" i="33" l="1"/>
  <c r="B9" i="33" s="1"/>
  <c r="B10" i="33"/>
  <c r="L63" i="29"/>
  <c r="L61" i="29"/>
  <c r="L59" i="29"/>
  <c r="G55" i="29"/>
  <c r="L41" i="29"/>
  <c r="J63" i="29"/>
  <c r="J61" i="29"/>
  <c r="J59" i="29"/>
  <c r="B72" i="18"/>
  <c r="B73" i="18"/>
  <c r="B74" i="18"/>
  <c r="B71" i="18"/>
  <c r="E8" i="33" l="1"/>
  <c r="E9" i="33" s="1"/>
  <c r="M9" i="33" s="1"/>
  <c r="B23" i="33"/>
  <c r="E23" i="33" s="1"/>
  <c r="M23" i="33" s="1"/>
  <c r="B34" i="33"/>
  <c r="E34" i="33" s="1"/>
  <c r="E10" i="33"/>
  <c r="M10" i="33" s="1"/>
  <c r="B22" i="33"/>
  <c r="E22" i="33" s="1"/>
  <c r="M22" i="33" s="1"/>
  <c r="L55" i="29"/>
  <c r="L57" i="29" s="1"/>
  <c r="J55" i="29"/>
  <c r="J57" i="29" s="1"/>
  <c r="B13" i="18"/>
  <c r="B89" i="18"/>
  <c r="F89" i="18" s="1"/>
  <c r="C41" i="27"/>
  <c r="F75" i="18" s="1"/>
  <c r="C40" i="27"/>
  <c r="F74" i="18" s="1"/>
  <c r="B7" i="18"/>
  <c r="B17" i="33" l="1"/>
  <c r="B24" i="33"/>
  <c r="E24" i="33" s="1"/>
  <c r="M24" i="33" s="1"/>
  <c r="B32" i="33"/>
  <c r="M8" i="33"/>
  <c r="J65" i="29"/>
  <c r="J67" i="29"/>
  <c r="J71" i="29" s="1"/>
  <c r="L65" i="29"/>
  <c r="L67" i="29" s="1"/>
  <c r="L71" i="29" s="1"/>
  <c r="B11" i="33" s="1"/>
  <c r="E14" i="18"/>
  <c r="D14" i="18"/>
  <c r="C14" i="18"/>
  <c r="E13" i="18"/>
  <c r="D13" i="18"/>
  <c r="C13" i="18"/>
  <c r="B16" i="27" l="1"/>
  <c r="B37" i="33"/>
  <c r="E37" i="33" s="1"/>
  <c r="E12" i="33"/>
  <c r="M12" i="33" s="1"/>
  <c r="B18" i="33"/>
  <c r="E17" i="33"/>
  <c r="E32" i="33"/>
  <c r="C37" i="27"/>
  <c r="F71" i="18" s="1"/>
  <c r="F108" i="18"/>
  <c r="E23" i="18"/>
  <c r="B8" i="18"/>
  <c r="B9" i="18"/>
  <c r="F93" i="18"/>
  <c r="F105" i="18" s="1"/>
  <c r="F92" i="18"/>
  <c r="F100" i="18" s="1"/>
  <c r="E79" i="18"/>
  <c r="D79" i="18"/>
  <c r="C79" i="18"/>
  <c r="B80" i="18"/>
  <c r="C39" i="27"/>
  <c r="F73" i="18" s="1"/>
  <c r="C38" i="27"/>
  <c r="F72" i="18" s="1"/>
  <c r="D65" i="18"/>
  <c r="F65" i="18" s="1"/>
  <c r="F60" i="18"/>
  <c r="F59" i="18"/>
  <c r="F58" i="18"/>
  <c r="B24" i="18"/>
  <c r="D23" i="18"/>
  <c r="C23" i="18"/>
  <c r="B19" i="18"/>
  <c r="D12" i="18"/>
  <c r="C12" i="18"/>
  <c r="B12" i="18"/>
  <c r="E12" i="18" l="1"/>
  <c r="B22" i="27"/>
  <c r="E16" i="18" s="1"/>
  <c r="B33" i="33"/>
  <c r="E11" i="33"/>
  <c r="B13" i="33"/>
  <c r="M17" i="33"/>
  <c r="B20" i="33"/>
  <c r="E20" i="33" s="1"/>
  <c r="M20" i="33" s="1"/>
  <c r="E18" i="33"/>
  <c r="M18" i="33" s="1"/>
  <c r="B19" i="33"/>
  <c r="C83" i="18"/>
  <c r="E101" i="18"/>
  <c r="C101" i="18"/>
  <c r="E83" i="18"/>
  <c r="E19" i="33" l="1"/>
  <c r="M19" i="33" s="1"/>
  <c r="M11" i="33"/>
  <c r="M13" i="33" s="1"/>
  <c r="E13" i="33"/>
  <c r="E33" i="33"/>
  <c r="B21" i="33"/>
  <c r="E21" i="33" s="1"/>
  <c r="M21" i="33" s="1"/>
  <c r="D80" i="18"/>
  <c r="D81" i="18" s="1"/>
  <c r="D24" i="18"/>
  <c r="D25" i="18" s="1"/>
  <c r="D101" i="18" s="1"/>
  <c r="E15" i="18"/>
  <c r="E17" i="18" s="1"/>
  <c r="E20" i="18" s="1"/>
  <c r="D15" i="18"/>
  <c r="D17" i="18" s="1"/>
  <c r="C15" i="18"/>
  <c r="C17" i="18" s="1"/>
  <c r="C20" i="18" s="1"/>
  <c r="C26" i="18" s="1"/>
  <c r="E30" i="18" s="1"/>
  <c r="F14" i="18"/>
  <c r="F12" i="18"/>
  <c r="M25" i="33" l="1"/>
  <c r="M27" i="33" s="1"/>
  <c r="B25" i="33"/>
  <c r="B40" i="33" s="1"/>
  <c r="E25" i="33"/>
  <c r="E26" i="18"/>
  <c r="F103" i="18"/>
  <c r="D83" i="18"/>
  <c r="F83" i="18" s="1"/>
  <c r="D19" i="18"/>
  <c r="D20" i="18" s="1"/>
  <c r="E36" i="33" l="1"/>
  <c r="E38" i="33" s="1"/>
  <c r="B38" i="33"/>
  <c r="D27" i="33"/>
  <c r="J27" i="33"/>
  <c r="H27" i="33"/>
  <c r="B27" i="33"/>
  <c r="I27" i="33"/>
  <c r="C27" i="33"/>
  <c r="D26" i="18"/>
  <c r="F20" i="18"/>
  <c r="F34" i="18"/>
  <c r="F62" i="18"/>
  <c r="K27" i="33" l="1"/>
  <c r="E27" i="33"/>
  <c r="B41" i="33"/>
  <c r="C41" i="33"/>
  <c r="D41" i="33"/>
  <c r="F38" i="18"/>
  <c r="F42" i="18" s="1"/>
  <c r="F54" i="18"/>
  <c r="F50" i="18"/>
  <c r="F26" i="18"/>
  <c r="F101" i="18"/>
  <c r="D42" i="33" l="1"/>
  <c r="D43" i="33" s="1"/>
  <c r="D45" i="33" s="1"/>
  <c r="C42" i="33"/>
  <c r="C43" i="33" s="1"/>
  <c r="C45" i="33" s="1"/>
  <c r="B42" i="33"/>
  <c r="B43" i="33" s="1"/>
  <c r="B45" i="33" s="1"/>
  <c r="E41" i="33"/>
  <c r="F46" i="18"/>
  <c r="F67" i="18" s="1"/>
  <c r="F76" i="18" s="1"/>
  <c r="F94" i="18"/>
  <c r="F87" i="18" l="1"/>
  <c r="F90" i="18" s="1"/>
  <c r="F95" i="18" s="1"/>
  <c r="F97" i="18" s="1"/>
  <c r="F98" i="18" s="1"/>
  <c r="F107" i="18" s="1"/>
  <c r="F110" i="18" s="1"/>
  <c r="E40" i="33" l="1"/>
  <c r="E42" i="33" s="1"/>
  <c r="E43" i="33" l="1"/>
  <c r="E45" i="33" l="1"/>
</calcChain>
</file>

<file path=xl/sharedStrings.xml><?xml version="1.0" encoding="utf-8"?>
<sst xmlns="http://schemas.openxmlformats.org/spreadsheetml/2006/main" count="618" uniqueCount="379">
  <si>
    <t>Co Labor</t>
  </si>
  <si>
    <t>Stock Mats</t>
  </si>
  <si>
    <t>Outside Srv</t>
  </si>
  <si>
    <t>Total Cost</t>
  </si>
  <si>
    <t>Labor</t>
  </si>
  <si>
    <t>Vehicle (% of Labor)</t>
  </si>
  <si>
    <t>Benefits &amp; Payroll Tax (% of labor)</t>
  </si>
  <si>
    <t>Work order</t>
  </si>
  <si>
    <t>Subtract: System Development, precap, etc.</t>
  </si>
  <si>
    <t>Add:  Material Price Adjustment (MPA)</t>
  </si>
  <si>
    <t>Test and Carrying Charge</t>
  </si>
  <si>
    <t>Police detail:N</t>
  </si>
  <si>
    <t>Police Details:  Charged in WO</t>
  </si>
  <si>
    <t>Specific Paving not on WO</t>
  </si>
  <si>
    <t>Other Costs/Adjustment</t>
  </si>
  <si>
    <t>Credits, incl. stock returns, salvage, etc.</t>
  </si>
  <si>
    <t>Subtotal:  Work Order Cost (with all overheads)</t>
  </si>
  <si>
    <t>Annual Revenue</t>
  </si>
  <si>
    <t>Subtotal</t>
  </si>
  <si>
    <t>Subtotal:  for Carrying Charge</t>
  </si>
  <si>
    <t>Subtract Design Deposit</t>
  </si>
  <si>
    <t>Total Customer Cost</t>
  </si>
  <si>
    <t>E&amp;S OH (% of Labor &amp; Outside Services)</t>
  </si>
  <si>
    <t>Lobby Stock (% of Stock Material &amp; MPA)</t>
  </si>
  <si>
    <t>Stores OH (% of Stock Materials &amp; MPA)</t>
  </si>
  <si>
    <t>Craft NPT (% of labor)</t>
  </si>
  <si>
    <t xml:space="preserve">Y  </t>
  </si>
  <si>
    <t>AS&amp;E OH (% Labor, Labor OH, E&amp;S, Lobby, Stores, Vehicles)</t>
  </si>
  <si>
    <t>New Description</t>
  </si>
  <si>
    <t>Company</t>
  </si>
  <si>
    <t>Benefits &amp; Payroll Tax (% of Labor)</t>
  </si>
  <si>
    <t>BECO</t>
  </si>
  <si>
    <t>CAMB</t>
  </si>
  <si>
    <t>COMM</t>
  </si>
  <si>
    <t>Carrying Charge</t>
  </si>
  <si>
    <t>E&amp;S OH (% of Labor &amp; Outsxide Services)</t>
  </si>
  <si>
    <t>Material Price Adjustment</t>
  </si>
  <si>
    <t>Craft NPT (% of Labor)</t>
  </si>
  <si>
    <t>Lobby Stock (% of Stock Materials &amp; MPA)</t>
  </si>
  <si>
    <t>AS&amp;E OH</t>
  </si>
  <si>
    <t>Vechicle (% of Labor)</t>
  </si>
  <si>
    <t xml:space="preserve">                                           Related WO #</t>
  </si>
  <si>
    <t>Subtotal: Material Costs Less System Development Plus MPA</t>
  </si>
  <si>
    <t>Subtract Priv Prop UG Cost (from Tasks on Passport WO, Cust wil own)</t>
  </si>
  <si>
    <t>Add:  MPA</t>
  </si>
  <si>
    <t>Subtotal:  Private Property UG Material Cost + MPA</t>
  </si>
  <si>
    <t>Subtotal: Net Labor, Material, Srv/Misc Costs for OH, Revenue</t>
  </si>
  <si>
    <t xml:space="preserve">    test and Carrying Charge</t>
  </si>
  <si>
    <t>Enter Qty</t>
  </si>
  <si>
    <t>Enter Unit $</t>
  </si>
  <si>
    <t>Pole Height Premium                    NSTAR Set # of Poles</t>
  </si>
  <si>
    <t>Private Property Overhead Costs</t>
  </si>
  <si>
    <t>Adj for JO Poles                           NSTAR Set # of Poles</t>
  </si>
  <si>
    <t>Company Labor</t>
  </si>
  <si>
    <t>Stk/Dir Chrg Mtl</t>
  </si>
  <si>
    <t>Out Srv/Misc Exp</t>
  </si>
  <si>
    <t>Subtotal:  Private Propery OH Costs + MPA</t>
  </si>
  <si>
    <t>Subtract Priv Property Overhead w/indirects</t>
  </si>
  <si>
    <t>Net Eligible for Customer Revenue Test</t>
  </si>
  <si>
    <t>Revenue Test Value</t>
  </si>
  <si>
    <t>Add: Customer Supplied Cost (from CSCS)</t>
  </si>
  <si>
    <t>Add:  Customer Supplied Conduit URD Material</t>
  </si>
  <si>
    <t>Add Back Private Property Overhead w/indirects</t>
  </si>
  <si>
    <t>Subtract Customer Supplied Costs</t>
  </si>
  <si>
    <t>Add Back Private Property Underground w/Indirect</t>
  </si>
  <si>
    <t>Add sales tax on Passport Material from              Tax Rate</t>
  </si>
  <si>
    <t xml:space="preserve">       Private Property UG Material</t>
  </si>
  <si>
    <t>Subtract Customer Supplied Conduit URD Material</t>
  </si>
  <si>
    <t>BOSTON EDISON</t>
  </si>
  <si>
    <t xml:space="preserve">                                                   TELCO Set # of Poles</t>
  </si>
  <si>
    <t>LABOR</t>
  </si>
  <si>
    <t xml:space="preserve">NEW CIAC RATES </t>
  </si>
  <si>
    <t>LISTED IN THE ORDER THEY APPEAR ON THE CIAC WORKSHEET</t>
  </si>
  <si>
    <t>Rate</t>
  </si>
  <si>
    <t>MATERIALS</t>
  </si>
  <si>
    <t>OUTSIDE SERVICES</t>
  </si>
  <si>
    <t>WO #1</t>
  </si>
  <si>
    <t>WO #2</t>
  </si>
  <si>
    <t xml:space="preserve">                                            Current WO #</t>
  </si>
  <si>
    <t>WO # 1</t>
  </si>
  <si>
    <t>WO # 2</t>
  </si>
  <si>
    <t>Passport Data</t>
  </si>
  <si>
    <t>Passport WO Estimate - M611 Panel</t>
  </si>
  <si>
    <t>MATEIRALS</t>
  </si>
  <si>
    <t>Table Rate</t>
  </si>
  <si>
    <t>Subtotal:  Work Order Costs from Passport less System Dev</t>
  </si>
  <si>
    <t xml:space="preserve">Subtract Priv Prop UG Cost </t>
  </si>
  <si>
    <t>Police Details</t>
  </si>
  <si>
    <t xml:space="preserve">Credits, incl Stock Returns, Salvage, etc. </t>
  </si>
  <si>
    <t>Adj for JO Poles (From IOP)</t>
  </si>
  <si>
    <t>Qty</t>
  </si>
  <si>
    <t>Telco Set # of Pole</t>
  </si>
  <si>
    <t>NSTAR Set # of Poles</t>
  </si>
  <si>
    <t>Pole Height Premium</t>
  </si>
  <si>
    <t>Stk/Direc Chrg Mtl</t>
  </si>
  <si>
    <t>Net Revenue</t>
  </si>
  <si>
    <t xml:space="preserve">*Please input CSCS amount from Web Application </t>
  </si>
  <si>
    <t xml:space="preserve">     no changes were made to the CSCS</t>
  </si>
  <si>
    <t>Customer supplied Conduit URD Material</t>
  </si>
  <si>
    <t>WO Description</t>
  </si>
  <si>
    <t xml:space="preserve">WO Desc       </t>
  </si>
  <si>
    <t xml:space="preserve">Cust Name      </t>
  </si>
  <si>
    <t>Customer Name</t>
  </si>
  <si>
    <t>USE THIS WORKSHEET TO INPUT WHAT IS NORMALLY INPUT TO THE CIAC WEB APPLICATION</t>
  </si>
  <si>
    <t>Please DO NOT change any fields in the TEST WO tabs</t>
  </si>
  <si>
    <t>Input here will populate the TEST WO tabs and you will reconcile the CIAC Web Test to the TEST WO tab</t>
  </si>
  <si>
    <t>There may be differences due to rounding.</t>
  </si>
  <si>
    <t>Auto input from INPUT tab</t>
  </si>
  <si>
    <t xml:space="preserve">Current Job     </t>
  </si>
  <si>
    <t>xxxxxxxx</t>
  </si>
  <si>
    <t>WO #3</t>
  </si>
  <si>
    <t xml:space="preserve"> Pole Credit ($ from PassPort WO)</t>
  </si>
  <si>
    <t xml:space="preserve">wire Credit ($ from Passport WO) </t>
  </si>
  <si>
    <t>Pole Credit ($ from PassPort WO        # of Poles (Max 1)</t>
  </si>
  <si>
    <t>Wire Credit ($ fr PassPort WO)    Sections of Wire(Max2)</t>
  </si>
  <si>
    <t>INPUT CUSTOMER NAME</t>
  </si>
  <si>
    <t>INPUT WORK ORDER DESCRIPTION</t>
  </si>
  <si>
    <t>*INPUT HOURS AS EXPECTED TO SHOW BASED ON AGREEMENT</t>
  </si>
  <si>
    <t>Calc'd Credit</t>
  </si>
  <si>
    <t>Input based on Passport revenue in attributes</t>
  </si>
  <si>
    <t>Material</t>
  </si>
  <si>
    <t>Cost/unit</t>
  </si>
  <si>
    <t># Sections</t>
  </si>
  <si>
    <t>Distance</t>
  </si>
  <si>
    <t>Hours</t>
  </si>
  <si>
    <t>SECONDARY</t>
  </si>
  <si>
    <t>#4 600V</t>
  </si>
  <si>
    <t>1/0 600V</t>
  </si>
  <si>
    <t>4/0 600V</t>
  </si>
  <si>
    <t>350 600V</t>
  </si>
  <si>
    <t>500 600V</t>
  </si>
  <si>
    <t>7-4/0 600V</t>
  </si>
  <si>
    <t>PRIMARY</t>
  </si>
  <si>
    <t>#2CU 15kV</t>
  </si>
  <si>
    <t>#1 AL 15kV</t>
  </si>
  <si>
    <t>4/0 AL 15kV</t>
  </si>
  <si>
    <t>3-250 FS 15kV</t>
  </si>
  <si>
    <t>3-500 FS 15kV</t>
  </si>
  <si>
    <t>3-700 FS 15kV</t>
  </si>
  <si>
    <t>3-1000 FS 15kV</t>
  </si>
  <si>
    <t>PRELIM SPLICING</t>
  </si>
  <si>
    <t>#  MHs</t>
  </si>
  <si>
    <t>Straight joint</t>
  </si>
  <si>
    <t>Multiple joint</t>
  </si>
  <si>
    <t>PERMIT SPLICING</t>
  </si>
  <si>
    <t># MHs</t>
  </si>
  <si>
    <t>Hours or units</t>
  </si>
  <si>
    <t>Cost</t>
  </si>
  <si>
    <t>Cable (hours)</t>
  </si>
  <si>
    <t>Prelim Splice (hours)</t>
  </si>
  <si>
    <t>Prelim Look up (hours)</t>
  </si>
  <si>
    <t>Permit (MH units)</t>
  </si>
  <si>
    <t>Material cost</t>
  </si>
  <si>
    <t>Labor cost</t>
  </si>
  <si>
    <t>Total cost</t>
  </si>
  <si>
    <t>Item of Work</t>
  </si>
  <si>
    <t>Size</t>
  </si>
  <si>
    <t>Condition</t>
  </si>
  <si>
    <t>Units</t>
  </si>
  <si>
    <t>Quantity</t>
  </si>
  <si>
    <t>Quote</t>
  </si>
  <si>
    <t>2018 RATES</t>
  </si>
  <si>
    <t>Single Pipe Svs (SPS) by NSTAR</t>
  </si>
  <si>
    <t>Schedule 40</t>
  </si>
  <si>
    <t>All</t>
  </si>
  <si>
    <t>Minimum 50 Lin Ft.</t>
  </si>
  <si>
    <t>Lin Ft</t>
  </si>
  <si>
    <t>*</t>
  </si>
  <si>
    <t>Paving Allowance for SPS</t>
  </si>
  <si>
    <t>Trench L x W</t>
  </si>
  <si>
    <t>Minimum 150 Sq Ft</t>
  </si>
  <si>
    <t>Sq Ft</t>
  </si>
  <si>
    <t>(2) PVC Type EB in Concrete</t>
  </si>
  <si>
    <t>Under Street Paving 0"-12"</t>
  </si>
  <si>
    <t>(3) PVC Type EB in Concrete</t>
  </si>
  <si>
    <t>(4) PVC Type EB in Concrete</t>
  </si>
  <si>
    <t>(6) PVC Type EB in Concrete</t>
  </si>
  <si>
    <t>(8 &amp; 9) PVC Type EB in Concrete</t>
  </si>
  <si>
    <t>(12) PVC Type EB in Concrete</t>
  </si>
  <si>
    <t xml:space="preserve">Precast Manholes </t>
  </si>
  <si>
    <t>4 x 4 x 6</t>
  </si>
  <si>
    <t xml:space="preserve">PC MH 4' x 4' x 6' </t>
  </si>
  <si>
    <t>Each</t>
  </si>
  <si>
    <t>4 x 6 x 8</t>
  </si>
  <si>
    <t>PC MH 4' x 6' x 8'</t>
  </si>
  <si>
    <t>6 x 10 x 8</t>
  </si>
  <si>
    <t>PC MH 6' x 10' x 8'</t>
  </si>
  <si>
    <t>6 x 10 x 10</t>
  </si>
  <si>
    <t>PC MH 6' x 10' x 10'</t>
  </si>
  <si>
    <t>HA-300</t>
  </si>
  <si>
    <t>PC HA-300</t>
  </si>
  <si>
    <t>HA-400</t>
  </si>
  <si>
    <t>PC HA-400</t>
  </si>
  <si>
    <t>Cast-In-Place Manholes</t>
  </si>
  <si>
    <t>CIP MH 4' x 4' x 6'</t>
  </si>
  <si>
    <t>CIP MH 4' x 6' x 8'</t>
  </si>
  <si>
    <t>CIP MH 6' x 10' x 8'</t>
  </si>
  <si>
    <t>CIP MH 6' x 10' x 10'</t>
  </si>
  <si>
    <t>CIP MH HA-300</t>
  </si>
  <si>
    <t>CIP MH HA-400</t>
  </si>
  <si>
    <t>ReRoof Manhole</t>
  </si>
  <si>
    <t>4 x 6</t>
  </si>
  <si>
    <t>ReRoof MH 4' x 6'</t>
  </si>
  <si>
    <t>5 x 7</t>
  </si>
  <si>
    <t>ReRoof 5' x 7'</t>
  </si>
  <si>
    <t>6 x 10</t>
  </si>
  <si>
    <t>ReRoof 6' x 10' Single Opening</t>
  </si>
  <si>
    <t>ReRoof 6' x 10' Double Opening</t>
  </si>
  <si>
    <t>Re-Roof HA-300 MH</t>
  </si>
  <si>
    <t>Oversized Manhole</t>
  </si>
  <si>
    <t>Various</t>
  </si>
  <si>
    <t>Re-Roof Oversized MH</t>
  </si>
  <si>
    <t>SNV Structure (Excludes Conduit)</t>
  </si>
  <si>
    <t>Install SNV Structure</t>
  </si>
  <si>
    <t>Rebuild Manholes</t>
  </si>
  <si>
    <t>MH 4' x 4' x 6'</t>
  </si>
  <si>
    <t>MH 4' x 6' x 8'</t>
  </si>
  <si>
    <t>MH 6' x 10' x 8'</t>
  </si>
  <si>
    <t>MH 6' x 10' x 10'</t>
  </si>
  <si>
    <t>MH HA-300</t>
  </si>
  <si>
    <t>MH HA-400</t>
  </si>
  <si>
    <t>Sidewalk Restoration</t>
  </si>
  <si>
    <t>Remove/Replace</t>
  </si>
  <si>
    <t>Restore Handicapped Ramps</t>
  </si>
  <si>
    <t>Standard</t>
  </si>
  <si>
    <t>Remove/Replace for Compliance</t>
  </si>
  <si>
    <t>Pair</t>
  </si>
  <si>
    <t>Daily Crew</t>
  </si>
  <si>
    <t>Typical</t>
  </si>
  <si>
    <t>Stock &amp; Labor Crew</t>
  </si>
  <si>
    <t>Day</t>
  </si>
  <si>
    <t>Per Project Allowance to Excavate Ledge</t>
  </si>
  <si>
    <t>Excavate Ledge</t>
  </si>
  <si>
    <t>Cu Yds</t>
  </si>
  <si>
    <t>Install Control Density Fill (90pcf)</t>
  </si>
  <si>
    <t>Disposal --- Asphalt, Brick &amp; Concrete</t>
  </si>
  <si>
    <t>Tons</t>
  </si>
  <si>
    <t>Disposal --- Soil to Lined Landfill</t>
  </si>
  <si>
    <t>Disposal --- Soil to Unlined Landfill</t>
  </si>
  <si>
    <t>Variables Effecting Schedule &amp; Costs</t>
  </si>
  <si>
    <t>Summary</t>
  </si>
  <si>
    <t>Typical*</t>
  </si>
  <si>
    <t>Suburb</t>
  </si>
  <si>
    <t>Paving and/or SPOF</t>
  </si>
  <si>
    <t>(Note 1)</t>
  </si>
  <si>
    <t>Value from Unit Price Estimate</t>
  </si>
  <si>
    <t>ADA/ABB Compliance</t>
  </si>
  <si>
    <t>(Note 2)</t>
  </si>
  <si>
    <r>
      <t xml:space="preserve">Police Details </t>
    </r>
    <r>
      <rPr>
        <b/>
        <sz val="12"/>
        <rFont val="Arial"/>
        <family val="2"/>
      </rPr>
      <t>(excluding *)</t>
    </r>
  </si>
  <si>
    <t>Ledge Profile from Municipality</t>
  </si>
  <si>
    <t>(Note 3)</t>
  </si>
  <si>
    <t>RR Tracks &amp; Bridge Crossings</t>
  </si>
  <si>
    <t>(Note 4)</t>
  </si>
  <si>
    <t>Night Work Factor-----Percent</t>
  </si>
  <si>
    <t>Fifteen*</t>
  </si>
  <si>
    <t>Y</t>
  </si>
  <si>
    <t>Proximity to Wetlands (OOC)</t>
  </si>
  <si>
    <t>(Note 5)</t>
  </si>
  <si>
    <t>Environmental Factor---Percent</t>
  </si>
  <si>
    <t>Ten*</t>
  </si>
  <si>
    <t>DEP Contaminated Site/Soil</t>
  </si>
  <si>
    <t>(Note 6)</t>
  </si>
  <si>
    <t>Contingency Factor---Percent</t>
  </si>
  <si>
    <t>SOP &amp; TMP Special Requirements</t>
  </si>
  <si>
    <t>(Note 7)</t>
  </si>
  <si>
    <t xml:space="preserve">Add percent for Other Factor </t>
  </si>
  <si>
    <t>Pre-Design Investigation</t>
  </si>
  <si>
    <t>(Note 8)</t>
  </si>
  <si>
    <r>
      <t>Subtotal with Factors</t>
    </r>
    <r>
      <rPr>
        <sz val="8"/>
        <rFont val="Arial"/>
        <family val="2"/>
      </rPr>
      <t>---Rounded Yes or No</t>
    </r>
  </si>
  <si>
    <t>Adjustments</t>
  </si>
  <si>
    <t>(Note 9)</t>
  </si>
  <si>
    <t>Subtotal of Variables (adding notes 1 thru 9)</t>
  </si>
  <si>
    <t>Adjusted Project Total</t>
  </si>
  <si>
    <t>Insert Employee Name Here</t>
  </si>
  <si>
    <t>Insert Employee No</t>
  </si>
  <si>
    <t>Insert Date</t>
  </si>
  <si>
    <t>Insert Text Here:</t>
  </si>
  <si>
    <t>COMMENT NO. ONE</t>
  </si>
  <si>
    <t>COMMENT NO. TWO</t>
  </si>
  <si>
    <t>COMMENT NO. THREE</t>
  </si>
  <si>
    <t>COMMENT NO. FOUR</t>
  </si>
  <si>
    <t>EQUIPMENT</t>
  </si>
  <si>
    <t>LABOR(HRs)</t>
  </si>
  <si>
    <t>MATERIAL</t>
  </si>
  <si>
    <t>QUANTITY</t>
  </si>
  <si>
    <t>LABOR COST</t>
  </si>
  <si>
    <t>Overhead Equipment</t>
  </si>
  <si>
    <t>ASU 15kV 600A</t>
  </si>
  <si>
    <t>Trip Savers up to 100k (each)</t>
  </si>
  <si>
    <t>Fused Cut Out up to 80k (each)</t>
  </si>
  <si>
    <t xml:space="preserve">Primary Riser </t>
  </si>
  <si>
    <t xml:space="preserve">45' Class 2 Pole </t>
  </si>
  <si>
    <t>Transfer Primary</t>
  </si>
  <si>
    <t>25 kVA OH XFMR</t>
  </si>
  <si>
    <t>50 kVA OH XFMR</t>
  </si>
  <si>
    <t>100 kVA OH XFMR</t>
  </si>
  <si>
    <t>Primary Metering Cluster</t>
  </si>
  <si>
    <t>Step Down XFMR 167kVA</t>
  </si>
  <si>
    <t>Padmount Equipment</t>
  </si>
  <si>
    <t>50 kVA Padmount XFMR (1Ph)</t>
  </si>
  <si>
    <t>100 kVA Padmount XFMR (1Ph)</t>
  </si>
  <si>
    <t>167 kVA Padmount XFMR (1Ph)</t>
  </si>
  <si>
    <t xml:space="preserve">150 kVA Padmount XFMR </t>
  </si>
  <si>
    <t xml:space="preserve">300 kVA Padmount XFMR </t>
  </si>
  <si>
    <t xml:space="preserve">500 kVA Padmount XFMR </t>
  </si>
  <si>
    <t>750 kVA Padmount XFMR</t>
  </si>
  <si>
    <t>1000 kVA Padmount XFMR</t>
  </si>
  <si>
    <t>1500 kVA Padmount XFMR</t>
  </si>
  <si>
    <t>2000 kVA Padmount XFMR</t>
  </si>
  <si>
    <t>2500 kVA Padmount XFMR</t>
  </si>
  <si>
    <t>200 Amp Elbows (each)</t>
  </si>
  <si>
    <t>600 Amps Elbows (each)</t>
  </si>
  <si>
    <t>PME-9 Switch</t>
  </si>
  <si>
    <t>Padmount Recloser</t>
  </si>
  <si>
    <t>Primary Metering Cabinet</t>
  </si>
  <si>
    <t>Underground Equipment</t>
  </si>
  <si>
    <t>100 kVA Underground XFMR</t>
  </si>
  <si>
    <t>167 kVA Underground XFMR</t>
  </si>
  <si>
    <t>TOTAL MATERIAL COST</t>
  </si>
  <si>
    <t>TOTAL LABOR COST</t>
  </si>
  <si>
    <r>
      <t xml:space="preserve">Cost </t>
    </r>
    <r>
      <rPr>
        <sz val="10"/>
        <rFont val="Calibri"/>
        <family val="2"/>
        <scheme val="minor"/>
      </rPr>
      <t>(30ft of slack per section included)</t>
    </r>
  </si>
  <si>
    <r>
      <t xml:space="preserve">Install Open Wire - </t>
    </r>
    <r>
      <rPr>
        <sz val="8"/>
        <rFont val="Arial"/>
        <family val="2"/>
      </rPr>
      <t>per phase/per section</t>
    </r>
  </si>
  <si>
    <t>Frame 3ph pole</t>
  </si>
  <si>
    <t>Total Cable with slack</t>
  </si>
  <si>
    <t>TOTAL COST</t>
  </si>
  <si>
    <t>Fully Loaded Spending</t>
  </si>
  <si>
    <t>AFUDC</t>
  </si>
  <si>
    <t>Labor &amp; OT</t>
  </si>
  <si>
    <t>NSTAR Vehicles</t>
  </si>
  <si>
    <t>Materials</t>
  </si>
  <si>
    <t>Stores</t>
  </si>
  <si>
    <t>Lobby Stock</t>
  </si>
  <si>
    <t>Labor, OT, NPT, PRB, Materials, Lobby Stock Loader, Stores Loader &amp; Ouside Services</t>
  </si>
  <si>
    <t>AS&amp;E</t>
  </si>
  <si>
    <t>Labor, OT, NPT, PRB &amp; Ouside Services</t>
  </si>
  <si>
    <t>E&amp;S</t>
  </si>
  <si>
    <t>Labor, OT, NPT, PRB  &amp; Ouside Services</t>
  </si>
  <si>
    <t>MDEC</t>
  </si>
  <si>
    <t>Labor, NPT &amp; OT</t>
  </si>
  <si>
    <t>Payroll Benefits</t>
  </si>
  <si>
    <t>NPT</t>
  </si>
  <si>
    <t>Station Rates</t>
  </si>
  <si>
    <t>Line Rates</t>
  </si>
  <si>
    <t>Indirect/Overhead Calculation Template</t>
  </si>
  <si>
    <t xml:space="preserve">Line Work </t>
  </si>
  <si>
    <t>Station Work</t>
  </si>
  <si>
    <t>Year 1</t>
  </si>
  <si>
    <t>Total</t>
  </si>
  <si>
    <t>Project Total</t>
  </si>
  <si>
    <t>Outside Services</t>
  </si>
  <si>
    <t>Other (Salvage Credit)</t>
  </si>
  <si>
    <t>Other</t>
  </si>
  <si>
    <t>Total Direct Costs</t>
  </si>
  <si>
    <t>Customer Contribution</t>
  </si>
  <si>
    <t>Total Indirect Costs</t>
  </si>
  <si>
    <t>Total Capital Project Costs</t>
  </si>
  <si>
    <t>TOTAL LABOR</t>
  </si>
  <si>
    <t>TOTAL LABOR HOURS</t>
  </si>
  <si>
    <t>Labor adder</t>
  </si>
  <si>
    <t>Internal Labor and Construction Equipment</t>
  </si>
  <si>
    <t>Removals</t>
  </si>
  <si>
    <t>Direct Capital Costs</t>
  </si>
  <si>
    <t>Indirect Capital Costs</t>
  </si>
  <si>
    <t>Indirect/Overhead (including benefits)</t>
  </si>
  <si>
    <t>Capitlized interest or AFDUC, if any</t>
  </si>
  <si>
    <t>Total Customer Contribution</t>
  </si>
  <si>
    <t>Capital Costs</t>
  </si>
  <si>
    <r>
      <t xml:space="preserve">Cust Contribution </t>
    </r>
    <r>
      <rPr>
        <b/>
        <sz val="10"/>
        <color rgb="FFFF0000"/>
        <rFont val="Arial"/>
        <family val="2"/>
      </rPr>
      <t>(negative number)</t>
    </r>
  </si>
  <si>
    <t>Total Capital Costs</t>
  </si>
  <si>
    <t>Project Costs Summary</t>
  </si>
  <si>
    <t>Replacement?</t>
  </si>
  <si>
    <t>**PAF required if Total Capital Costs exceed $500k</t>
  </si>
  <si>
    <t>Item #</t>
  </si>
  <si>
    <t>Nova Recloser</t>
  </si>
  <si>
    <t>586850+574496</t>
  </si>
  <si>
    <t>586786+584353</t>
  </si>
  <si>
    <t>Carring Charge</t>
  </si>
  <si>
    <t>(Payback-=4.4)</t>
  </si>
  <si>
    <t>Risk and Contingency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</si>
</sst>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00_);[Red]\(#,##0.000\)"/>
    <numFmt numFmtId="166" formatCode="#,##0.0_);[Red]\(#,##0.0\)"/>
    <numFmt numFmtId="167" formatCode="#,##0.0000000000_);[Red]\(#,##0.0000000000\)"/>
    <numFmt numFmtId="168" formatCode="_(&quot;$&quot;* #,##0_);_(&quot;$&quot;* \(#,##0\);_(&quot;$&quot;* &quot;-&quot;??_);_(@_)"/>
    <numFmt numFmtId="169" formatCode="0.0"/>
    <numFmt numFmtId="170" formatCode="&quot;$&quot;#,##0"/>
    <numFmt numFmtId="171" formatCode="000000"/>
    <numFmt numFmtId="172" formatCode="mm/dd/yy;@"/>
    <numFmt numFmtId="173" formatCode="&quot;$&quot;#,##0.00"/>
  </numFmts>
  <fonts count="52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5" tint="-0.249977111117893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9"/>
      <color theme="5" tint="-0.249977111117893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10"/>
      <color rgb="FFC00000"/>
      <name val="Arial"/>
      <family val="2"/>
    </font>
    <font>
      <b/>
      <sz val="10"/>
      <color rgb="FF00B0F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color rgb="FFC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b/>
      <sz val="8"/>
      <color indexed="12"/>
      <name val="Arial"/>
      <family val="2"/>
    </font>
    <font>
      <b/>
      <sz val="14"/>
      <name val="Arial"/>
      <family val="2"/>
    </font>
    <font>
      <b/>
      <sz val="11"/>
      <color indexed="15"/>
      <name val="Arial"/>
      <family val="2"/>
    </font>
    <font>
      <sz val="11"/>
      <color indexed="15"/>
      <name val="Arial"/>
      <family val="2"/>
    </font>
    <font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2"/>
      <color rgb="FFFF0000"/>
      <name val="Arial"/>
      <family val="2"/>
    </font>
    <font>
      <sz val="12"/>
      <color rgb="FF00CC00"/>
      <name val="Arial"/>
      <family val="2"/>
    </font>
    <font>
      <sz val="16"/>
      <color rgb="FF00CC00"/>
      <name val="Arial"/>
      <family val="2"/>
    </font>
    <font>
      <sz val="16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u val="singleAccounting"/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rgb="FF7030A0"/>
      <name val="Arial"/>
      <family val="2"/>
    </font>
    <font>
      <sz val="10"/>
      <color rgb="FF7030A0"/>
      <name val="Arial"/>
      <family val="2"/>
    </font>
    <font>
      <b/>
      <sz val="1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FF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43" fillId="0" borderId="0"/>
    <xf numFmtId="9" fontId="43" fillId="0" borderId="0" applyFont="0" applyFill="0" applyBorder="0" applyAlignment="0" applyProtection="0"/>
    <xf numFmtId="44" fontId="43" fillId="0" borderId="0" applyFont="0" applyFill="0" applyBorder="0" applyAlignment="0" applyProtection="0"/>
  </cellStyleXfs>
  <cellXfs count="483">
    <xf numFmtId="0" fontId="0" fillId="0" borderId="0" xfId="0"/>
    <xf numFmtId="40" fontId="0" fillId="0" borderId="0" xfId="0" applyNumberFormat="1"/>
    <xf numFmtId="10" fontId="0" fillId="0" borderId="0" xfId="0" applyNumberFormat="1"/>
    <xf numFmtId="40" fontId="5" fillId="0" borderId="0" xfId="0" applyNumberFormat="1" applyFont="1"/>
    <xf numFmtId="0" fontId="5" fillId="0" borderId="0" xfId="0" applyFont="1"/>
    <xf numFmtId="10" fontId="5" fillId="0" borderId="0" xfId="0" applyNumberFormat="1" applyFont="1"/>
    <xf numFmtId="40" fontId="4" fillId="0" borderId="0" xfId="0" applyNumberFormat="1" applyFont="1" applyAlignment="1"/>
    <xf numFmtId="43" fontId="0" fillId="0" borderId="0" xfId="1" applyFont="1"/>
    <xf numFmtId="0" fontId="6" fillId="0" borderId="0" xfId="0" applyFont="1"/>
    <xf numFmtId="40" fontId="0" fillId="0" borderId="0" xfId="0" applyNumberFormat="1" applyFill="1"/>
    <xf numFmtId="0" fontId="5" fillId="0" borderId="0" xfId="0" applyFont="1" applyAlignment="1"/>
    <xf numFmtId="10" fontId="5" fillId="0" borderId="0" xfId="0" applyNumberFormat="1" applyFont="1" applyAlignment="1"/>
    <xf numFmtId="43" fontId="6" fillId="0" borderId="0" xfId="0" applyNumberFormat="1" applyFont="1"/>
    <xf numFmtId="43" fontId="0" fillId="0" borderId="0" xfId="0" applyNumberFormat="1"/>
    <xf numFmtId="0" fontId="2" fillId="0" borderId="0" xfId="0" applyFont="1" applyAlignment="1">
      <alignment wrapText="1"/>
    </xf>
    <xf numFmtId="40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Fill="1"/>
    <xf numFmtId="10" fontId="0" fillId="0" borderId="0" xfId="0" applyNumberFormat="1" applyFill="1"/>
    <xf numFmtId="0" fontId="1" fillId="0" borderId="0" xfId="0" applyFont="1" applyFill="1"/>
    <xf numFmtId="0" fontId="3" fillId="0" borderId="0" xfId="0" applyFont="1" applyFill="1"/>
    <xf numFmtId="40" fontId="10" fillId="0" borderId="0" xfId="0" applyNumberFormat="1" applyFont="1" applyAlignment="1">
      <alignment wrapText="1"/>
    </xf>
    <xf numFmtId="40" fontId="10" fillId="0" borderId="0" xfId="0" applyNumberFormat="1" applyFont="1" applyAlignment="1"/>
    <xf numFmtId="40" fontId="1" fillId="0" borderId="0" xfId="0" applyNumberFormat="1" applyFont="1" applyFill="1"/>
    <xf numFmtId="0" fontId="0" fillId="0" borderId="0" xfId="0" applyAlignment="1"/>
    <xf numFmtId="40" fontId="6" fillId="0" borderId="0" xfId="0" applyNumberFormat="1" applyFont="1" applyFill="1" applyAlignment="1">
      <alignment horizontal="right"/>
    </xf>
    <xf numFmtId="40" fontId="3" fillId="0" borderId="0" xfId="0" applyNumberFormat="1" applyFont="1" applyFill="1"/>
    <xf numFmtId="40" fontId="0" fillId="0" borderId="0" xfId="0" applyNumberFormat="1" applyAlignment="1"/>
    <xf numFmtId="40" fontId="0" fillId="0" borderId="0" xfId="0" applyNumberFormat="1" applyFill="1" applyAlignment="1"/>
    <xf numFmtId="0" fontId="0" fillId="0" borderId="0" xfId="0" applyFill="1" applyAlignment="1"/>
    <xf numFmtId="40" fontId="0" fillId="0" borderId="0" xfId="0" applyNumberFormat="1" applyFill="1" applyBorder="1" applyAlignment="1"/>
    <xf numFmtId="40" fontId="3" fillId="0" borderId="0" xfId="0" applyNumberFormat="1" applyFont="1" applyFill="1" applyBorder="1" applyAlignment="1">
      <alignment horizontal="right"/>
    </xf>
    <xf numFmtId="40" fontId="1" fillId="0" borderId="0" xfId="0" applyNumberFormat="1" applyFont="1" applyFill="1" applyBorder="1" applyAlignment="1"/>
    <xf numFmtId="40" fontId="10" fillId="0" borderId="0" xfId="0" applyNumberFormat="1" applyFont="1" applyFill="1" applyBorder="1" applyAlignment="1"/>
    <xf numFmtId="40" fontId="4" fillId="0" borderId="0" xfId="0" applyNumberFormat="1" applyFont="1" applyFill="1" applyBorder="1" applyAlignment="1"/>
    <xf numFmtId="44" fontId="0" fillId="0" borderId="0" xfId="3" applyFont="1" applyFill="1" applyBorder="1" applyAlignment="1"/>
    <xf numFmtId="0" fontId="5" fillId="0" borderId="0" xfId="0" applyFont="1" applyFill="1" applyBorder="1"/>
    <xf numFmtId="0" fontId="5" fillId="0" borderId="0" xfId="0" applyFont="1" applyFill="1" applyBorder="1" applyAlignment="1"/>
    <xf numFmtId="40" fontId="3" fillId="0" borderId="0" xfId="0" applyNumberFormat="1" applyFont="1" applyFill="1" applyBorder="1" applyAlignment="1"/>
    <xf numFmtId="44" fontId="0" fillId="0" borderId="0" xfId="3" applyFont="1" applyFill="1" applyAlignment="1"/>
    <xf numFmtId="40" fontId="7" fillId="0" borderId="0" xfId="0" applyNumberFormat="1" applyFont="1" applyFill="1" applyAlignment="1"/>
    <xf numFmtId="0" fontId="6" fillId="2" borderId="3" xfId="0" applyFont="1" applyFill="1" applyBorder="1"/>
    <xf numFmtId="10" fontId="0" fillId="2" borderId="4" xfId="0" applyNumberFormat="1" applyFill="1" applyBorder="1"/>
    <xf numFmtId="40" fontId="0" fillId="2" borderId="4" xfId="0" applyNumberFormat="1" applyFill="1" applyBorder="1"/>
    <xf numFmtId="40" fontId="0" fillId="2" borderId="5" xfId="0" applyNumberFormat="1" applyFill="1" applyBorder="1" applyAlignment="1"/>
    <xf numFmtId="0" fontId="3" fillId="2" borderId="6" xfId="0" applyFont="1" applyFill="1" applyBorder="1"/>
    <xf numFmtId="10" fontId="0" fillId="2" borderId="0" xfId="0" applyNumberFormat="1" applyFill="1" applyBorder="1"/>
    <xf numFmtId="40" fontId="0" fillId="2" borderId="0" xfId="0" applyNumberFormat="1" applyFill="1" applyBorder="1"/>
    <xf numFmtId="40" fontId="0" fillId="2" borderId="7" xfId="0" applyNumberFormat="1" applyFill="1" applyBorder="1" applyAlignment="1"/>
    <xf numFmtId="0" fontId="1" fillId="2" borderId="6" xfId="0" applyFont="1" applyFill="1" applyBorder="1"/>
    <xf numFmtId="0" fontId="0" fillId="2" borderId="6" xfId="0" applyFill="1" applyBorder="1"/>
    <xf numFmtId="40" fontId="3" fillId="2" borderId="0" xfId="0" applyNumberFormat="1" applyFont="1" applyFill="1" applyBorder="1" applyAlignment="1">
      <alignment horizontal="right"/>
    </xf>
    <xf numFmtId="40" fontId="3" fillId="2" borderId="7" xfId="0" applyNumberFormat="1" applyFont="1" applyFill="1" applyBorder="1" applyAlignment="1">
      <alignment horizontal="right"/>
    </xf>
    <xf numFmtId="40" fontId="0" fillId="2" borderId="2" xfId="0" applyNumberFormat="1" applyFill="1" applyBorder="1"/>
    <xf numFmtId="10" fontId="3" fillId="2" borderId="0" xfId="0" applyNumberFormat="1" applyFont="1" applyFill="1" applyBorder="1"/>
    <xf numFmtId="10" fontId="1" fillId="2" borderId="0" xfId="0" applyNumberFormat="1" applyFont="1" applyFill="1" applyBorder="1"/>
    <xf numFmtId="40" fontId="10" fillId="2" borderId="0" xfId="0" applyNumberFormat="1" applyFont="1" applyFill="1" applyBorder="1" applyAlignment="1"/>
    <xf numFmtId="40" fontId="0" fillId="2" borderId="8" xfId="0" applyNumberFormat="1" applyFill="1" applyBorder="1" applyAlignment="1"/>
    <xf numFmtId="40" fontId="1" fillId="2" borderId="0" xfId="0" applyNumberFormat="1" applyFont="1" applyFill="1" applyBorder="1" applyAlignment="1">
      <alignment horizontal="right"/>
    </xf>
    <xf numFmtId="0" fontId="0" fillId="2" borderId="9" xfId="0" applyFill="1" applyBorder="1"/>
    <xf numFmtId="10" fontId="0" fillId="2" borderId="2" xfId="0" applyNumberFormat="1" applyFill="1" applyBorder="1"/>
    <xf numFmtId="44" fontId="0" fillId="0" borderId="0" xfId="0" applyNumberFormat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5" fontId="0" fillId="0" borderId="0" xfId="0" applyNumberFormat="1" applyFill="1" applyBorder="1"/>
    <xf numFmtId="40" fontId="4" fillId="0" borderId="0" xfId="0" applyNumberFormat="1" applyFont="1" applyAlignment="1">
      <alignment wrapText="1"/>
    </xf>
    <xf numFmtId="0" fontId="12" fillId="0" borderId="0" xfId="0" applyFont="1" applyFill="1"/>
    <xf numFmtId="10" fontId="11" fillId="0" borderId="0" xfId="0" applyNumberFormat="1" applyFont="1" applyFill="1"/>
    <xf numFmtId="40" fontId="1" fillId="0" borderId="0" xfId="0" applyNumberFormat="1" applyFont="1" applyFill="1" applyAlignment="1"/>
    <xf numFmtId="44" fontId="0" fillId="0" borderId="0" xfId="3" applyFont="1" applyFill="1"/>
    <xf numFmtId="40" fontId="1" fillId="2" borderId="0" xfId="0" applyNumberFormat="1" applyFont="1" applyFill="1" applyBorder="1"/>
    <xf numFmtId="166" fontId="0" fillId="2" borderId="7" xfId="0" applyNumberFormat="1" applyFill="1" applyBorder="1" applyAlignment="1"/>
    <xf numFmtId="38" fontId="0" fillId="2" borderId="7" xfId="0" applyNumberFormat="1" applyFill="1" applyBorder="1" applyAlignment="1"/>
    <xf numFmtId="40" fontId="13" fillId="2" borderId="0" xfId="0" applyNumberFormat="1" applyFont="1" applyFill="1" applyBorder="1"/>
    <xf numFmtId="38" fontId="0" fillId="2" borderId="0" xfId="0" applyNumberFormat="1" applyFill="1" applyBorder="1"/>
    <xf numFmtId="38" fontId="0" fillId="2" borderId="10" xfId="0" applyNumberFormat="1" applyFill="1" applyBorder="1"/>
    <xf numFmtId="38" fontId="0" fillId="2" borderId="2" xfId="0" applyNumberFormat="1" applyFill="1" applyBorder="1"/>
    <xf numFmtId="0" fontId="0" fillId="2" borderId="0" xfId="0" applyNumberFormat="1" applyFill="1" applyBorder="1"/>
    <xf numFmtId="38" fontId="0" fillId="2" borderId="8" xfId="0" applyNumberFormat="1" applyFill="1" applyBorder="1" applyAlignment="1"/>
    <xf numFmtId="38" fontId="0" fillId="0" borderId="0" xfId="0" applyNumberFormat="1" applyFill="1" applyBorder="1"/>
    <xf numFmtId="38" fontId="1" fillId="2" borderId="2" xfId="0" applyNumberFormat="1" applyFont="1" applyFill="1" applyBorder="1"/>
    <xf numFmtId="38" fontId="3" fillId="2" borderId="7" xfId="0" applyNumberFormat="1" applyFont="1" applyFill="1" applyBorder="1" applyAlignment="1"/>
    <xf numFmtId="38" fontId="0" fillId="4" borderId="0" xfId="0" applyNumberFormat="1" applyFill="1" applyBorder="1"/>
    <xf numFmtId="40" fontId="0" fillId="4" borderId="0" xfId="0" applyNumberFormat="1" applyFill="1"/>
    <xf numFmtId="10" fontId="0" fillId="4" borderId="0" xfId="0" applyNumberFormat="1" applyFill="1" applyBorder="1"/>
    <xf numFmtId="38" fontId="0" fillId="4" borderId="2" xfId="0" applyNumberFormat="1" applyFill="1" applyBorder="1"/>
    <xf numFmtId="38" fontId="0" fillId="4" borderId="1" xfId="0" applyNumberFormat="1" applyFill="1" applyBorder="1"/>
    <xf numFmtId="0" fontId="15" fillId="0" borderId="0" xfId="0" applyFont="1"/>
    <xf numFmtId="0" fontId="1" fillId="0" borderId="0" xfId="0" applyFont="1" applyBorder="1"/>
    <xf numFmtId="0" fontId="0" fillId="0" borderId="0" xfId="0" applyBorder="1"/>
    <xf numFmtId="0" fontId="3" fillId="0" borderId="0" xfId="0" applyFont="1" applyBorder="1"/>
    <xf numFmtId="0" fontId="1" fillId="0" borderId="0" xfId="0" applyFon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3" fillId="0" borderId="14" xfId="0" applyFont="1" applyFill="1" applyBorder="1"/>
    <xf numFmtId="0" fontId="3" fillId="0" borderId="15" xfId="0" applyFont="1" applyFill="1" applyBorder="1" applyAlignment="1">
      <alignment wrapText="1"/>
    </xf>
    <xf numFmtId="165" fontId="3" fillId="0" borderId="16" xfId="0" applyNumberFormat="1" applyFont="1" applyFill="1" applyBorder="1" applyAlignment="1">
      <alignment wrapText="1"/>
    </xf>
    <xf numFmtId="0" fontId="1" fillId="0" borderId="17" xfId="0" applyFont="1" applyFill="1" applyBorder="1"/>
    <xf numFmtId="165" fontId="0" fillId="0" borderId="18" xfId="0" applyNumberFormat="1" applyFill="1" applyBorder="1"/>
    <xf numFmtId="0" fontId="1" fillId="0" borderId="19" xfId="0" applyFont="1" applyFill="1" applyBorder="1"/>
    <xf numFmtId="165" fontId="0" fillId="0" borderId="20" xfId="0" applyNumberFormat="1" applyFill="1" applyBorder="1"/>
    <xf numFmtId="165" fontId="1" fillId="0" borderId="18" xfId="0" applyNumberFormat="1" applyFont="1" applyFill="1" applyBorder="1"/>
    <xf numFmtId="165" fontId="1" fillId="0" borderId="20" xfId="0" applyNumberFormat="1" applyFont="1" applyFill="1" applyBorder="1"/>
    <xf numFmtId="0" fontId="16" fillId="0" borderId="0" xfId="0" applyFont="1"/>
    <xf numFmtId="49" fontId="0" fillId="5" borderId="0" xfId="0" applyNumberFormat="1" applyFill="1" applyBorder="1"/>
    <xf numFmtId="40" fontId="1" fillId="5" borderId="0" xfId="0" applyNumberFormat="1" applyFont="1" applyFill="1"/>
    <xf numFmtId="40" fontId="0" fillId="5" borderId="0" xfId="0" applyNumberFormat="1" applyFill="1" applyBorder="1"/>
    <xf numFmtId="40" fontId="1" fillId="5" borderId="2" xfId="0" applyNumberFormat="1" applyFont="1" applyFill="1" applyBorder="1"/>
    <xf numFmtId="0" fontId="16" fillId="0" borderId="0" xfId="0" applyFont="1" applyBorder="1"/>
    <xf numFmtId="0" fontId="17" fillId="0" borderId="0" xfId="0" applyFont="1"/>
    <xf numFmtId="40" fontId="1" fillId="4" borderId="0" xfId="0" applyNumberFormat="1" applyFont="1" applyFill="1"/>
    <xf numFmtId="40" fontId="0" fillId="3" borderId="0" xfId="0" applyNumberFormat="1" applyFill="1"/>
    <xf numFmtId="0" fontId="1" fillId="2" borderId="0" xfId="0" applyFont="1" applyFill="1" applyBorder="1"/>
    <xf numFmtId="10" fontId="0" fillId="3" borderId="0" xfId="0" applyNumberFormat="1" applyFill="1" applyBorder="1"/>
    <xf numFmtId="40" fontId="7" fillId="0" borderId="0" xfId="0" applyNumberFormat="1" applyFont="1" applyFill="1" applyBorder="1" applyAlignment="1"/>
    <xf numFmtId="40" fontId="0" fillId="0" borderId="7" xfId="0" applyNumberFormat="1" applyFill="1" applyBorder="1" applyAlignment="1"/>
    <xf numFmtId="0" fontId="1" fillId="0" borderId="6" xfId="0" applyFont="1" applyFill="1" applyBorder="1"/>
    <xf numFmtId="10" fontId="0" fillId="0" borderId="0" xfId="0" applyNumberFormat="1" applyFill="1" applyBorder="1"/>
    <xf numFmtId="38" fontId="15" fillId="0" borderId="2" xfId="0" applyNumberFormat="1" applyFont="1" applyFill="1" applyBorder="1"/>
    <xf numFmtId="38" fontId="0" fillId="0" borderId="2" xfId="0" applyNumberFormat="1" applyFill="1" applyBorder="1"/>
    <xf numFmtId="40" fontId="0" fillId="0" borderId="0" xfId="0" applyNumberFormat="1" applyFill="1" applyBorder="1"/>
    <xf numFmtId="0" fontId="1" fillId="6" borderId="1" xfId="0" applyFont="1" applyFill="1" applyBorder="1"/>
    <xf numFmtId="10" fontId="0" fillId="6" borderId="0" xfId="0" applyNumberFormat="1" applyFill="1" applyBorder="1"/>
    <xf numFmtId="40" fontId="0" fillId="6" borderId="0" xfId="0" applyNumberFormat="1" applyFill="1" applyBorder="1"/>
    <xf numFmtId="164" fontId="0" fillId="6" borderId="0" xfId="0" applyNumberFormat="1" applyFill="1" applyBorder="1"/>
    <xf numFmtId="38" fontId="0" fillId="6" borderId="1" xfId="0" applyNumberFormat="1" applyFill="1" applyBorder="1"/>
    <xf numFmtId="40" fontId="0" fillId="6" borderId="7" xfId="0" applyNumberFormat="1" applyFill="1" applyBorder="1" applyAlignment="1"/>
    <xf numFmtId="40" fontId="4" fillId="6" borderId="6" xfId="0" applyNumberFormat="1" applyFont="1" applyFill="1" applyBorder="1" applyAlignment="1">
      <alignment wrapText="1"/>
    </xf>
    <xf numFmtId="10" fontId="5" fillId="6" borderId="0" xfId="0" quotePrefix="1" applyNumberFormat="1" applyFont="1" applyFill="1" applyBorder="1"/>
    <xf numFmtId="40" fontId="5" fillId="6" borderId="0" xfId="0" applyNumberFormat="1" applyFont="1" applyFill="1" applyBorder="1"/>
    <xf numFmtId="164" fontId="4" fillId="6" borderId="0" xfId="0" applyNumberFormat="1" applyFont="1" applyFill="1" applyBorder="1"/>
    <xf numFmtId="0" fontId="5" fillId="6" borderId="0" xfId="0" applyFont="1" applyFill="1" applyBorder="1"/>
    <xf numFmtId="40" fontId="10" fillId="6" borderId="7" xfId="0" applyNumberFormat="1" applyFont="1" applyFill="1" applyBorder="1" applyAlignment="1"/>
    <xf numFmtId="40" fontId="4" fillId="6" borderId="6" xfId="0" applyNumberFormat="1" applyFont="1" applyFill="1" applyBorder="1" applyAlignment="1"/>
    <xf numFmtId="10" fontId="5" fillId="6" borderId="0" xfId="0" quotePrefix="1" applyNumberFormat="1" applyFont="1" applyFill="1" applyBorder="1" applyAlignment="1"/>
    <xf numFmtId="40" fontId="5" fillId="6" borderId="0" xfId="0" applyNumberFormat="1" applyFont="1" applyFill="1" applyBorder="1" applyAlignment="1"/>
    <xf numFmtId="164" fontId="4" fillId="6" borderId="0" xfId="0" applyNumberFormat="1" applyFont="1" applyFill="1" applyBorder="1" applyAlignment="1"/>
    <xf numFmtId="40" fontId="4" fillId="6" borderId="0" xfId="0" applyNumberFormat="1" applyFont="1" applyFill="1" applyBorder="1" applyAlignment="1"/>
    <xf numFmtId="40" fontId="4" fillId="6" borderId="7" xfId="0" applyNumberFormat="1" applyFont="1" applyFill="1" applyBorder="1" applyAlignment="1"/>
    <xf numFmtId="0" fontId="0" fillId="6" borderId="6" xfId="0" applyFill="1" applyBorder="1"/>
    <xf numFmtId="0" fontId="6" fillId="6" borderId="6" xfId="0" applyFont="1" applyFill="1" applyBorder="1"/>
    <xf numFmtId="10" fontId="1" fillId="6" borderId="0" xfId="0" applyNumberFormat="1" applyFont="1" applyFill="1" applyBorder="1"/>
    <xf numFmtId="164" fontId="5" fillId="6" borderId="0" xfId="0" applyNumberFormat="1" applyFont="1" applyFill="1" applyBorder="1"/>
    <xf numFmtId="0" fontId="5" fillId="6" borderId="7" xfId="0" applyFont="1" applyFill="1" applyBorder="1"/>
    <xf numFmtId="10" fontId="5" fillId="6" borderId="0" xfId="0" applyNumberFormat="1" applyFont="1" applyFill="1" applyBorder="1"/>
    <xf numFmtId="40" fontId="2" fillId="6" borderId="6" xfId="0" applyNumberFormat="1" applyFont="1" applyFill="1" applyBorder="1"/>
    <xf numFmtId="10" fontId="5" fillId="6" borderId="0" xfId="0" applyNumberFormat="1" applyFont="1" applyFill="1" applyBorder="1" applyAlignment="1"/>
    <xf numFmtId="0" fontId="8" fillId="6" borderId="6" xfId="0" applyFont="1" applyFill="1" applyBorder="1"/>
    <xf numFmtId="164" fontId="5" fillId="6" borderId="0" xfId="0" applyNumberFormat="1" applyFont="1" applyFill="1" applyBorder="1" applyAlignment="1"/>
    <xf numFmtId="0" fontId="5" fillId="6" borderId="0" xfId="0" applyFont="1" applyFill="1" applyBorder="1" applyAlignment="1"/>
    <xf numFmtId="0" fontId="5" fillId="6" borderId="7" xfId="0" applyFont="1" applyFill="1" applyBorder="1" applyAlignment="1"/>
    <xf numFmtId="0" fontId="5" fillId="6" borderId="6" xfId="0" applyFont="1" applyFill="1" applyBorder="1"/>
    <xf numFmtId="38" fontId="0" fillId="6" borderId="1" xfId="1" applyNumberFormat="1" applyFont="1" applyFill="1" applyBorder="1" applyAlignment="1"/>
    <xf numFmtId="0" fontId="5" fillId="6" borderId="6" xfId="0" applyFont="1" applyFill="1" applyBorder="1" applyAlignment="1"/>
    <xf numFmtId="0" fontId="4" fillId="6" borderId="6" xfId="0" applyFont="1" applyFill="1" applyBorder="1"/>
    <xf numFmtId="164" fontId="0" fillId="3" borderId="0" xfId="0" applyNumberFormat="1" applyFill="1" applyBorder="1"/>
    <xf numFmtId="164" fontId="1" fillId="3" borderId="0" xfId="2" applyNumberFormat="1" applyFont="1" applyFill="1" applyBorder="1"/>
    <xf numFmtId="0" fontId="1" fillId="6" borderId="6" xfId="0" applyFont="1" applyFill="1" applyBorder="1"/>
    <xf numFmtId="38" fontId="0" fillId="6" borderId="1" xfId="3" applyNumberFormat="1" applyFont="1" applyFill="1" applyBorder="1" applyAlignment="1"/>
    <xf numFmtId="0" fontId="18" fillId="0" borderId="0" xfId="0" applyFont="1"/>
    <xf numFmtId="0" fontId="16" fillId="0" borderId="0" xfId="0" applyFont="1" applyAlignment="1">
      <alignment horizontal="left"/>
    </xf>
    <xf numFmtId="0" fontId="1" fillId="4" borderId="1" xfId="2" applyNumberFormat="1" applyFont="1" applyFill="1" applyBorder="1"/>
    <xf numFmtId="38" fontId="0" fillId="0" borderId="7" xfId="0" applyNumberFormat="1" applyFill="1" applyBorder="1" applyAlignment="1"/>
    <xf numFmtId="38" fontId="0" fillId="0" borderId="10" xfId="0" applyNumberFormat="1" applyFill="1" applyBorder="1"/>
    <xf numFmtId="38" fontId="0" fillId="4" borderId="0" xfId="0" applyNumberFormat="1" applyFill="1" applyBorder="1" applyAlignment="1"/>
    <xf numFmtId="38" fontId="0" fillId="4" borderId="8" xfId="0" applyNumberFormat="1" applyFill="1" applyBorder="1" applyAlignment="1"/>
    <xf numFmtId="38" fontId="0" fillId="0" borderId="8" xfId="0" applyNumberFormat="1" applyFill="1" applyBorder="1" applyAlignment="1"/>
    <xf numFmtId="164" fontId="0" fillId="3" borderId="0" xfId="2" applyNumberFormat="1" applyFont="1" applyFill="1" applyBorder="1"/>
    <xf numFmtId="0" fontId="19" fillId="0" borderId="0" xfId="0" applyFont="1"/>
    <xf numFmtId="38" fontId="0" fillId="4" borderId="7" xfId="0" applyNumberFormat="1" applyFill="1" applyBorder="1" applyAlignment="1"/>
    <xf numFmtId="0" fontId="16" fillId="0" borderId="0" xfId="0" applyFont="1" applyFill="1" applyBorder="1"/>
    <xf numFmtId="0" fontId="16" fillId="4" borderId="1" xfId="0" applyFont="1" applyFill="1" applyBorder="1"/>
    <xf numFmtId="38" fontId="16" fillId="4" borderId="1" xfId="0" applyNumberFormat="1" applyFont="1" applyFill="1" applyBorder="1"/>
    <xf numFmtId="0" fontId="16" fillId="4" borderId="0" xfId="0" applyFont="1" applyFill="1"/>
    <xf numFmtId="38" fontId="0" fillId="4" borderId="1" xfId="0" applyNumberFormat="1" applyFill="1" applyBorder="1" applyAlignment="1"/>
    <xf numFmtId="49" fontId="16" fillId="4" borderId="0" xfId="0" applyNumberFormat="1" applyFont="1" applyFill="1"/>
    <xf numFmtId="40" fontId="10" fillId="0" borderId="0" xfId="0" applyNumberFormat="1" applyFont="1" applyFill="1" applyAlignment="1"/>
    <xf numFmtId="40" fontId="10" fillId="0" borderId="0" xfId="0" applyNumberFormat="1" applyFont="1" applyFill="1" applyAlignment="1">
      <alignment wrapText="1"/>
    </xf>
    <xf numFmtId="0" fontId="10" fillId="0" borderId="0" xfId="0" applyFont="1" applyFill="1" applyAlignment="1"/>
    <xf numFmtId="40" fontId="4" fillId="0" borderId="0" xfId="0" applyNumberFormat="1" applyFont="1" applyFill="1" applyAlignment="1"/>
    <xf numFmtId="0" fontId="10" fillId="0" borderId="0" xfId="0" applyFont="1" applyFill="1"/>
    <xf numFmtId="40" fontId="7" fillId="0" borderId="0" xfId="0" applyNumberFormat="1" applyFont="1" applyFill="1"/>
    <xf numFmtId="0" fontId="7" fillId="0" borderId="0" xfId="0" applyFont="1" applyFill="1" applyAlignment="1"/>
    <xf numFmtId="40" fontId="2" fillId="0" borderId="0" xfId="0" applyNumberFormat="1" applyFont="1" applyFill="1"/>
    <xf numFmtId="0" fontId="5" fillId="0" borderId="0" xfId="0" applyFont="1" applyFill="1"/>
    <xf numFmtId="40" fontId="5" fillId="0" borderId="0" xfId="0" applyNumberFormat="1" applyFont="1" applyFill="1"/>
    <xf numFmtId="0" fontId="5" fillId="0" borderId="0" xfId="0" applyFont="1" applyFill="1" applyAlignment="1"/>
    <xf numFmtId="40" fontId="14" fillId="0" borderId="0" xfId="0" applyNumberFormat="1" applyFont="1" applyFill="1" applyAlignment="1"/>
    <xf numFmtId="167" fontId="0" fillId="0" borderId="0" xfId="0" applyNumberFormat="1" applyFill="1" applyAlignment="1"/>
    <xf numFmtId="40" fontId="3" fillId="0" borderId="0" xfId="0" applyNumberFormat="1" applyFont="1" applyFill="1" applyAlignment="1"/>
    <xf numFmtId="40" fontId="15" fillId="0" borderId="0" xfId="0" applyNumberFormat="1" applyFont="1" applyFill="1"/>
    <xf numFmtId="0" fontId="14" fillId="0" borderId="0" xfId="0" applyFont="1" applyFill="1"/>
    <xf numFmtId="40" fontId="15" fillId="0" borderId="0" xfId="0" applyNumberFormat="1" applyFont="1" applyFill="1" applyAlignment="1"/>
    <xf numFmtId="0" fontId="16" fillId="0" borderId="0" xfId="0" applyFont="1" applyFill="1"/>
    <xf numFmtId="0" fontId="1" fillId="0" borderId="0" xfId="2" applyNumberFormat="1" applyFont="1" applyFill="1" applyBorder="1"/>
    <xf numFmtId="49" fontId="1" fillId="5" borderId="0" xfId="0" applyNumberFormat="1" applyFont="1" applyFill="1" applyBorder="1"/>
    <xf numFmtId="40" fontId="16" fillId="0" borderId="0" xfId="0" applyNumberFormat="1" applyFont="1"/>
    <xf numFmtId="0" fontId="16" fillId="0" borderId="0" xfId="0" applyFont="1" applyAlignment="1">
      <alignment horizontal="right"/>
    </xf>
    <xf numFmtId="0" fontId="16" fillId="0" borderId="0" xfId="0" applyFont="1" applyAlignment="1"/>
    <xf numFmtId="40" fontId="0" fillId="4" borderId="0" xfId="0" applyNumberFormat="1" applyFill="1" applyBorder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24" fillId="9" borderId="24" xfId="0" applyFont="1" applyFill="1" applyBorder="1"/>
    <xf numFmtId="0" fontId="24" fillId="9" borderId="25" xfId="0" applyFont="1" applyFill="1" applyBorder="1"/>
    <xf numFmtId="0" fontId="24" fillId="9" borderId="25" xfId="0" applyFont="1" applyFill="1" applyBorder="1" applyAlignment="1">
      <alignment horizontal="center"/>
    </xf>
    <xf numFmtId="0" fontId="3" fillId="9" borderId="26" xfId="0" applyFont="1" applyFill="1" applyBorder="1" applyAlignment="1">
      <alignment horizontal="center"/>
    </xf>
    <xf numFmtId="0" fontId="25" fillId="10" borderId="0" xfId="0" applyFont="1" applyFill="1" applyAlignment="1">
      <alignment horizontal="center"/>
    </xf>
    <xf numFmtId="0" fontId="3" fillId="11" borderId="17" xfId="0" applyFont="1" applyFill="1" applyBorder="1"/>
    <xf numFmtId="0" fontId="3" fillId="11" borderId="0" xfId="0" applyFont="1" applyFill="1" applyBorder="1"/>
    <xf numFmtId="0" fontId="3" fillId="11" borderId="0" xfId="0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/>
    </xf>
    <xf numFmtId="0" fontId="16" fillId="0" borderId="17" xfId="0" applyFont="1" applyBorder="1"/>
    <xf numFmtId="0" fontId="16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3" fontId="16" fillId="12" borderId="0" xfId="0" applyNumberFormat="1" applyFont="1" applyFill="1" applyBorder="1" applyAlignment="1" applyProtection="1">
      <alignment horizontal="center"/>
      <protection locked="0"/>
    </xf>
    <xf numFmtId="3" fontId="26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right"/>
    </xf>
    <xf numFmtId="3" fontId="1" fillId="0" borderId="18" xfId="0" applyNumberFormat="1" applyFont="1" applyFill="1" applyBorder="1" applyAlignment="1">
      <alignment horizontal="right"/>
    </xf>
    <xf numFmtId="0" fontId="16" fillId="11" borderId="27" xfId="0" applyFont="1" applyFill="1" applyBorder="1"/>
    <xf numFmtId="0" fontId="16" fillId="11" borderId="1" xfId="0" applyFont="1" applyFill="1" applyBorder="1"/>
    <xf numFmtId="0" fontId="16" fillId="11" borderId="1" xfId="0" applyFont="1" applyFill="1" applyBorder="1" applyAlignment="1">
      <alignment horizontal="center"/>
    </xf>
    <xf numFmtId="3" fontId="16" fillId="11" borderId="1" xfId="0" applyNumberFormat="1" applyFont="1" applyFill="1" applyBorder="1" applyAlignment="1" applyProtection="1">
      <alignment horizontal="center"/>
      <protection locked="0"/>
    </xf>
    <xf numFmtId="3" fontId="26" fillId="11" borderId="1" xfId="0" applyNumberFormat="1" applyFont="1" applyFill="1" applyBorder="1" applyAlignment="1">
      <alignment horizontal="center"/>
    </xf>
    <xf numFmtId="3" fontId="1" fillId="11" borderId="1" xfId="0" applyNumberFormat="1" applyFont="1" applyFill="1" applyBorder="1" applyAlignment="1">
      <alignment horizontal="right"/>
    </xf>
    <xf numFmtId="3" fontId="1" fillId="11" borderId="28" xfId="0" applyNumberFormat="1" applyFont="1" applyFill="1" applyBorder="1" applyAlignment="1">
      <alignment horizontal="right"/>
    </xf>
    <xf numFmtId="3" fontId="16" fillId="0" borderId="0" xfId="0" applyNumberFormat="1" applyFont="1" applyFill="1" applyBorder="1" applyAlignment="1">
      <alignment horizontal="center"/>
    </xf>
    <xf numFmtId="3" fontId="16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right"/>
    </xf>
    <xf numFmtId="3" fontId="1" fillId="0" borderId="18" xfId="0" applyNumberFormat="1" applyFont="1" applyBorder="1" applyAlignment="1">
      <alignment horizontal="right"/>
    </xf>
    <xf numFmtId="4" fontId="21" fillId="11" borderId="29" xfId="0" applyNumberFormat="1" applyFont="1" applyFill="1" applyBorder="1" applyAlignment="1">
      <alignment horizontal="right"/>
    </xf>
    <xf numFmtId="169" fontId="27" fillId="13" borderId="30" xfId="0" applyNumberFormat="1" applyFont="1" applyFill="1" applyBorder="1" applyAlignment="1" applyProtection="1">
      <alignment horizontal="center"/>
    </xf>
    <xf numFmtId="3" fontId="28" fillId="11" borderId="31" xfId="0" applyNumberFormat="1" applyFont="1" applyFill="1" applyBorder="1" applyAlignment="1">
      <alignment horizontal="center"/>
    </xf>
    <xf numFmtId="3" fontId="16" fillId="11" borderId="1" xfId="0" applyNumberFormat="1" applyFont="1" applyFill="1" applyBorder="1" applyAlignment="1">
      <alignment horizontal="center"/>
    </xf>
    <xf numFmtId="1" fontId="25" fillId="10" borderId="0" xfId="0" applyNumberFormat="1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0" fontId="16" fillId="14" borderId="17" xfId="0" applyFont="1" applyFill="1" applyBorder="1"/>
    <xf numFmtId="0" fontId="16" fillId="14" borderId="0" xfId="0" applyFont="1" applyFill="1" applyBorder="1"/>
    <xf numFmtId="0" fontId="16" fillId="14" borderId="0" xfId="0" applyFont="1" applyFill="1" applyBorder="1" applyAlignment="1">
      <alignment horizontal="center"/>
    </xf>
    <xf numFmtId="0" fontId="16" fillId="10" borderId="0" xfId="0" applyFont="1" applyFill="1" applyBorder="1"/>
    <xf numFmtId="0" fontId="16" fillId="10" borderId="0" xfId="0" applyFont="1" applyFill="1" applyBorder="1" applyAlignment="1">
      <alignment horizontal="center"/>
    </xf>
    <xf numFmtId="0" fontId="29" fillId="10" borderId="0" xfId="0" applyFont="1" applyFill="1" applyBorder="1" applyAlignment="1">
      <alignment horizontal="center"/>
    </xf>
    <xf numFmtId="3" fontId="16" fillId="10" borderId="0" xfId="0" applyNumberFormat="1" applyFont="1" applyFill="1" applyBorder="1" applyAlignment="1">
      <alignment horizontal="center"/>
    </xf>
    <xf numFmtId="3" fontId="16" fillId="11" borderId="0" xfId="0" applyNumberFormat="1" applyFont="1" applyFill="1" applyBorder="1" applyAlignment="1">
      <alignment horizontal="center"/>
    </xf>
    <xf numFmtId="3" fontId="1" fillId="11" borderId="2" xfId="0" applyNumberFormat="1" applyFont="1" applyFill="1" applyBorder="1" applyAlignment="1">
      <alignment horizontal="right"/>
    </xf>
    <xf numFmtId="3" fontId="1" fillId="11" borderId="0" xfId="0" applyNumberFormat="1" applyFont="1" applyFill="1" applyBorder="1" applyAlignment="1">
      <alignment horizontal="right"/>
    </xf>
    <xf numFmtId="3" fontId="1" fillId="11" borderId="21" xfId="0" applyNumberFormat="1" applyFont="1" applyFill="1" applyBorder="1" applyAlignment="1">
      <alignment horizontal="right"/>
    </xf>
    <xf numFmtId="3" fontId="24" fillId="11" borderId="0" xfId="0" applyNumberFormat="1" applyFont="1" applyFill="1" applyBorder="1" applyAlignment="1">
      <alignment horizontal="right"/>
    </xf>
    <xf numFmtId="3" fontId="3" fillId="11" borderId="0" xfId="0" applyNumberFormat="1" applyFont="1" applyFill="1" applyBorder="1" applyAlignment="1">
      <alignment horizontal="right"/>
    </xf>
    <xf numFmtId="3" fontId="24" fillId="9" borderId="18" xfId="0" applyNumberFormat="1" applyFont="1" applyFill="1" applyBorder="1" applyAlignment="1">
      <alignment horizontal="right"/>
    </xf>
    <xf numFmtId="0" fontId="0" fillId="14" borderId="17" xfId="0" applyFill="1" applyBorder="1"/>
    <xf numFmtId="0" fontId="0" fillId="14" borderId="0" xfId="0" applyFill="1" applyBorder="1"/>
    <xf numFmtId="0" fontId="0" fillId="14" borderId="0" xfId="0" applyFill="1" applyBorder="1" applyAlignment="1">
      <alignment horizontal="center"/>
    </xf>
    <xf numFmtId="0" fontId="0" fillId="10" borderId="0" xfId="0" applyFill="1" applyBorder="1"/>
    <xf numFmtId="0" fontId="0" fillId="10" borderId="0" xfId="0" applyFill="1" applyBorder="1" applyAlignment="1">
      <alignment horizontal="center"/>
    </xf>
    <xf numFmtId="0" fontId="30" fillId="10" borderId="0" xfId="0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3" fontId="1" fillId="10" borderId="18" xfId="0" applyNumberFormat="1" applyFont="1" applyFill="1" applyBorder="1" applyAlignment="1">
      <alignment horizontal="right"/>
    </xf>
    <xf numFmtId="0" fontId="1" fillId="10" borderId="0" xfId="0" applyFont="1" applyFill="1" applyAlignment="1">
      <alignment horizontal="center"/>
    </xf>
    <xf numFmtId="0" fontId="1" fillId="10" borderId="0" xfId="0" applyFont="1" applyFill="1"/>
    <xf numFmtId="0" fontId="1" fillId="0" borderId="0" xfId="0" applyFont="1" applyAlignment="1">
      <alignment horizontal="center"/>
    </xf>
    <xf numFmtId="0" fontId="31" fillId="14" borderId="32" xfId="0" applyFont="1" applyFill="1" applyBorder="1" applyAlignment="1">
      <alignment horizontal="left"/>
    </xf>
    <xf numFmtId="0" fontId="31" fillId="14" borderId="33" xfId="0" applyFont="1" applyFill="1" applyBorder="1" applyAlignment="1">
      <alignment horizontal="left"/>
    </xf>
    <xf numFmtId="0" fontId="31" fillId="10" borderId="33" xfId="0" applyFont="1" applyFill="1" applyBorder="1" applyAlignment="1">
      <alignment horizontal="left"/>
    </xf>
    <xf numFmtId="0" fontId="31" fillId="10" borderId="33" xfId="0" applyFont="1" applyFill="1" applyBorder="1" applyAlignment="1">
      <alignment horizontal="center"/>
    </xf>
    <xf numFmtId="0" fontId="32" fillId="10" borderId="33" xfId="0" applyFont="1" applyFill="1" applyBorder="1" applyAlignment="1">
      <alignment horizontal="center"/>
    </xf>
    <xf numFmtId="0" fontId="31" fillId="11" borderId="33" xfId="0" applyFont="1" applyFill="1" applyBorder="1" applyAlignment="1">
      <alignment horizontal="center"/>
    </xf>
    <xf numFmtId="3" fontId="31" fillId="11" borderId="33" xfId="0" applyNumberFormat="1" applyFont="1" applyFill="1" applyBorder="1" applyAlignment="1">
      <alignment horizontal="right"/>
    </xf>
    <xf numFmtId="3" fontId="31" fillId="10" borderId="34" xfId="0" applyNumberFormat="1" applyFont="1" applyFill="1" applyBorder="1" applyAlignment="1">
      <alignment horizontal="right"/>
    </xf>
    <xf numFmtId="0" fontId="21" fillId="14" borderId="17" xfId="0" applyFont="1" applyFill="1" applyBorder="1" applyAlignment="1">
      <alignment horizontal="left"/>
    </xf>
    <xf numFmtId="0" fontId="21" fillId="14" borderId="0" xfId="0" applyFont="1" applyFill="1" applyBorder="1" applyAlignment="1">
      <alignment horizontal="left"/>
    </xf>
    <xf numFmtId="0" fontId="21" fillId="14" borderId="0" xfId="0" applyFont="1" applyFill="1" applyBorder="1" applyAlignment="1">
      <alignment horizontal="center"/>
    </xf>
    <xf numFmtId="1" fontId="21" fillId="10" borderId="0" xfId="0" applyNumberFormat="1" applyFont="1" applyFill="1" applyBorder="1" applyAlignment="1">
      <alignment horizontal="right"/>
    </xf>
    <xf numFmtId="0" fontId="21" fillId="10" borderId="0" xfId="0" applyFont="1" applyFill="1" applyBorder="1" applyAlignment="1">
      <alignment horizontal="center"/>
    </xf>
    <xf numFmtId="0" fontId="33" fillId="10" borderId="0" xfId="0" applyFont="1" applyFill="1" applyBorder="1" applyAlignment="1">
      <alignment horizontal="center"/>
    </xf>
    <xf numFmtId="0" fontId="21" fillId="11" borderId="0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70" fontId="3" fillId="14" borderId="17" xfId="0" applyNumberFormat="1" applyFont="1" applyFill="1" applyBorder="1" applyAlignment="1">
      <alignment horizontal="left"/>
    </xf>
    <xf numFmtId="3" fontId="3" fillId="12" borderId="23" xfId="0" applyNumberFormat="1" applyFont="1" applyFill="1" applyBorder="1" applyAlignment="1" applyProtection="1">
      <alignment horizontal="right"/>
      <protection locked="0"/>
    </xf>
    <xf numFmtId="0" fontId="31" fillId="14" borderId="2" xfId="0" applyFont="1" applyFill="1" applyBorder="1" applyAlignment="1">
      <alignment horizontal="center"/>
    </xf>
    <xf numFmtId="170" fontId="21" fillId="10" borderId="0" xfId="0" applyNumberFormat="1" applyFont="1" applyFill="1" applyBorder="1" applyAlignment="1">
      <alignment horizontal="left"/>
    </xf>
    <xf numFmtId="170" fontId="21" fillId="10" borderId="0" xfId="0" applyNumberFormat="1" applyFont="1" applyFill="1" applyBorder="1" applyAlignment="1">
      <alignment horizontal="center"/>
    </xf>
    <xf numFmtId="170" fontId="33" fillId="10" borderId="0" xfId="0" applyNumberFormat="1" applyFont="1" applyFill="1" applyBorder="1" applyAlignment="1">
      <alignment horizontal="center"/>
    </xf>
    <xf numFmtId="170" fontId="21" fillId="11" borderId="0" xfId="0" applyNumberFormat="1" applyFont="1" applyFill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16" fillId="10" borderId="0" xfId="0" applyFont="1" applyFill="1"/>
    <xf numFmtId="170" fontId="21" fillId="14" borderId="0" xfId="0" applyNumberFormat="1" applyFont="1" applyFill="1" applyBorder="1" applyAlignment="1">
      <alignment horizontal="left"/>
    </xf>
    <xf numFmtId="3" fontId="21" fillId="14" borderId="0" xfId="0" applyNumberFormat="1" applyFont="1" applyFill="1" applyBorder="1" applyAlignment="1">
      <alignment horizontal="center"/>
    </xf>
    <xf numFmtId="3" fontId="21" fillId="10" borderId="0" xfId="0" applyNumberFormat="1" applyFont="1" applyFill="1" applyBorder="1" applyAlignment="1">
      <alignment horizontal="left"/>
    </xf>
    <xf numFmtId="0" fontId="3" fillId="14" borderId="17" xfId="0" applyFont="1" applyFill="1" applyBorder="1" applyAlignment="1">
      <alignment horizontal="left"/>
    </xf>
    <xf numFmtId="9" fontId="33" fillId="10" borderId="0" xfId="0" applyNumberFormat="1" applyFont="1" applyFill="1" applyBorder="1" applyAlignment="1">
      <alignment horizontal="center"/>
    </xf>
    <xf numFmtId="4" fontId="33" fillId="10" borderId="0" xfId="0" applyNumberFormat="1" applyFont="1" applyFill="1" applyBorder="1" applyAlignment="1">
      <alignment horizontal="right"/>
    </xf>
    <xf numFmtId="3" fontId="1" fillId="11" borderId="0" xfId="0" applyNumberFormat="1" applyFont="1" applyFill="1" applyBorder="1"/>
    <xf numFmtId="0" fontId="3" fillId="14" borderId="17" xfId="0" applyFont="1" applyFill="1" applyBorder="1" applyAlignment="1">
      <alignment horizontal="right"/>
    </xf>
    <xf numFmtId="0" fontId="21" fillId="14" borderId="0" xfId="0" applyFont="1" applyFill="1" applyBorder="1" applyAlignment="1">
      <alignment horizontal="right"/>
    </xf>
    <xf numFmtId="3" fontId="21" fillId="10" borderId="2" xfId="0" applyNumberFormat="1" applyFont="1" applyFill="1" applyBorder="1" applyAlignment="1">
      <alignment horizontal="left"/>
    </xf>
    <xf numFmtId="0" fontId="21" fillId="10" borderId="2" xfId="0" applyFont="1" applyFill="1" applyBorder="1" applyAlignment="1">
      <alignment horizontal="center"/>
    </xf>
    <xf numFmtId="0" fontId="33" fillId="10" borderId="2" xfId="0" applyFont="1" applyFill="1" applyBorder="1" applyAlignment="1">
      <alignment horizontal="center"/>
    </xf>
    <xf numFmtId="0" fontId="21" fillId="11" borderId="2" xfId="0" applyFont="1" applyFill="1" applyBorder="1" applyAlignment="1">
      <alignment horizontal="center"/>
    </xf>
    <xf numFmtId="3" fontId="1" fillId="10" borderId="21" xfId="0" applyNumberFormat="1" applyFont="1" applyFill="1" applyBorder="1" applyAlignment="1">
      <alignment horizontal="right"/>
    </xf>
    <xf numFmtId="0" fontId="31" fillId="10" borderId="0" xfId="0" applyFont="1" applyFill="1" applyBorder="1" applyAlignment="1">
      <alignment horizontal="left"/>
    </xf>
    <xf numFmtId="0" fontId="33" fillId="10" borderId="0" xfId="0" applyFont="1" applyFill="1" applyBorder="1" applyAlignment="1" applyProtection="1">
      <alignment horizontal="center"/>
    </xf>
    <xf numFmtId="0" fontId="31" fillId="14" borderId="0" xfId="0" applyFont="1" applyFill="1" applyBorder="1" applyAlignment="1">
      <alignment horizontal="left"/>
    </xf>
    <xf numFmtId="0" fontId="31" fillId="14" borderId="0" xfId="0" applyFont="1" applyFill="1" applyBorder="1" applyAlignment="1">
      <alignment horizontal="center"/>
    </xf>
    <xf numFmtId="9" fontId="21" fillId="10" borderId="0" xfId="0" applyNumberFormat="1" applyFont="1" applyFill="1" applyBorder="1" applyAlignment="1">
      <alignment horizontal="center"/>
    </xf>
    <xf numFmtId="0" fontId="24" fillId="7" borderId="23" xfId="0" applyFont="1" applyFill="1" applyBorder="1" applyAlignment="1" applyProtection="1">
      <alignment horizontal="center"/>
      <protection locked="0"/>
    </xf>
    <xf numFmtId="0" fontId="21" fillId="10" borderId="0" xfId="0" applyFont="1" applyFill="1" applyBorder="1" applyAlignment="1">
      <alignment horizontal="left"/>
    </xf>
    <xf numFmtId="9" fontId="21" fillId="10" borderId="0" xfId="0" applyNumberFormat="1" applyFont="1" applyFill="1" applyBorder="1" applyAlignment="1" applyProtection="1">
      <alignment horizontal="center"/>
    </xf>
    <xf numFmtId="0" fontId="24" fillId="13" borderId="23" xfId="0" applyFont="1" applyFill="1" applyBorder="1" applyAlignment="1" applyProtection="1">
      <alignment horizontal="center"/>
    </xf>
    <xf numFmtId="0" fontId="21" fillId="10" borderId="0" xfId="0" applyFont="1" applyFill="1" applyBorder="1" applyAlignment="1" applyProtection="1">
      <alignment horizontal="center"/>
    </xf>
    <xf numFmtId="9" fontId="24" fillId="12" borderId="23" xfId="0" applyNumberFormat="1" applyFont="1" applyFill="1" applyBorder="1" applyAlignment="1" applyProtection="1">
      <alignment horizontal="center"/>
      <protection locked="0"/>
    </xf>
    <xf numFmtId="3" fontId="21" fillId="10" borderId="33" xfId="0" applyNumberFormat="1" applyFont="1" applyFill="1" applyBorder="1" applyAlignment="1">
      <alignment horizontal="left"/>
    </xf>
    <xf numFmtId="0" fontId="21" fillId="10" borderId="33" xfId="0" applyFont="1" applyFill="1" applyBorder="1" applyAlignment="1">
      <alignment horizontal="center"/>
    </xf>
    <xf numFmtId="0" fontId="33" fillId="10" borderId="33" xfId="0" applyFont="1" applyFill="1" applyBorder="1" applyAlignment="1" applyProtection="1">
      <alignment horizontal="center"/>
    </xf>
    <xf numFmtId="0" fontId="21" fillId="11" borderId="33" xfId="0" applyFont="1" applyFill="1" applyBorder="1" applyAlignment="1">
      <alignment horizontal="center"/>
    </xf>
    <xf numFmtId="3" fontId="1" fillId="11" borderId="33" xfId="0" applyNumberFormat="1" applyFont="1" applyFill="1" applyBorder="1" applyAlignment="1">
      <alignment horizontal="right"/>
    </xf>
    <xf numFmtId="3" fontId="1" fillId="10" borderId="34" xfId="0" applyNumberFormat="1" applyFont="1" applyFill="1" applyBorder="1" applyAlignment="1">
      <alignment horizontal="right"/>
    </xf>
    <xf numFmtId="0" fontId="31" fillId="14" borderId="35" xfId="0" applyFont="1" applyFill="1" applyBorder="1" applyAlignment="1">
      <alignment horizontal="center"/>
    </xf>
    <xf numFmtId="0" fontId="31" fillId="10" borderId="0" xfId="0" applyFont="1" applyFill="1" applyBorder="1"/>
    <xf numFmtId="0" fontId="24" fillId="12" borderId="23" xfId="0" applyFont="1" applyFill="1" applyBorder="1" applyAlignment="1" applyProtection="1">
      <alignment horizontal="center"/>
      <protection locked="0"/>
    </xf>
    <xf numFmtId="3" fontId="3" fillId="14" borderId="0" xfId="0" applyNumberFormat="1" applyFont="1" applyFill="1" applyBorder="1" applyAlignment="1" applyProtection="1">
      <alignment horizontal="right"/>
      <protection locked="0"/>
    </xf>
    <xf numFmtId="0" fontId="24" fillId="10" borderId="0" xfId="0" applyFont="1" applyFill="1" applyBorder="1" applyAlignment="1" applyProtection="1">
      <alignment horizontal="center"/>
      <protection locked="0"/>
    </xf>
    <xf numFmtId="0" fontId="31" fillId="15" borderId="0" xfId="0" applyFont="1" applyFill="1" applyBorder="1"/>
    <xf numFmtId="0" fontId="21" fillId="15" borderId="0" xfId="0" applyFont="1" applyFill="1" applyBorder="1" applyAlignment="1">
      <alignment horizontal="center"/>
    </xf>
    <xf numFmtId="0" fontId="24" fillId="15" borderId="0" xfId="0" applyFont="1" applyFill="1" applyBorder="1" applyAlignment="1" applyProtection="1">
      <alignment horizontal="center"/>
      <protection locked="0"/>
    </xf>
    <xf numFmtId="3" fontId="24" fillId="15" borderId="18" xfId="0" applyNumberFormat="1" applyFont="1" applyFill="1" applyBorder="1" applyAlignment="1">
      <alignment horizontal="right"/>
    </xf>
    <xf numFmtId="3" fontId="1" fillId="11" borderId="18" xfId="0" applyNumberFormat="1" applyFont="1" applyFill="1" applyBorder="1" applyAlignment="1">
      <alignment horizontal="right"/>
    </xf>
    <xf numFmtId="0" fontId="1" fillId="11" borderId="19" xfId="0" applyFont="1" applyFill="1" applyBorder="1"/>
    <xf numFmtId="0" fontId="1" fillId="11" borderId="22" xfId="0" applyFont="1" applyFill="1" applyBorder="1"/>
    <xf numFmtId="0" fontId="1" fillId="11" borderId="22" xfId="0" applyFont="1" applyFill="1" applyBorder="1" applyAlignment="1">
      <alignment horizontal="center"/>
    </xf>
    <xf numFmtId="1" fontId="1" fillId="11" borderId="22" xfId="0" applyNumberFormat="1" applyFont="1" applyFill="1" applyBorder="1" applyAlignment="1">
      <alignment horizontal="left"/>
    </xf>
    <xf numFmtId="4" fontId="1" fillId="11" borderId="22" xfId="0" applyNumberFormat="1" applyFont="1" applyFill="1" applyBorder="1" applyAlignment="1">
      <alignment horizontal="right"/>
    </xf>
    <xf numFmtId="4" fontId="1" fillId="11" borderId="20" xfId="0" applyNumberFormat="1" applyFont="1" applyFill="1" applyBorder="1" applyAlignment="1">
      <alignment horizontal="right"/>
    </xf>
    <xf numFmtId="0" fontId="0" fillId="14" borderId="17" xfId="0" applyFill="1" applyBorder="1" applyAlignment="1">
      <alignment horizontal="right"/>
    </xf>
    <xf numFmtId="0" fontId="0" fillId="14" borderId="18" xfId="0" applyFill="1" applyBorder="1" applyAlignment="1">
      <alignment horizontal="center"/>
    </xf>
    <xf numFmtId="0" fontId="0" fillId="15" borderId="23" xfId="0" applyFill="1" applyBorder="1" applyAlignment="1" applyProtection="1">
      <alignment horizontal="left" vertical="top"/>
      <protection locked="0"/>
    </xf>
    <xf numFmtId="171" fontId="34" fillId="15" borderId="23" xfId="0" applyNumberFormat="1" applyFont="1" applyFill="1" applyBorder="1" applyAlignment="1" applyProtection="1">
      <alignment horizontal="center" vertical="top"/>
      <protection locked="0"/>
    </xf>
    <xf numFmtId="172" fontId="34" fillId="15" borderId="36" xfId="0" applyNumberFormat="1" applyFont="1" applyFill="1" applyBorder="1" applyAlignment="1" applyProtection="1">
      <alignment horizontal="center" vertical="top"/>
      <protection locked="0"/>
    </xf>
    <xf numFmtId="0" fontId="0" fillId="14" borderId="17" xfId="0" applyFill="1" applyBorder="1" applyAlignment="1" applyProtection="1">
      <alignment horizontal="left" vertical="top"/>
    </xf>
    <xf numFmtId="171" fontId="0" fillId="14" borderId="0" xfId="0" applyNumberFormat="1" applyFill="1" applyBorder="1" applyAlignment="1" applyProtection="1">
      <alignment horizontal="center" vertical="top"/>
    </xf>
    <xf numFmtId="172" fontId="0" fillId="14" borderId="0" xfId="0" applyNumberFormat="1" applyFill="1" applyBorder="1" applyAlignment="1" applyProtection="1">
      <alignment horizontal="center" vertical="top"/>
    </xf>
    <xf numFmtId="0" fontId="0" fillId="14" borderId="19" xfId="0" applyFill="1" applyBorder="1"/>
    <xf numFmtId="0" fontId="0" fillId="14" borderId="22" xfId="0" applyFill="1" applyBorder="1"/>
    <xf numFmtId="0" fontId="0" fillId="14" borderId="22" xfId="0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73" fontId="21" fillId="0" borderId="0" xfId="0" applyNumberFormat="1" applyFont="1" applyAlignment="1">
      <alignment horizontal="center" vertical="center"/>
    </xf>
    <xf numFmtId="44" fontId="21" fillId="0" borderId="0" xfId="3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9" fillId="0" borderId="22" xfId="0" applyFont="1" applyBorder="1"/>
    <xf numFmtId="0" fontId="39" fillId="0" borderId="22" xfId="0" applyFont="1" applyBorder="1" applyAlignment="1">
      <alignment horizontal="center"/>
    </xf>
    <xf numFmtId="44" fontId="39" fillId="0" borderId="22" xfId="3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39" fillId="0" borderId="0" xfId="0" applyFont="1"/>
    <xf numFmtId="44" fontId="39" fillId="0" borderId="0" xfId="3" applyNumberFormat="1" applyFont="1"/>
    <xf numFmtId="0" fontId="39" fillId="0" borderId="0" xfId="0" applyFont="1" applyBorder="1"/>
    <xf numFmtId="0" fontId="0" fillId="8" borderId="1" xfId="0" applyFill="1" applyBorder="1"/>
    <xf numFmtId="168" fontId="0" fillId="0" borderId="0" xfId="0" applyNumberFormat="1"/>
    <xf numFmtId="44" fontId="0" fillId="0" borderId="0" xfId="3" applyNumberFormat="1" applyFont="1"/>
    <xf numFmtId="0" fontId="39" fillId="0" borderId="0" xfId="0" applyFont="1" applyFill="1" applyBorder="1"/>
    <xf numFmtId="0" fontId="0" fillId="0" borderId="22" xfId="0" applyBorder="1"/>
    <xf numFmtId="0" fontId="0" fillId="0" borderId="1" xfId="0" applyBorder="1"/>
    <xf numFmtId="44" fontId="42" fillId="7" borderId="1" xfId="3" applyFont="1" applyFill="1" applyBorder="1"/>
    <xf numFmtId="168" fontId="0" fillId="0" borderId="1" xfId="0" applyNumberFormat="1" applyBorder="1"/>
    <xf numFmtId="168" fontId="0" fillId="0" borderId="23" xfId="3" applyNumberFormat="1" applyFont="1" applyBorder="1"/>
    <xf numFmtId="168" fontId="0" fillId="0" borderId="23" xfId="0" applyNumberFormat="1" applyBorder="1"/>
    <xf numFmtId="0" fontId="21" fillId="0" borderId="1" xfId="0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wrapText="1"/>
    </xf>
    <xf numFmtId="0" fontId="0" fillId="0" borderId="0" xfId="0" applyAlignment="1">
      <alignment wrapText="1"/>
    </xf>
    <xf numFmtId="0" fontId="35" fillId="0" borderId="1" xfId="0" applyFont="1" applyFill="1" applyBorder="1" applyAlignment="1">
      <alignment horizontal="center" vertical="center"/>
    </xf>
    <xf numFmtId="44" fontId="21" fillId="0" borderId="0" xfId="3" applyFont="1" applyFill="1" applyAlignment="1">
      <alignment horizontal="center" vertical="center"/>
    </xf>
    <xf numFmtId="173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173" fontId="21" fillId="16" borderId="0" xfId="0" applyNumberFormat="1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43" fillId="0" borderId="0" xfId="4"/>
    <xf numFmtId="10" fontId="43" fillId="0" borderId="0" xfId="4" applyNumberFormat="1" applyFill="1"/>
    <xf numFmtId="10" fontId="0" fillId="0" borderId="0" xfId="5" applyNumberFormat="1" applyFont="1" applyFill="1"/>
    <xf numFmtId="0" fontId="1" fillId="0" borderId="0" xfId="4" applyFont="1"/>
    <xf numFmtId="10" fontId="0" fillId="0" borderId="0" xfId="5" applyNumberFormat="1" applyFont="1"/>
    <xf numFmtId="0" fontId="44" fillId="0" borderId="0" xfId="4" applyFont="1"/>
    <xf numFmtId="0" fontId="45" fillId="0" borderId="0" xfId="4" applyFont="1"/>
    <xf numFmtId="0" fontId="12" fillId="0" borderId="0" xfId="4" applyFont="1"/>
    <xf numFmtId="168" fontId="0" fillId="0" borderId="0" xfId="6" applyNumberFormat="1" applyFont="1"/>
    <xf numFmtId="0" fontId="43" fillId="17" borderId="0" xfId="4" applyFill="1"/>
    <xf numFmtId="0" fontId="47" fillId="0" borderId="0" xfId="4" applyFont="1" applyAlignment="1">
      <alignment horizontal="center" wrapText="1"/>
    </xf>
    <xf numFmtId="168" fontId="0" fillId="8" borderId="0" xfId="6" applyNumberFormat="1" applyFont="1" applyFill="1" applyProtection="1">
      <protection locked="0"/>
    </xf>
    <xf numFmtId="168" fontId="43" fillId="0" borderId="0" xfId="4" applyNumberFormat="1"/>
    <xf numFmtId="168" fontId="43" fillId="0" borderId="0" xfId="6" applyNumberFormat="1" applyFont="1" applyFill="1" applyProtection="1">
      <protection locked="0"/>
    </xf>
    <xf numFmtId="168" fontId="0" fillId="0" borderId="0" xfId="6" applyNumberFormat="1" applyFont="1" applyFill="1" applyProtection="1">
      <protection locked="0"/>
    </xf>
    <xf numFmtId="0" fontId="44" fillId="0" borderId="36" xfId="4" applyFont="1" applyBorder="1"/>
    <xf numFmtId="168" fontId="44" fillId="0" borderId="37" xfId="6" applyNumberFormat="1" applyFont="1" applyBorder="1"/>
    <xf numFmtId="168" fontId="44" fillId="0" borderId="23" xfId="6" applyNumberFormat="1" applyFont="1" applyBorder="1"/>
    <xf numFmtId="0" fontId="44" fillId="0" borderId="0" xfId="4" applyFont="1" applyBorder="1"/>
    <xf numFmtId="168" fontId="44" fillId="0" borderId="0" xfId="6" applyNumberFormat="1" applyFont="1" applyBorder="1"/>
    <xf numFmtId="168" fontId="44" fillId="8" borderId="37" xfId="6" applyNumberFormat="1" applyFont="1" applyFill="1" applyBorder="1"/>
    <xf numFmtId="168" fontId="44" fillId="0" borderId="37" xfId="6" applyNumberFormat="1" applyFont="1" applyFill="1" applyBorder="1"/>
    <xf numFmtId="168" fontId="44" fillId="0" borderId="38" xfId="6" applyNumberFormat="1" applyFont="1" applyBorder="1"/>
    <xf numFmtId="44" fontId="0" fillId="0" borderId="0" xfId="6" applyNumberFormat="1" applyFont="1"/>
    <xf numFmtId="168" fontId="44" fillId="0" borderId="23" xfId="6" applyNumberFormat="1" applyFont="1" applyFill="1" applyBorder="1"/>
    <xf numFmtId="44" fontId="44" fillId="0" borderId="0" xfId="4" applyNumberFormat="1" applyFont="1"/>
    <xf numFmtId="0" fontId="43" fillId="0" borderId="0" xfId="4" applyBorder="1" applyAlignment="1">
      <alignment horizontal="left"/>
    </xf>
    <xf numFmtId="9" fontId="42" fillId="8" borderId="39" xfId="2" applyFont="1" applyFill="1" applyBorder="1"/>
    <xf numFmtId="168" fontId="43" fillId="0" borderId="1" xfId="4" applyNumberFormat="1" applyFont="1" applyBorder="1"/>
    <xf numFmtId="168" fontId="43" fillId="0" borderId="1" xfId="3" applyNumberFormat="1" applyFont="1" applyBorder="1"/>
    <xf numFmtId="168" fontId="43" fillId="0" borderId="40" xfId="4" applyNumberFormat="1" applyFont="1" applyBorder="1"/>
    <xf numFmtId="0" fontId="44" fillId="18" borderId="14" xfId="4" applyFont="1" applyFill="1" applyBorder="1" applyAlignment="1">
      <alignment horizontal="center"/>
    </xf>
    <xf numFmtId="0" fontId="44" fillId="18" borderId="41" xfId="4" applyFont="1" applyFill="1" applyBorder="1" applyAlignment="1">
      <alignment horizontal="center"/>
    </xf>
    <xf numFmtId="0" fontId="44" fillId="18" borderId="16" xfId="4" applyFont="1" applyFill="1" applyBorder="1" applyAlignment="1">
      <alignment horizontal="center"/>
    </xf>
    <xf numFmtId="0" fontId="43" fillId="0" borderId="42" xfId="4" applyFont="1" applyBorder="1"/>
    <xf numFmtId="168" fontId="43" fillId="0" borderId="43" xfId="4" applyNumberFormat="1" applyFont="1" applyBorder="1"/>
    <xf numFmtId="0" fontId="43" fillId="0" borderId="27" xfId="4" applyFont="1" applyBorder="1"/>
    <xf numFmtId="168" fontId="43" fillId="0" borderId="28" xfId="4" applyNumberFormat="1" applyFont="1" applyBorder="1"/>
    <xf numFmtId="168" fontId="43" fillId="0" borderId="28" xfId="3" applyNumberFormat="1" applyFont="1" applyBorder="1"/>
    <xf numFmtId="0" fontId="48" fillId="0" borderId="44" xfId="4" applyFont="1" applyBorder="1" applyAlignment="1">
      <alignment horizontal="center"/>
    </xf>
    <xf numFmtId="168" fontId="43" fillId="0" borderId="45" xfId="4" applyNumberFormat="1" applyFont="1" applyBorder="1"/>
    <xf numFmtId="168" fontId="43" fillId="0" borderId="46" xfId="4" applyNumberFormat="1" applyFont="1" applyBorder="1"/>
    <xf numFmtId="0" fontId="48" fillId="0" borderId="47" xfId="4" applyFont="1" applyBorder="1" applyAlignment="1">
      <alignment horizontal="center"/>
    </xf>
    <xf numFmtId="168" fontId="43" fillId="0" borderId="48" xfId="4" applyNumberFormat="1" applyFont="1" applyBorder="1"/>
    <xf numFmtId="168" fontId="43" fillId="0" borderId="49" xfId="4" applyNumberFormat="1" applyFont="1" applyBorder="1"/>
    <xf numFmtId="0" fontId="44" fillId="0" borderId="2" xfId="4" applyFont="1" applyFill="1" applyBorder="1" applyAlignment="1">
      <alignment horizontal="center"/>
    </xf>
    <xf numFmtId="0" fontId="44" fillId="0" borderId="35" xfId="4" applyFont="1" applyFill="1" applyBorder="1" applyAlignment="1">
      <alignment horizontal="center"/>
    </xf>
    <xf numFmtId="0" fontId="44" fillId="0" borderId="21" xfId="4" applyFont="1" applyFill="1" applyBorder="1" applyAlignment="1">
      <alignment horizontal="center"/>
    </xf>
    <xf numFmtId="0" fontId="44" fillId="0" borderId="24" xfId="4" applyFont="1" applyBorder="1" applyAlignment="1">
      <alignment horizontal="center"/>
    </xf>
    <xf numFmtId="0" fontId="43" fillId="0" borderId="25" xfId="4" applyBorder="1"/>
    <xf numFmtId="0" fontId="43" fillId="0" borderId="26" xfId="4" applyBorder="1"/>
    <xf numFmtId="0" fontId="44" fillId="0" borderId="50" xfId="4" applyFont="1" applyBorder="1"/>
    <xf numFmtId="168" fontId="44" fillId="0" borderId="51" xfId="4" applyNumberFormat="1" applyFont="1" applyBorder="1"/>
    <xf numFmtId="168" fontId="44" fillId="0" borderId="52" xfId="4" applyNumberFormat="1" applyFont="1" applyBorder="1"/>
    <xf numFmtId="0" fontId="43" fillId="0" borderId="14" xfId="4" applyFont="1" applyBorder="1"/>
    <xf numFmtId="168" fontId="43" fillId="0" borderId="41" xfId="4" applyNumberFormat="1" applyFont="1" applyBorder="1"/>
    <xf numFmtId="168" fontId="43" fillId="0" borderId="16" xfId="4" applyNumberFormat="1" applyFont="1" applyBorder="1"/>
    <xf numFmtId="0" fontId="44" fillId="18" borderId="14" xfId="4" applyFont="1" applyFill="1" applyBorder="1"/>
    <xf numFmtId="168" fontId="44" fillId="18" borderId="41" xfId="4" applyNumberFormat="1" applyFont="1" applyFill="1" applyBorder="1"/>
    <xf numFmtId="168" fontId="44" fillId="18" borderId="16" xfId="4" applyNumberFormat="1" applyFont="1" applyFill="1" applyBorder="1"/>
    <xf numFmtId="44" fontId="0" fillId="8" borderId="0" xfId="3" applyFont="1" applyFill="1" applyProtection="1">
      <protection locked="0"/>
    </xf>
    <xf numFmtId="44" fontId="0" fillId="8" borderId="0" xfId="3" applyFont="1" applyFill="1" applyBorder="1" applyProtection="1">
      <protection locked="0"/>
    </xf>
    <xf numFmtId="44" fontId="43" fillId="0" borderId="0" xfId="3" applyFont="1" applyFill="1" applyProtection="1">
      <protection locked="0"/>
    </xf>
    <xf numFmtId="44" fontId="0" fillId="0" borderId="0" xfId="3" applyFont="1" applyFill="1" applyProtection="1">
      <protection locked="0"/>
    </xf>
    <xf numFmtId="0" fontId="44" fillId="0" borderId="0" xfId="4" applyFont="1" applyAlignment="1">
      <alignment horizontal="center"/>
    </xf>
    <xf numFmtId="173" fontId="49" fillId="19" borderId="1" xfId="0" applyNumberFormat="1" applyFont="1" applyFill="1" applyBorder="1" applyAlignment="1">
      <alignment horizontal="center" vertical="center"/>
    </xf>
    <xf numFmtId="173" fontId="49" fillId="19" borderId="0" xfId="0" applyNumberFormat="1" applyFont="1" applyFill="1" applyBorder="1" applyAlignment="1">
      <alignment horizontal="center" vertical="center"/>
    </xf>
    <xf numFmtId="173" fontId="49" fillId="19" borderId="0" xfId="0" applyNumberFormat="1" applyFont="1" applyFill="1" applyAlignment="1">
      <alignment horizontal="center" vertical="center"/>
    </xf>
    <xf numFmtId="44" fontId="0" fillId="19" borderId="0" xfId="3" applyNumberFormat="1" applyFont="1" applyFill="1"/>
    <xf numFmtId="44" fontId="50" fillId="19" borderId="0" xfId="3" applyNumberFormat="1" applyFont="1" applyFill="1"/>
    <xf numFmtId="0" fontId="51" fillId="0" borderId="22" xfId="0" applyFont="1" applyBorder="1" applyAlignment="1">
      <alignment horizontal="center"/>
    </xf>
    <xf numFmtId="10" fontId="0" fillId="0" borderId="0" xfId="2" applyNumberFormat="1" applyFont="1"/>
    <xf numFmtId="165" fontId="0" fillId="0" borderId="13" xfId="0" applyNumberFormat="1" applyFill="1" applyBorder="1"/>
    <xf numFmtId="165" fontId="1" fillId="0" borderId="13" xfId="0" applyNumberFormat="1" applyFont="1" applyFill="1" applyBorder="1"/>
    <xf numFmtId="10" fontId="43" fillId="0" borderId="0" xfId="2" applyNumberFormat="1" applyFont="1"/>
    <xf numFmtId="10" fontId="0" fillId="0" borderId="0" xfId="2" applyNumberFormat="1" applyFont="1" applyFill="1"/>
    <xf numFmtId="10" fontId="43" fillId="0" borderId="0" xfId="2" applyNumberFormat="1" applyFont="1" applyFill="1"/>
    <xf numFmtId="40" fontId="4" fillId="0" borderId="0" xfId="0" applyNumberFormat="1" applyFont="1" applyAlignment="1">
      <alignment wrapText="1"/>
    </xf>
    <xf numFmtId="0" fontId="46" fillId="0" borderId="36" xfId="4" applyFont="1" applyBorder="1" applyAlignment="1">
      <alignment horizontal="center"/>
    </xf>
    <xf numFmtId="0" fontId="46" fillId="0" borderId="37" xfId="4" applyFont="1" applyBorder="1" applyAlignment="1">
      <alignment horizontal="center"/>
    </xf>
    <xf numFmtId="0" fontId="46" fillId="0" borderId="38" xfId="4" applyFont="1" applyBorder="1" applyAlignment="1">
      <alignment horizontal="center"/>
    </xf>
    <xf numFmtId="0" fontId="1" fillId="15" borderId="29" xfId="0" applyFont="1" applyFill="1" applyBorder="1" applyAlignment="1" applyProtection="1">
      <alignment horizontal="left" vertical="top" wrapText="1"/>
      <protection locked="0"/>
    </xf>
    <xf numFmtId="0" fontId="1" fillId="15" borderId="30" xfId="0" applyFont="1" applyFill="1" applyBorder="1" applyAlignment="1" applyProtection="1">
      <alignment horizontal="left" vertical="top" wrapText="1"/>
      <protection locked="0"/>
    </xf>
    <xf numFmtId="0" fontId="1" fillId="0" borderId="31" xfId="0" applyFont="1" applyBorder="1" applyAlignment="1" applyProtection="1">
      <alignment wrapText="1"/>
      <protection locked="0"/>
    </xf>
    <xf numFmtId="0" fontId="1" fillId="15" borderId="17" xfId="0" applyFont="1" applyFill="1" applyBorder="1" applyAlignment="1" applyProtection="1">
      <alignment horizontal="left" vertical="top" wrapText="1"/>
      <protection locked="0"/>
    </xf>
    <xf numFmtId="0" fontId="1" fillId="15" borderId="0" xfId="0" applyFont="1" applyFill="1" applyBorder="1" applyAlignment="1" applyProtection="1">
      <alignment horizontal="left" vertical="top" wrapText="1"/>
      <protection locked="0"/>
    </xf>
    <xf numFmtId="0" fontId="1" fillId="0" borderId="18" xfId="0" applyFont="1" applyBorder="1" applyAlignment="1" applyProtection="1">
      <alignment wrapText="1"/>
      <protection locked="0"/>
    </xf>
    <xf numFmtId="0" fontId="1" fillId="15" borderId="19" xfId="0" applyFont="1" applyFill="1" applyBorder="1" applyAlignment="1" applyProtection="1">
      <alignment horizontal="left" vertical="top" wrapText="1"/>
      <protection locked="0"/>
    </xf>
    <xf numFmtId="0" fontId="1" fillId="15" borderId="22" xfId="0" applyFont="1" applyFill="1" applyBorder="1" applyAlignment="1" applyProtection="1">
      <alignment horizontal="left" vertical="top" wrapText="1"/>
      <protection locked="0"/>
    </xf>
    <xf numFmtId="0" fontId="1" fillId="0" borderId="20" xfId="0" applyFont="1" applyBorder="1" applyAlignment="1" applyProtection="1">
      <alignment wrapText="1"/>
      <protection locked="0"/>
    </xf>
    <xf numFmtId="0" fontId="31" fillId="14" borderId="17" xfId="0" applyFont="1" applyFill="1" applyBorder="1" applyAlignment="1">
      <alignment horizontal="center" vertical="top"/>
    </xf>
    <xf numFmtId="0" fontId="31" fillId="0" borderId="0" xfId="0" applyFont="1" applyBorder="1" applyAlignment="1">
      <alignment horizontal="center" vertical="top"/>
    </xf>
    <xf numFmtId="0" fontId="31" fillId="0" borderId="18" xfId="0" applyFont="1" applyBorder="1" applyAlignment="1">
      <alignment horizontal="center" vertical="top"/>
    </xf>
    <xf numFmtId="173" fontId="37" fillId="0" borderId="0" xfId="0" applyNumberFormat="1" applyFont="1" applyAlignment="1">
      <alignment horizontal="center" vertical="center"/>
    </xf>
    <xf numFmtId="173" fontId="38" fillId="0" borderId="0" xfId="0" applyNumberFormat="1" applyFont="1" applyAlignment="1">
      <alignment horizontal="center" vertical="center"/>
    </xf>
    <xf numFmtId="3" fontId="0" fillId="8" borderId="1" xfId="0" applyNumberFormat="1" applyFill="1" applyBorder="1"/>
  </cellXfs>
  <cellStyles count="7">
    <cellStyle name="Comma" xfId="1" builtinId="3"/>
    <cellStyle name="Currency" xfId="3" builtinId="4"/>
    <cellStyle name="Currency 2" xfId="6" xr:uid="{0AABA93D-FBD8-4A8B-B15D-27A3059AD832}"/>
    <cellStyle name="Normal" xfId="0" builtinId="0"/>
    <cellStyle name="Normal 2" xfId="4" xr:uid="{D9AD02F3-3827-413F-AAAB-41510BCA425B}"/>
    <cellStyle name="Percent" xfId="2" builtinId="5"/>
    <cellStyle name="Percent 2" xfId="5" xr:uid="{E92251EE-8CC2-415C-A4CD-9AB8F34D0764}"/>
  </cellStyles>
  <dxfs count="0"/>
  <tableStyles count="0" defaultTableStyle="TableStyleMedium2" defaultPivotStyle="PivotStyleLight16"/>
  <colors>
    <mruColors>
      <color rgb="FF66FFFF"/>
      <color rgb="FFFFFF99"/>
      <color rgb="FFCC20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G20" sqref="G20"/>
    </sheetView>
  </sheetViews>
  <sheetFormatPr defaultRowHeight="12.75" x14ac:dyDescent="0.2"/>
  <cols>
    <col min="1" max="1" width="4.5703125" style="89" customWidth="1"/>
    <col min="2" max="2" width="38" bestFit="1" customWidth="1"/>
    <col min="3" max="3" width="9.5703125" bestFit="1" customWidth="1"/>
    <col min="4" max="4" width="10.140625" style="64" customWidth="1"/>
    <col min="5" max="5" width="2" style="62" customWidth="1"/>
    <col min="241" max="241" width="38" bestFit="1" customWidth="1"/>
    <col min="242" max="242" width="68.140625" bestFit="1" customWidth="1"/>
    <col min="243" max="243" width="29.7109375" bestFit="1" customWidth="1"/>
    <col min="244" max="244" width="10.85546875" customWidth="1"/>
    <col min="250" max="250" width="10.140625" customWidth="1"/>
    <col min="497" max="497" width="38" bestFit="1" customWidth="1"/>
    <col min="498" max="498" width="68.140625" bestFit="1" customWidth="1"/>
    <col min="499" max="499" width="29.7109375" bestFit="1" customWidth="1"/>
    <col min="500" max="500" width="10.85546875" customWidth="1"/>
    <col min="506" max="506" width="10.140625" customWidth="1"/>
    <col min="753" max="753" width="38" bestFit="1" customWidth="1"/>
    <col min="754" max="754" width="68.140625" bestFit="1" customWidth="1"/>
    <col min="755" max="755" width="29.7109375" bestFit="1" customWidth="1"/>
    <col min="756" max="756" width="10.85546875" customWidth="1"/>
    <col min="762" max="762" width="10.140625" customWidth="1"/>
    <col min="1009" max="1009" width="38" bestFit="1" customWidth="1"/>
    <col min="1010" max="1010" width="68.140625" bestFit="1" customWidth="1"/>
    <col min="1011" max="1011" width="29.7109375" bestFit="1" customWidth="1"/>
    <col min="1012" max="1012" width="10.85546875" customWidth="1"/>
    <col min="1018" max="1018" width="10.140625" customWidth="1"/>
    <col min="1265" max="1265" width="38" bestFit="1" customWidth="1"/>
    <col min="1266" max="1266" width="68.140625" bestFit="1" customWidth="1"/>
    <col min="1267" max="1267" width="29.7109375" bestFit="1" customWidth="1"/>
    <col min="1268" max="1268" width="10.85546875" customWidth="1"/>
    <col min="1274" max="1274" width="10.140625" customWidth="1"/>
    <col min="1521" max="1521" width="38" bestFit="1" customWidth="1"/>
    <col min="1522" max="1522" width="68.140625" bestFit="1" customWidth="1"/>
    <col min="1523" max="1523" width="29.7109375" bestFit="1" customWidth="1"/>
    <col min="1524" max="1524" width="10.85546875" customWidth="1"/>
    <col min="1530" max="1530" width="10.140625" customWidth="1"/>
    <col min="1777" max="1777" width="38" bestFit="1" customWidth="1"/>
    <col min="1778" max="1778" width="68.140625" bestFit="1" customWidth="1"/>
    <col min="1779" max="1779" width="29.7109375" bestFit="1" customWidth="1"/>
    <col min="1780" max="1780" width="10.85546875" customWidth="1"/>
    <col min="1786" max="1786" width="10.140625" customWidth="1"/>
    <col min="2033" max="2033" width="38" bestFit="1" customWidth="1"/>
    <col min="2034" max="2034" width="68.140625" bestFit="1" customWidth="1"/>
    <col min="2035" max="2035" width="29.7109375" bestFit="1" customWidth="1"/>
    <col min="2036" max="2036" width="10.85546875" customWidth="1"/>
    <col min="2042" max="2042" width="10.140625" customWidth="1"/>
    <col min="2289" max="2289" width="38" bestFit="1" customWidth="1"/>
    <col min="2290" max="2290" width="68.140625" bestFit="1" customWidth="1"/>
    <col min="2291" max="2291" width="29.7109375" bestFit="1" customWidth="1"/>
    <col min="2292" max="2292" width="10.85546875" customWidth="1"/>
    <col min="2298" max="2298" width="10.140625" customWidth="1"/>
    <col min="2545" max="2545" width="38" bestFit="1" customWidth="1"/>
    <col min="2546" max="2546" width="68.140625" bestFit="1" customWidth="1"/>
    <col min="2547" max="2547" width="29.7109375" bestFit="1" customWidth="1"/>
    <col min="2548" max="2548" width="10.85546875" customWidth="1"/>
    <col min="2554" max="2554" width="10.140625" customWidth="1"/>
    <col min="2801" max="2801" width="38" bestFit="1" customWidth="1"/>
    <col min="2802" max="2802" width="68.140625" bestFit="1" customWidth="1"/>
    <col min="2803" max="2803" width="29.7109375" bestFit="1" customWidth="1"/>
    <col min="2804" max="2804" width="10.85546875" customWidth="1"/>
    <col min="2810" max="2810" width="10.140625" customWidth="1"/>
    <col min="3057" max="3057" width="38" bestFit="1" customWidth="1"/>
    <col min="3058" max="3058" width="68.140625" bestFit="1" customWidth="1"/>
    <col min="3059" max="3059" width="29.7109375" bestFit="1" customWidth="1"/>
    <col min="3060" max="3060" width="10.85546875" customWidth="1"/>
    <col min="3066" max="3066" width="10.140625" customWidth="1"/>
    <col min="3313" max="3313" width="38" bestFit="1" customWidth="1"/>
    <col min="3314" max="3314" width="68.140625" bestFit="1" customWidth="1"/>
    <col min="3315" max="3315" width="29.7109375" bestFit="1" customWidth="1"/>
    <col min="3316" max="3316" width="10.85546875" customWidth="1"/>
    <col min="3322" max="3322" width="10.140625" customWidth="1"/>
    <col min="3569" max="3569" width="38" bestFit="1" customWidth="1"/>
    <col min="3570" max="3570" width="68.140625" bestFit="1" customWidth="1"/>
    <col min="3571" max="3571" width="29.7109375" bestFit="1" customWidth="1"/>
    <col min="3572" max="3572" width="10.85546875" customWidth="1"/>
    <col min="3578" max="3578" width="10.140625" customWidth="1"/>
    <col min="3825" max="3825" width="38" bestFit="1" customWidth="1"/>
    <col min="3826" max="3826" width="68.140625" bestFit="1" customWidth="1"/>
    <col min="3827" max="3827" width="29.7109375" bestFit="1" customWidth="1"/>
    <col min="3828" max="3828" width="10.85546875" customWidth="1"/>
    <col min="3834" max="3834" width="10.140625" customWidth="1"/>
    <col min="4081" max="4081" width="38" bestFit="1" customWidth="1"/>
    <col min="4082" max="4082" width="68.140625" bestFit="1" customWidth="1"/>
    <col min="4083" max="4083" width="29.7109375" bestFit="1" customWidth="1"/>
    <col min="4084" max="4084" width="10.85546875" customWidth="1"/>
    <col min="4090" max="4090" width="10.140625" customWidth="1"/>
    <col min="4337" max="4337" width="38" bestFit="1" customWidth="1"/>
    <col min="4338" max="4338" width="68.140625" bestFit="1" customWidth="1"/>
    <col min="4339" max="4339" width="29.7109375" bestFit="1" customWidth="1"/>
    <col min="4340" max="4340" width="10.85546875" customWidth="1"/>
    <col min="4346" max="4346" width="10.140625" customWidth="1"/>
    <col min="4593" max="4593" width="38" bestFit="1" customWidth="1"/>
    <col min="4594" max="4594" width="68.140625" bestFit="1" customWidth="1"/>
    <col min="4595" max="4595" width="29.7109375" bestFit="1" customWidth="1"/>
    <col min="4596" max="4596" width="10.85546875" customWidth="1"/>
    <col min="4602" max="4602" width="10.140625" customWidth="1"/>
    <col min="4849" max="4849" width="38" bestFit="1" customWidth="1"/>
    <col min="4850" max="4850" width="68.140625" bestFit="1" customWidth="1"/>
    <col min="4851" max="4851" width="29.7109375" bestFit="1" customWidth="1"/>
    <col min="4852" max="4852" width="10.85546875" customWidth="1"/>
    <col min="4858" max="4858" width="10.140625" customWidth="1"/>
    <col min="5105" max="5105" width="38" bestFit="1" customWidth="1"/>
    <col min="5106" max="5106" width="68.140625" bestFit="1" customWidth="1"/>
    <col min="5107" max="5107" width="29.7109375" bestFit="1" customWidth="1"/>
    <col min="5108" max="5108" width="10.85546875" customWidth="1"/>
    <col min="5114" max="5114" width="10.140625" customWidth="1"/>
    <col min="5361" max="5361" width="38" bestFit="1" customWidth="1"/>
    <col min="5362" max="5362" width="68.140625" bestFit="1" customWidth="1"/>
    <col min="5363" max="5363" width="29.7109375" bestFit="1" customWidth="1"/>
    <col min="5364" max="5364" width="10.85546875" customWidth="1"/>
    <col min="5370" max="5370" width="10.140625" customWidth="1"/>
    <col min="5617" max="5617" width="38" bestFit="1" customWidth="1"/>
    <col min="5618" max="5618" width="68.140625" bestFit="1" customWidth="1"/>
    <col min="5619" max="5619" width="29.7109375" bestFit="1" customWidth="1"/>
    <col min="5620" max="5620" width="10.85546875" customWidth="1"/>
    <col min="5626" max="5626" width="10.140625" customWidth="1"/>
    <col min="5873" max="5873" width="38" bestFit="1" customWidth="1"/>
    <col min="5874" max="5874" width="68.140625" bestFit="1" customWidth="1"/>
    <col min="5875" max="5875" width="29.7109375" bestFit="1" customWidth="1"/>
    <col min="5876" max="5876" width="10.85546875" customWidth="1"/>
    <col min="5882" max="5882" width="10.140625" customWidth="1"/>
    <col min="6129" max="6129" width="38" bestFit="1" customWidth="1"/>
    <col min="6130" max="6130" width="68.140625" bestFit="1" customWidth="1"/>
    <col min="6131" max="6131" width="29.7109375" bestFit="1" customWidth="1"/>
    <col min="6132" max="6132" width="10.85546875" customWidth="1"/>
    <col min="6138" max="6138" width="10.140625" customWidth="1"/>
    <col min="6385" max="6385" width="38" bestFit="1" customWidth="1"/>
    <col min="6386" max="6386" width="68.140625" bestFit="1" customWidth="1"/>
    <col min="6387" max="6387" width="29.7109375" bestFit="1" customWidth="1"/>
    <col min="6388" max="6388" width="10.85546875" customWidth="1"/>
    <col min="6394" max="6394" width="10.140625" customWidth="1"/>
    <col min="6641" max="6641" width="38" bestFit="1" customWidth="1"/>
    <col min="6642" max="6642" width="68.140625" bestFit="1" customWidth="1"/>
    <col min="6643" max="6643" width="29.7109375" bestFit="1" customWidth="1"/>
    <col min="6644" max="6644" width="10.85546875" customWidth="1"/>
    <col min="6650" max="6650" width="10.140625" customWidth="1"/>
    <col min="6897" max="6897" width="38" bestFit="1" customWidth="1"/>
    <col min="6898" max="6898" width="68.140625" bestFit="1" customWidth="1"/>
    <col min="6899" max="6899" width="29.7109375" bestFit="1" customWidth="1"/>
    <col min="6900" max="6900" width="10.85546875" customWidth="1"/>
    <col min="6906" max="6906" width="10.140625" customWidth="1"/>
    <col min="7153" max="7153" width="38" bestFit="1" customWidth="1"/>
    <col min="7154" max="7154" width="68.140625" bestFit="1" customWidth="1"/>
    <col min="7155" max="7155" width="29.7109375" bestFit="1" customWidth="1"/>
    <col min="7156" max="7156" width="10.85546875" customWidth="1"/>
    <col min="7162" max="7162" width="10.140625" customWidth="1"/>
    <col min="7409" max="7409" width="38" bestFit="1" customWidth="1"/>
    <col min="7410" max="7410" width="68.140625" bestFit="1" customWidth="1"/>
    <col min="7411" max="7411" width="29.7109375" bestFit="1" customWidth="1"/>
    <col min="7412" max="7412" width="10.85546875" customWidth="1"/>
    <col min="7418" max="7418" width="10.140625" customWidth="1"/>
    <col min="7665" max="7665" width="38" bestFit="1" customWidth="1"/>
    <col min="7666" max="7666" width="68.140625" bestFit="1" customWidth="1"/>
    <col min="7667" max="7667" width="29.7109375" bestFit="1" customWidth="1"/>
    <col min="7668" max="7668" width="10.85546875" customWidth="1"/>
    <col min="7674" max="7674" width="10.140625" customWidth="1"/>
    <col min="7921" max="7921" width="38" bestFit="1" customWidth="1"/>
    <col min="7922" max="7922" width="68.140625" bestFit="1" customWidth="1"/>
    <col min="7923" max="7923" width="29.7109375" bestFit="1" customWidth="1"/>
    <col min="7924" max="7924" width="10.85546875" customWidth="1"/>
    <col min="7930" max="7930" width="10.140625" customWidth="1"/>
    <col min="8177" max="8177" width="38" bestFit="1" customWidth="1"/>
    <col min="8178" max="8178" width="68.140625" bestFit="1" customWidth="1"/>
    <col min="8179" max="8179" width="29.7109375" bestFit="1" customWidth="1"/>
    <col min="8180" max="8180" width="10.85546875" customWidth="1"/>
    <col min="8186" max="8186" width="10.140625" customWidth="1"/>
    <col min="8433" max="8433" width="38" bestFit="1" customWidth="1"/>
    <col min="8434" max="8434" width="68.140625" bestFit="1" customWidth="1"/>
    <col min="8435" max="8435" width="29.7109375" bestFit="1" customWidth="1"/>
    <col min="8436" max="8436" width="10.85546875" customWidth="1"/>
    <col min="8442" max="8442" width="10.140625" customWidth="1"/>
    <col min="8689" max="8689" width="38" bestFit="1" customWidth="1"/>
    <col min="8690" max="8690" width="68.140625" bestFit="1" customWidth="1"/>
    <col min="8691" max="8691" width="29.7109375" bestFit="1" customWidth="1"/>
    <col min="8692" max="8692" width="10.85546875" customWidth="1"/>
    <col min="8698" max="8698" width="10.140625" customWidth="1"/>
    <col min="8945" max="8945" width="38" bestFit="1" customWidth="1"/>
    <col min="8946" max="8946" width="68.140625" bestFit="1" customWidth="1"/>
    <col min="8947" max="8947" width="29.7109375" bestFit="1" customWidth="1"/>
    <col min="8948" max="8948" width="10.85546875" customWidth="1"/>
    <col min="8954" max="8954" width="10.140625" customWidth="1"/>
    <col min="9201" max="9201" width="38" bestFit="1" customWidth="1"/>
    <col min="9202" max="9202" width="68.140625" bestFit="1" customWidth="1"/>
    <col min="9203" max="9203" width="29.7109375" bestFit="1" customWidth="1"/>
    <col min="9204" max="9204" width="10.85546875" customWidth="1"/>
    <col min="9210" max="9210" width="10.140625" customWidth="1"/>
    <col min="9457" max="9457" width="38" bestFit="1" customWidth="1"/>
    <col min="9458" max="9458" width="68.140625" bestFit="1" customWidth="1"/>
    <col min="9459" max="9459" width="29.7109375" bestFit="1" customWidth="1"/>
    <col min="9460" max="9460" width="10.85546875" customWidth="1"/>
    <col min="9466" max="9466" width="10.140625" customWidth="1"/>
    <col min="9713" max="9713" width="38" bestFit="1" customWidth="1"/>
    <col min="9714" max="9714" width="68.140625" bestFit="1" customWidth="1"/>
    <col min="9715" max="9715" width="29.7109375" bestFit="1" customWidth="1"/>
    <col min="9716" max="9716" width="10.85546875" customWidth="1"/>
    <col min="9722" max="9722" width="10.140625" customWidth="1"/>
    <col min="9969" max="9969" width="38" bestFit="1" customWidth="1"/>
    <col min="9970" max="9970" width="68.140625" bestFit="1" customWidth="1"/>
    <col min="9971" max="9971" width="29.7109375" bestFit="1" customWidth="1"/>
    <col min="9972" max="9972" width="10.85546875" customWidth="1"/>
    <col min="9978" max="9978" width="10.140625" customWidth="1"/>
    <col min="10225" max="10225" width="38" bestFit="1" customWidth="1"/>
    <col min="10226" max="10226" width="68.140625" bestFit="1" customWidth="1"/>
    <col min="10227" max="10227" width="29.7109375" bestFit="1" customWidth="1"/>
    <col min="10228" max="10228" width="10.85546875" customWidth="1"/>
    <col min="10234" max="10234" width="10.140625" customWidth="1"/>
    <col min="10481" max="10481" width="38" bestFit="1" customWidth="1"/>
    <col min="10482" max="10482" width="68.140625" bestFit="1" customWidth="1"/>
    <col min="10483" max="10483" width="29.7109375" bestFit="1" customWidth="1"/>
    <col min="10484" max="10484" width="10.85546875" customWidth="1"/>
    <col min="10490" max="10490" width="10.140625" customWidth="1"/>
    <col min="10737" max="10737" width="38" bestFit="1" customWidth="1"/>
    <col min="10738" max="10738" width="68.140625" bestFit="1" customWidth="1"/>
    <col min="10739" max="10739" width="29.7109375" bestFit="1" customWidth="1"/>
    <col min="10740" max="10740" width="10.85546875" customWidth="1"/>
    <col min="10746" max="10746" width="10.140625" customWidth="1"/>
    <col min="10993" max="10993" width="38" bestFit="1" customWidth="1"/>
    <col min="10994" max="10994" width="68.140625" bestFit="1" customWidth="1"/>
    <col min="10995" max="10995" width="29.7109375" bestFit="1" customWidth="1"/>
    <col min="10996" max="10996" width="10.85546875" customWidth="1"/>
    <col min="11002" max="11002" width="10.140625" customWidth="1"/>
    <col min="11249" max="11249" width="38" bestFit="1" customWidth="1"/>
    <col min="11250" max="11250" width="68.140625" bestFit="1" customWidth="1"/>
    <col min="11251" max="11251" width="29.7109375" bestFit="1" customWidth="1"/>
    <col min="11252" max="11252" width="10.85546875" customWidth="1"/>
    <col min="11258" max="11258" width="10.140625" customWidth="1"/>
    <col min="11505" max="11505" width="38" bestFit="1" customWidth="1"/>
    <col min="11506" max="11506" width="68.140625" bestFit="1" customWidth="1"/>
    <col min="11507" max="11507" width="29.7109375" bestFit="1" customWidth="1"/>
    <col min="11508" max="11508" width="10.85546875" customWidth="1"/>
    <col min="11514" max="11514" width="10.140625" customWidth="1"/>
    <col min="11761" max="11761" width="38" bestFit="1" customWidth="1"/>
    <col min="11762" max="11762" width="68.140625" bestFit="1" customWidth="1"/>
    <col min="11763" max="11763" width="29.7109375" bestFit="1" customWidth="1"/>
    <col min="11764" max="11764" width="10.85546875" customWidth="1"/>
    <col min="11770" max="11770" width="10.140625" customWidth="1"/>
    <col min="12017" max="12017" width="38" bestFit="1" customWidth="1"/>
    <col min="12018" max="12018" width="68.140625" bestFit="1" customWidth="1"/>
    <col min="12019" max="12019" width="29.7109375" bestFit="1" customWidth="1"/>
    <col min="12020" max="12020" width="10.85546875" customWidth="1"/>
    <col min="12026" max="12026" width="10.140625" customWidth="1"/>
    <col min="12273" max="12273" width="38" bestFit="1" customWidth="1"/>
    <col min="12274" max="12274" width="68.140625" bestFit="1" customWidth="1"/>
    <col min="12275" max="12275" width="29.7109375" bestFit="1" customWidth="1"/>
    <col min="12276" max="12276" width="10.85546875" customWidth="1"/>
    <col min="12282" max="12282" width="10.140625" customWidth="1"/>
    <col min="12529" max="12529" width="38" bestFit="1" customWidth="1"/>
    <col min="12530" max="12530" width="68.140625" bestFit="1" customWidth="1"/>
    <col min="12531" max="12531" width="29.7109375" bestFit="1" customWidth="1"/>
    <col min="12532" max="12532" width="10.85546875" customWidth="1"/>
    <col min="12538" max="12538" width="10.140625" customWidth="1"/>
    <col min="12785" max="12785" width="38" bestFit="1" customWidth="1"/>
    <col min="12786" max="12786" width="68.140625" bestFit="1" customWidth="1"/>
    <col min="12787" max="12787" width="29.7109375" bestFit="1" customWidth="1"/>
    <col min="12788" max="12788" width="10.85546875" customWidth="1"/>
    <col min="12794" max="12794" width="10.140625" customWidth="1"/>
    <col min="13041" max="13041" width="38" bestFit="1" customWidth="1"/>
    <col min="13042" max="13042" width="68.140625" bestFit="1" customWidth="1"/>
    <col min="13043" max="13043" width="29.7109375" bestFit="1" customWidth="1"/>
    <col min="13044" max="13044" width="10.85546875" customWidth="1"/>
    <col min="13050" max="13050" width="10.140625" customWidth="1"/>
    <col min="13297" max="13297" width="38" bestFit="1" customWidth="1"/>
    <col min="13298" max="13298" width="68.140625" bestFit="1" customWidth="1"/>
    <col min="13299" max="13299" width="29.7109375" bestFit="1" customWidth="1"/>
    <col min="13300" max="13300" width="10.85546875" customWidth="1"/>
    <col min="13306" max="13306" width="10.140625" customWidth="1"/>
    <col min="13553" max="13553" width="38" bestFit="1" customWidth="1"/>
    <col min="13554" max="13554" width="68.140625" bestFit="1" customWidth="1"/>
    <col min="13555" max="13555" width="29.7109375" bestFit="1" customWidth="1"/>
    <col min="13556" max="13556" width="10.85546875" customWidth="1"/>
    <col min="13562" max="13562" width="10.140625" customWidth="1"/>
    <col min="13809" max="13809" width="38" bestFit="1" customWidth="1"/>
    <col min="13810" max="13810" width="68.140625" bestFit="1" customWidth="1"/>
    <col min="13811" max="13811" width="29.7109375" bestFit="1" customWidth="1"/>
    <col min="13812" max="13812" width="10.85546875" customWidth="1"/>
    <col min="13818" max="13818" width="10.140625" customWidth="1"/>
    <col min="14065" max="14065" width="38" bestFit="1" customWidth="1"/>
    <col min="14066" max="14066" width="68.140625" bestFit="1" customWidth="1"/>
    <col min="14067" max="14067" width="29.7109375" bestFit="1" customWidth="1"/>
    <col min="14068" max="14068" width="10.85546875" customWidth="1"/>
    <col min="14074" max="14074" width="10.140625" customWidth="1"/>
    <col min="14321" max="14321" width="38" bestFit="1" customWidth="1"/>
    <col min="14322" max="14322" width="68.140625" bestFit="1" customWidth="1"/>
    <col min="14323" max="14323" width="29.7109375" bestFit="1" customWidth="1"/>
    <col min="14324" max="14324" width="10.85546875" customWidth="1"/>
    <col min="14330" max="14330" width="10.140625" customWidth="1"/>
    <col min="14577" max="14577" width="38" bestFit="1" customWidth="1"/>
    <col min="14578" max="14578" width="68.140625" bestFit="1" customWidth="1"/>
    <col min="14579" max="14579" width="29.7109375" bestFit="1" customWidth="1"/>
    <col min="14580" max="14580" width="10.85546875" customWidth="1"/>
    <col min="14586" max="14586" width="10.140625" customWidth="1"/>
    <col min="14833" max="14833" width="38" bestFit="1" customWidth="1"/>
    <col min="14834" max="14834" width="68.140625" bestFit="1" customWidth="1"/>
    <col min="14835" max="14835" width="29.7109375" bestFit="1" customWidth="1"/>
    <col min="14836" max="14836" width="10.85546875" customWidth="1"/>
    <col min="14842" max="14842" width="10.140625" customWidth="1"/>
    <col min="15089" max="15089" width="38" bestFit="1" customWidth="1"/>
    <col min="15090" max="15090" width="68.140625" bestFit="1" customWidth="1"/>
    <col min="15091" max="15091" width="29.7109375" bestFit="1" customWidth="1"/>
    <col min="15092" max="15092" width="10.85546875" customWidth="1"/>
    <col min="15098" max="15098" width="10.140625" customWidth="1"/>
    <col min="15345" max="15345" width="38" bestFit="1" customWidth="1"/>
    <col min="15346" max="15346" width="68.140625" bestFit="1" customWidth="1"/>
    <col min="15347" max="15347" width="29.7109375" bestFit="1" customWidth="1"/>
    <col min="15348" max="15348" width="10.85546875" customWidth="1"/>
    <col min="15354" max="15354" width="10.140625" customWidth="1"/>
    <col min="15601" max="15601" width="38" bestFit="1" customWidth="1"/>
    <col min="15602" max="15602" width="68.140625" bestFit="1" customWidth="1"/>
    <col min="15603" max="15603" width="29.7109375" bestFit="1" customWidth="1"/>
    <col min="15604" max="15604" width="10.85546875" customWidth="1"/>
    <col min="15610" max="15610" width="10.140625" customWidth="1"/>
    <col min="15857" max="15857" width="38" bestFit="1" customWidth="1"/>
    <col min="15858" max="15858" width="68.140625" bestFit="1" customWidth="1"/>
    <col min="15859" max="15859" width="29.7109375" bestFit="1" customWidth="1"/>
    <col min="15860" max="15860" width="10.85546875" customWidth="1"/>
    <col min="15866" max="15866" width="10.140625" customWidth="1"/>
    <col min="16113" max="16113" width="38" bestFit="1" customWidth="1"/>
    <col min="16114" max="16114" width="68.140625" bestFit="1" customWidth="1"/>
    <col min="16115" max="16115" width="29.7109375" bestFit="1" customWidth="1"/>
    <col min="16116" max="16116" width="10.85546875" customWidth="1"/>
    <col min="16122" max="16122" width="10.140625" customWidth="1"/>
  </cols>
  <sheetData>
    <row r="1" spans="1:5" x14ac:dyDescent="0.2">
      <c r="A1" s="88"/>
      <c r="B1" t="s">
        <v>71</v>
      </c>
    </row>
    <row r="2" spans="1:5" x14ac:dyDescent="0.2">
      <c r="B2" t="s">
        <v>72</v>
      </c>
    </row>
    <row r="3" spans="1:5" ht="13.5" thickBot="1" x14ac:dyDescent="0.25"/>
    <row r="4" spans="1:5" ht="13.5" thickBot="1" x14ac:dyDescent="0.25">
      <c r="A4" s="90"/>
      <c r="B4" s="95" t="s">
        <v>28</v>
      </c>
      <c r="C4" s="96" t="s">
        <v>29</v>
      </c>
      <c r="D4" s="97" t="s">
        <v>73</v>
      </c>
    </row>
    <row r="5" spans="1:5" x14ac:dyDescent="0.2">
      <c r="A5" s="91"/>
      <c r="B5" s="98" t="s">
        <v>4</v>
      </c>
      <c r="C5" s="92" t="s">
        <v>31</v>
      </c>
      <c r="D5" s="99">
        <v>1</v>
      </c>
    </row>
    <row r="6" spans="1:5" x14ac:dyDescent="0.2">
      <c r="A6" s="91"/>
      <c r="B6" s="98" t="s">
        <v>4</v>
      </c>
      <c r="C6" s="93" t="s">
        <v>32</v>
      </c>
      <c r="D6" s="99">
        <v>1</v>
      </c>
    </row>
    <row r="7" spans="1:5" ht="13.5" thickBot="1" x14ac:dyDescent="0.25">
      <c r="A7" s="91"/>
      <c r="B7" s="100" t="s">
        <v>4</v>
      </c>
      <c r="C7" s="94" t="s">
        <v>33</v>
      </c>
      <c r="D7" s="101">
        <v>1</v>
      </c>
    </row>
    <row r="8" spans="1:5" s="17" customFormat="1" x14ac:dyDescent="0.2">
      <c r="A8" s="91"/>
      <c r="B8" s="98" t="s">
        <v>37</v>
      </c>
      <c r="C8" s="92" t="s">
        <v>31</v>
      </c>
      <c r="D8" s="99">
        <v>0.184</v>
      </c>
      <c r="E8" s="62"/>
    </row>
    <row r="9" spans="1:5" s="17" customFormat="1" x14ac:dyDescent="0.2">
      <c r="A9" s="91"/>
      <c r="B9" s="98" t="s">
        <v>37</v>
      </c>
      <c r="C9" s="93" t="s">
        <v>32</v>
      </c>
      <c r="D9" s="99">
        <v>0.184</v>
      </c>
      <c r="E9" s="62"/>
    </row>
    <row r="10" spans="1:5" s="17" customFormat="1" ht="13.5" thickBot="1" x14ac:dyDescent="0.25">
      <c r="A10" s="91"/>
      <c r="B10" s="100" t="s">
        <v>37</v>
      </c>
      <c r="C10" s="94" t="s">
        <v>33</v>
      </c>
      <c r="D10" s="459">
        <v>0.184</v>
      </c>
      <c r="E10" s="62"/>
    </row>
    <row r="11" spans="1:5" s="17" customFormat="1" x14ac:dyDescent="0.2">
      <c r="A11" s="91"/>
      <c r="B11" s="98" t="s">
        <v>30</v>
      </c>
      <c r="C11" s="92" t="s">
        <v>31</v>
      </c>
      <c r="D11" s="99">
        <v>3.3000000000000002E-2</v>
      </c>
      <c r="E11" s="62"/>
    </row>
    <row r="12" spans="1:5" s="17" customFormat="1" x14ac:dyDescent="0.2">
      <c r="A12" s="91"/>
      <c r="B12" s="98" t="s">
        <v>30</v>
      </c>
      <c r="C12" s="93" t="s">
        <v>32</v>
      </c>
      <c r="D12" s="99">
        <v>3.3000000000000002E-2</v>
      </c>
      <c r="E12" s="62"/>
    </row>
    <row r="13" spans="1:5" s="17" customFormat="1" ht="13.5" thickBot="1" x14ac:dyDescent="0.25">
      <c r="A13" s="91"/>
      <c r="B13" s="100" t="s">
        <v>30</v>
      </c>
      <c r="C13" s="94" t="s">
        <v>33</v>
      </c>
      <c r="D13" s="101">
        <v>3.3000000000000002E-2</v>
      </c>
      <c r="E13" s="62"/>
    </row>
    <row r="14" spans="1:5" s="17" customFormat="1" x14ac:dyDescent="0.2">
      <c r="A14" s="91"/>
      <c r="B14" s="98" t="s">
        <v>35</v>
      </c>
      <c r="C14" s="92" t="s">
        <v>33</v>
      </c>
      <c r="D14" s="102">
        <v>0.81</v>
      </c>
      <c r="E14" s="62"/>
    </row>
    <row r="15" spans="1:5" s="17" customFormat="1" x14ac:dyDescent="0.2">
      <c r="A15" s="91"/>
      <c r="B15" s="98" t="s">
        <v>35</v>
      </c>
      <c r="C15" s="93" t="s">
        <v>32</v>
      </c>
      <c r="D15" s="102">
        <v>0.81</v>
      </c>
      <c r="E15" s="62"/>
    </row>
    <row r="16" spans="1:5" s="17" customFormat="1" ht="13.5" thickBot="1" x14ac:dyDescent="0.25">
      <c r="A16" s="91"/>
      <c r="B16" s="100" t="s">
        <v>35</v>
      </c>
      <c r="C16" s="94" t="s">
        <v>31</v>
      </c>
      <c r="D16" s="103">
        <v>0.81</v>
      </c>
      <c r="E16" s="62"/>
    </row>
    <row r="17" spans="1:5" s="17" customFormat="1" x14ac:dyDescent="0.2">
      <c r="A17" s="91"/>
      <c r="B17" s="98" t="s">
        <v>39</v>
      </c>
      <c r="C17" s="92" t="s">
        <v>31</v>
      </c>
      <c r="D17" s="99">
        <v>8.0000000000000002E-3</v>
      </c>
      <c r="E17" s="62"/>
    </row>
    <row r="18" spans="1:5" s="17" customFormat="1" x14ac:dyDescent="0.2">
      <c r="A18" s="91"/>
      <c r="B18" s="98" t="s">
        <v>39</v>
      </c>
      <c r="C18" s="93" t="s">
        <v>32</v>
      </c>
      <c r="D18" s="99">
        <v>8.0000000000000002E-3</v>
      </c>
      <c r="E18" s="62"/>
    </row>
    <row r="19" spans="1:5" s="17" customFormat="1" ht="13.5" thickBot="1" x14ac:dyDescent="0.25">
      <c r="A19" s="91"/>
      <c r="B19" s="100" t="s">
        <v>39</v>
      </c>
      <c r="C19" s="94" t="s">
        <v>33</v>
      </c>
      <c r="D19" s="101">
        <v>8.0000000000000002E-3</v>
      </c>
      <c r="E19" s="62"/>
    </row>
    <row r="20" spans="1:5" s="17" customFormat="1" x14ac:dyDescent="0.2">
      <c r="A20" s="91"/>
      <c r="B20" s="98" t="s">
        <v>38</v>
      </c>
      <c r="C20" s="92" t="s">
        <v>31</v>
      </c>
      <c r="D20" s="99">
        <v>0.19</v>
      </c>
      <c r="E20" s="62"/>
    </row>
    <row r="21" spans="1:5" s="17" customFormat="1" x14ac:dyDescent="0.2">
      <c r="A21" s="91"/>
      <c r="B21" s="98" t="s">
        <v>38</v>
      </c>
      <c r="C21" s="93" t="s">
        <v>32</v>
      </c>
      <c r="D21" s="99">
        <v>0.19</v>
      </c>
      <c r="E21" s="62"/>
    </row>
    <row r="22" spans="1:5" s="17" customFormat="1" ht="13.5" thickBot="1" x14ac:dyDescent="0.25">
      <c r="A22" s="91"/>
      <c r="B22" s="100" t="s">
        <v>38</v>
      </c>
      <c r="C22" s="94" t="s">
        <v>33</v>
      </c>
      <c r="D22" s="101">
        <v>0.19</v>
      </c>
      <c r="E22" s="62"/>
    </row>
    <row r="23" spans="1:5" s="17" customFormat="1" x14ac:dyDescent="0.2">
      <c r="A23" s="91"/>
      <c r="B23" s="98" t="s">
        <v>24</v>
      </c>
      <c r="C23" s="92" t="s">
        <v>31</v>
      </c>
      <c r="D23" s="99">
        <v>0.12</v>
      </c>
      <c r="E23" s="62"/>
    </row>
    <row r="24" spans="1:5" s="17" customFormat="1" x14ac:dyDescent="0.2">
      <c r="A24" s="91"/>
      <c r="B24" s="98" t="s">
        <v>24</v>
      </c>
      <c r="C24" s="93" t="s">
        <v>32</v>
      </c>
      <c r="D24" s="99">
        <v>0.12</v>
      </c>
      <c r="E24" s="62"/>
    </row>
    <row r="25" spans="1:5" s="17" customFormat="1" ht="13.5" thickBot="1" x14ac:dyDescent="0.25">
      <c r="A25" s="91"/>
      <c r="B25" s="100" t="s">
        <v>24</v>
      </c>
      <c r="C25" s="94" t="s">
        <v>33</v>
      </c>
      <c r="D25" s="101">
        <v>0.12</v>
      </c>
      <c r="E25" s="62"/>
    </row>
    <row r="26" spans="1:5" x14ac:dyDescent="0.2">
      <c r="A26" s="91"/>
      <c r="B26" s="98" t="s">
        <v>40</v>
      </c>
      <c r="C26" s="92" t="s">
        <v>31</v>
      </c>
      <c r="D26" s="99">
        <v>0.4</v>
      </c>
    </row>
    <row r="27" spans="1:5" x14ac:dyDescent="0.2">
      <c r="A27" s="91"/>
      <c r="B27" s="98" t="s">
        <v>40</v>
      </c>
      <c r="C27" s="93" t="s">
        <v>32</v>
      </c>
      <c r="D27" s="99">
        <v>0.4</v>
      </c>
    </row>
    <row r="28" spans="1:5" ht="13.5" thickBot="1" x14ac:dyDescent="0.25">
      <c r="A28" s="91"/>
      <c r="B28" s="100" t="s">
        <v>40</v>
      </c>
      <c r="C28" s="94" t="s">
        <v>33</v>
      </c>
      <c r="D28" s="460">
        <v>0.4</v>
      </c>
    </row>
    <row r="29" spans="1:5" s="17" customFormat="1" x14ac:dyDescent="0.2">
      <c r="A29" s="91"/>
      <c r="B29" s="98" t="s">
        <v>34</v>
      </c>
      <c r="C29" s="92" t="s">
        <v>31</v>
      </c>
      <c r="D29" s="99">
        <v>0.157</v>
      </c>
      <c r="E29" s="63"/>
    </row>
    <row r="30" spans="1:5" s="17" customFormat="1" x14ac:dyDescent="0.2">
      <c r="A30" s="91"/>
      <c r="B30" s="98" t="s">
        <v>34</v>
      </c>
      <c r="C30" s="93" t="s">
        <v>32</v>
      </c>
      <c r="D30" s="99">
        <v>0.157</v>
      </c>
      <c r="E30" s="63"/>
    </row>
    <row r="31" spans="1:5" s="17" customFormat="1" ht="13.5" thickBot="1" x14ac:dyDescent="0.25">
      <c r="A31" s="91"/>
      <c r="B31" s="100" t="s">
        <v>34</v>
      </c>
      <c r="C31" s="94" t="s">
        <v>33</v>
      </c>
      <c r="D31" s="101">
        <v>0.157</v>
      </c>
      <c r="E31" s="63"/>
    </row>
    <row r="32" spans="1:5" s="17" customFormat="1" x14ac:dyDescent="0.2">
      <c r="A32" s="91"/>
      <c r="B32" s="98" t="s">
        <v>36</v>
      </c>
      <c r="C32" s="92" t="s">
        <v>31</v>
      </c>
      <c r="D32" s="99">
        <v>0</v>
      </c>
      <c r="E32" s="63"/>
    </row>
    <row r="33" spans="1:5" s="17" customFormat="1" x14ac:dyDescent="0.2">
      <c r="A33" s="91"/>
      <c r="B33" s="98" t="s">
        <v>36</v>
      </c>
      <c r="C33" s="93" t="s">
        <v>32</v>
      </c>
      <c r="D33" s="99">
        <v>0</v>
      </c>
      <c r="E33" s="63"/>
    </row>
    <row r="34" spans="1:5" s="17" customFormat="1" ht="13.5" thickBot="1" x14ac:dyDescent="0.25">
      <c r="A34" s="91"/>
      <c r="B34" s="100" t="s">
        <v>36</v>
      </c>
      <c r="C34" s="94" t="s">
        <v>33</v>
      </c>
      <c r="D34" s="101">
        <v>0</v>
      </c>
      <c r="E34" s="63"/>
    </row>
  </sheetData>
  <pageMargins left="0.7" right="0.2" top="0.75" bottom="0.75" header="0.3" footer="0.3"/>
  <pageSetup paperSize="1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8607-4C5A-4CB8-86DE-7488CAF9FE24}">
  <dimension ref="A1:C25"/>
  <sheetViews>
    <sheetView workbookViewId="0">
      <selection activeCell="C17" sqref="C17"/>
    </sheetView>
  </sheetViews>
  <sheetFormatPr defaultColWidth="9.140625" defaultRowHeight="12.75" x14ac:dyDescent="0.2"/>
  <cols>
    <col min="1" max="1" width="15" style="387" customWidth="1"/>
    <col min="2" max="2" width="9.140625" style="387"/>
    <col min="3" max="3" width="74.85546875" style="387" customWidth="1"/>
    <col min="4" max="16384" width="9.140625" style="387"/>
  </cols>
  <sheetData>
    <row r="1" spans="1:3" x14ac:dyDescent="0.2">
      <c r="A1" s="392" t="s">
        <v>342</v>
      </c>
    </row>
    <row r="2" spans="1:3" x14ac:dyDescent="0.2">
      <c r="A2" s="392"/>
    </row>
    <row r="3" spans="1:3" x14ac:dyDescent="0.2">
      <c r="A3" s="387" t="s">
        <v>4</v>
      </c>
      <c r="B3" s="461">
        <v>1</v>
      </c>
      <c r="C3" s="387" t="s">
        <v>4</v>
      </c>
    </row>
    <row r="4" spans="1:3" x14ac:dyDescent="0.2">
      <c r="A4" s="387" t="s">
        <v>340</v>
      </c>
      <c r="B4" s="458">
        <v>0.184</v>
      </c>
      <c r="C4" s="387" t="s">
        <v>327</v>
      </c>
    </row>
    <row r="5" spans="1:3" x14ac:dyDescent="0.2">
      <c r="A5" s="387" t="s">
        <v>339</v>
      </c>
      <c r="B5" s="458">
        <v>0.19800000000000001</v>
      </c>
      <c r="C5" s="390" t="s">
        <v>338</v>
      </c>
    </row>
    <row r="6" spans="1:3" x14ac:dyDescent="0.2">
      <c r="A6" s="387" t="s">
        <v>337</v>
      </c>
      <c r="B6" s="458">
        <v>0.06</v>
      </c>
      <c r="C6" s="390" t="s">
        <v>336</v>
      </c>
    </row>
    <row r="7" spans="1:3" x14ac:dyDescent="0.2">
      <c r="A7" s="387" t="s">
        <v>335</v>
      </c>
      <c r="B7" s="458">
        <v>0.75</v>
      </c>
      <c r="C7" s="390" t="s">
        <v>334</v>
      </c>
    </row>
    <row r="8" spans="1:3" x14ac:dyDescent="0.2">
      <c r="A8" s="387" t="s">
        <v>333</v>
      </c>
      <c r="B8" s="458">
        <v>7.4999999999999997E-3</v>
      </c>
      <c r="C8" s="390" t="s">
        <v>332</v>
      </c>
    </row>
    <row r="9" spans="1:3" x14ac:dyDescent="0.2">
      <c r="A9" s="387" t="s">
        <v>331</v>
      </c>
      <c r="B9" s="462">
        <v>0.19</v>
      </c>
      <c r="C9" s="387" t="s">
        <v>329</v>
      </c>
    </row>
    <row r="10" spans="1:3" x14ac:dyDescent="0.2">
      <c r="A10" s="387" t="s">
        <v>330</v>
      </c>
      <c r="B10" s="462">
        <v>0.12</v>
      </c>
      <c r="C10" s="387" t="s">
        <v>329</v>
      </c>
    </row>
    <row r="11" spans="1:3" x14ac:dyDescent="0.2">
      <c r="A11" s="387" t="s">
        <v>328</v>
      </c>
      <c r="B11" s="462">
        <v>0.21199999999999999</v>
      </c>
      <c r="C11" s="387" t="s">
        <v>327</v>
      </c>
    </row>
    <row r="12" spans="1:3" x14ac:dyDescent="0.2">
      <c r="A12" s="387" t="s">
        <v>326</v>
      </c>
      <c r="B12" s="463">
        <v>6.6100000000000006E-2</v>
      </c>
      <c r="C12" s="387" t="s">
        <v>325</v>
      </c>
    </row>
    <row r="13" spans="1:3" x14ac:dyDescent="0.2">
      <c r="A13" s="387" t="s">
        <v>376</v>
      </c>
      <c r="B13" s="461">
        <v>0.15709999999999999</v>
      </c>
      <c r="C13" s="387" t="s">
        <v>34</v>
      </c>
    </row>
    <row r="15" spans="1:3" x14ac:dyDescent="0.2">
      <c r="A15" s="392" t="s">
        <v>341</v>
      </c>
    </row>
    <row r="17" spans="1:3" x14ac:dyDescent="0.2">
      <c r="A17" s="387" t="s">
        <v>340</v>
      </c>
      <c r="B17" s="391">
        <v>0.184</v>
      </c>
      <c r="C17" s="387" t="s">
        <v>327</v>
      </c>
    </row>
    <row r="18" spans="1:3" x14ac:dyDescent="0.2">
      <c r="A18" s="387" t="s">
        <v>339</v>
      </c>
      <c r="B18" s="391">
        <v>0.19800000000000001</v>
      </c>
      <c r="C18" s="390" t="s">
        <v>338</v>
      </c>
    </row>
    <row r="19" spans="1:3" x14ac:dyDescent="0.2">
      <c r="A19" s="387" t="s">
        <v>337</v>
      </c>
      <c r="B19" s="391">
        <v>0.06</v>
      </c>
      <c r="C19" s="390" t="s">
        <v>336</v>
      </c>
    </row>
    <row r="20" spans="1:3" x14ac:dyDescent="0.2">
      <c r="A20" s="387" t="s">
        <v>335</v>
      </c>
      <c r="B20" s="391">
        <v>0.75</v>
      </c>
      <c r="C20" s="390" t="s">
        <v>334</v>
      </c>
    </row>
    <row r="21" spans="1:3" x14ac:dyDescent="0.2">
      <c r="A21" s="387" t="s">
        <v>333</v>
      </c>
      <c r="B21" s="391">
        <v>7.4999999999999997E-3</v>
      </c>
      <c r="C21" s="390" t="s">
        <v>332</v>
      </c>
    </row>
    <row r="22" spans="1:3" x14ac:dyDescent="0.2">
      <c r="A22" s="387" t="s">
        <v>331</v>
      </c>
      <c r="B22" s="389">
        <v>0.19</v>
      </c>
      <c r="C22" s="387" t="s">
        <v>329</v>
      </c>
    </row>
    <row r="23" spans="1:3" x14ac:dyDescent="0.2">
      <c r="A23" s="387" t="s">
        <v>330</v>
      </c>
      <c r="B23" s="389">
        <v>0.12</v>
      </c>
      <c r="C23" s="387" t="s">
        <v>329</v>
      </c>
    </row>
    <row r="24" spans="1:3" x14ac:dyDescent="0.2">
      <c r="A24" s="387" t="s">
        <v>328</v>
      </c>
      <c r="B24" s="389">
        <v>0.21199999999999999</v>
      </c>
      <c r="C24" s="387" t="s">
        <v>327</v>
      </c>
    </row>
    <row r="25" spans="1:3" x14ac:dyDescent="0.2">
      <c r="A25" s="387" t="s">
        <v>326</v>
      </c>
      <c r="B25" s="388">
        <v>6.6100000000000006E-2</v>
      </c>
      <c r="C25" s="387" t="s">
        <v>325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D59"/>
  <sheetViews>
    <sheetView zoomScaleNormal="100" workbookViewId="0">
      <selection activeCell="B23" sqref="B23"/>
    </sheetView>
  </sheetViews>
  <sheetFormatPr defaultColWidth="9.140625" defaultRowHeight="14.25" x14ac:dyDescent="0.2"/>
  <cols>
    <col min="1" max="1" width="42.7109375" style="104" customWidth="1"/>
    <col min="2" max="3" width="17.5703125" style="104" customWidth="1"/>
    <col min="4" max="4" width="16.7109375" style="104" customWidth="1"/>
    <col min="5" max="16384" width="9.140625" style="104"/>
  </cols>
  <sheetData>
    <row r="1" spans="1:4" x14ac:dyDescent="0.2">
      <c r="A1" s="104" t="s">
        <v>103</v>
      </c>
    </row>
    <row r="2" spans="1:4" x14ac:dyDescent="0.2">
      <c r="A2" s="104" t="s">
        <v>104</v>
      </c>
    </row>
    <row r="3" spans="1:4" x14ac:dyDescent="0.2">
      <c r="A3" s="104" t="s">
        <v>105</v>
      </c>
    </row>
    <row r="4" spans="1:4" x14ac:dyDescent="0.2">
      <c r="A4" s="104" t="s">
        <v>106</v>
      </c>
    </row>
    <row r="6" spans="1:4" x14ac:dyDescent="0.2">
      <c r="A6" s="104" t="s">
        <v>102</v>
      </c>
      <c r="B6" s="174" t="s">
        <v>115</v>
      </c>
      <c r="C6" s="194"/>
    </row>
    <row r="7" spans="1:4" x14ac:dyDescent="0.2">
      <c r="A7" s="104" t="s">
        <v>99</v>
      </c>
      <c r="B7" s="174" t="s">
        <v>116</v>
      </c>
      <c r="C7" s="194"/>
    </row>
    <row r="8" spans="1:4" x14ac:dyDescent="0.2">
      <c r="A8" s="104" t="s">
        <v>79</v>
      </c>
      <c r="B8" s="176" t="s">
        <v>109</v>
      </c>
      <c r="C8" s="194"/>
    </row>
    <row r="9" spans="1:4" x14ac:dyDescent="0.2">
      <c r="A9" s="104" t="s">
        <v>80</v>
      </c>
      <c r="B9" s="176" t="s">
        <v>109</v>
      </c>
    </row>
    <row r="13" spans="1:4" x14ac:dyDescent="0.2">
      <c r="A13" s="110" t="s">
        <v>82</v>
      </c>
      <c r="B13" s="104" t="s">
        <v>76</v>
      </c>
      <c r="C13" s="104" t="s">
        <v>77</v>
      </c>
      <c r="D13" s="104" t="s">
        <v>110</v>
      </c>
    </row>
    <row r="14" spans="1:4" x14ac:dyDescent="0.2">
      <c r="A14" s="104" t="s">
        <v>70</v>
      </c>
      <c r="B14" s="173">
        <f>CABLE!C35+EQUIPMENT!C46</f>
        <v>177329.19999999998</v>
      </c>
      <c r="C14" s="172">
        <v>0</v>
      </c>
      <c r="D14" s="172">
        <v>0</v>
      </c>
    </row>
    <row r="15" spans="1:4" x14ac:dyDescent="0.2">
      <c r="A15" s="104" t="s">
        <v>74</v>
      </c>
      <c r="B15" s="173">
        <f>CABLE!C34+EQUIPMENT!C45</f>
        <v>1395747.35</v>
      </c>
      <c r="C15" s="172">
        <v>0</v>
      </c>
      <c r="D15" s="172">
        <v>0</v>
      </c>
    </row>
    <row r="16" spans="1:4" x14ac:dyDescent="0.2">
      <c r="A16" s="104" t="s">
        <v>75</v>
      </c>
      <c r="B16" s="173">
        <f>CONDUIT!L71</f>
        <v>1015700</v>
      </c>
      <c r="C16" s="172">
        <v>0</v>
      </c>
      <c r="D16" s="172">
        <v>0</v>
      </c>
    </row>
    <row r="19" spans="1:3" x14ac:dyDescent="0.2">
      <c r="A19" s="110" t="s">
        <v>8</v>
      </c>
      <c r="B19" s="104" t="s">
        <v>76</v>
      </c>
    </row>
    <row r="20" spans="1:3" x14ac:dyDescent="0.2">
      <c r="A20" s="49" t="s">
        <v>70</v>
      </c>
      <c r="B20" s="173">
        <f>B14*0.1</f>
        <v>17732.919999999998</v>
      </c>
      <c r="C20" s="109"/>
    </row>
    <row r="21" spans="1:3" x14ac:dyDescent="0.2">
      <c r="A21" s="104" t="s">
        <v>74</v>
      </c>
      <c r="B21" s="173">
        <f>B15*0.1</f>
        <v>139574.73500000002</v>
      </c>
    </row>
    <row r="22" spans="1:3" x14ac:dyDescent="0.2">
      <c r="A22" s="104" t="s">
        <v>75</v>
      </c>
      <c r="B22" s="173">
        <f>B16*0.1</f>
        <v>101570</v>
      </c>
    </row>
    <row r="24" spans="1:3" x14ac:dyDescent="0.2">
      <c r="A24" s="110" t="s">
        <v>86</v>
      </c>
    </row>
    <row r="25" spans="1:3" x14ac:dyDescent="0.2">
      <c r="A25" s="49" t="s">
        <v>70</v>
      </c>
      <c r="B25" s="173">
        <v>0</v>
      </c>
    </row>
    <row r="26" spans="1:3" x14ac:dyDescent="0.2">
      <c r="A26" s="104" t="s">
        <v>83</v>
      </c>
      <c r="B26" s="173">
        <v>0</v>
      </c>
    </row>
    <row r="27" spans="1:3" x14ac:dyDescent="0.2">
      <c r="A27" s="104" t="s">
        <v>75</v>
      </c>
      <c r="B27" s="173">
        <v>0</v>
      </c>
    </row>
    <row r="30" spans="1:3" x14ac:dyDescent="0.2">
      <c r="A30" s="104" t="s">
        <v>87</v>
      </c>
      <c r="B30" s="173">
        <v>100</v>
      </c>
      <c r="C30" s="160" t="s">
        <v>117</v>
      </c>
    </row>
    <row r="31" spans="1:3" x14ac:dyDescent="0.2">
      <c r="A31" s="104" t="s">
        <v>13</v>
      </c>
      <c r="B31" s="173">
        <v>0</v>
      </c>
    </row>
    <row r="32" spans="1:3" x14ac:dyDescent="0.2">
      <c r="A32" s="104" t="s">
        <v>14</v>
      </c>
      <c r="B32" s="173">
        <v>0</v>
      </c>
    </row>
    <row r="34" spans="1:3" x14ac:dyDescent="0.2">
      <c r="A34" s="104" t="s">
        <v>88</v>
      </c>
      <c r="B34" s="172">
        <v>0</v>
      </c>
      <c r="C34" s="160"/>
    </row>
    <row r="36" spans="1:3" x14ac:dyDescent="0.2">
      <c r="A36" s="110" t="s">
        <v>89</v>
      </c>
      <c r="B36" s="199" t="s">
        <v>90</v>
      </c>
      <c r="C36" s="198" t="s">
        <v>118</v>
      </c>
    </row>
    <row r="37" spans="1:3" x14ac:dyDescent="0.2">
      <c r="A37" s="161" t="s">
        <v>92</v>
      </c>
      <c r="B37" s="172">
        <v>0</v>
      </c>
      <c r="C37" s="197">
        <f>-B37*400</f>
        <v>0</v>
      </c>
    </row>
    <row r="38" spans="1:3" x14ac:dyDescent="0.2">
      <c r="A38" s="161" t="s">
        <v>91</v>
      </c>
      <c r="B38" s="172">
        <v>0</v>
      </c>
      <c r="C38" s="197">
        <f>+B38*400</f>
        <v>0</v>
      </c>
    </row>
    <row r="39" spans="1:3" x14ac:dyDescent="0.2">
      <c r="A39" s="104" t="s">
        <v>93</v>
      </c>
      <c r="B39" s="172">
        <v>0</v>
      </c>
      <c r="C39" s="197">
        <f>+B39*100</f>
        <v>0</v>
      </c>
    </row>
    <row r="40" spans="1:3" x14ac:dyDescent="0.2">
      <c r="A40" s="104" t="s">
        <v>111</v>
      </c>
      <c r="B40" s="172">
        <v>0</v>
      </c>
      <c r="C40" s="197">
        <f>-B40*1435</f>
        <v>0</v>
      </c>
    </row>
    <row r="41" spans="1:3" x14ac:dyDescent="0.2">
      <c r="A41" s="104" t="s">
        <v>112</v>
      </c>
      <c r="B41" s="172">
        <v>0</v>
      </c>
      <c r="C41" s="197">
        <f>-B41*1026</f>
        <v>0</v>
      </c>
    </row>
    <row r="43" spans="1:3" x14ac:dyDescent="0.2">
      <c r="A43" s="110" t="s">
        <v>51</v>
      </c>
    </row>
    <row r="44" spans="1:3" x14ac:dyDescent="0.2">
      <c r="A44" s="104" t="s">
        <v>53</v>
      </c>
      <c r="B44" s="201">
        <v>0</v>
      </c>
    </row>
    <row r="45" spans="1:3" x14ac:dyDescent="0.2">
      <c r="A45" s="104" t="s">
        <v>94</v>
      </c>
      <c r="B45" s="172">
        <v>0</v>
      </c>
    </row>
    <row r="46" spans="1:3" x14ac:dyDescent="0.2">
      <c r="A46" s="104" t="s">
        <v>55</v>
      </c>
      <c r="B46" s="172">
        <v>0</v>
      </c>
    </row>
    <row r="49" spans="1:3" x14ac:dyDescent="0.2">
      <c r="A49" s="104" t="s">
        <v>95</v>
      </c>
      <c r="B49" s="172">
        <v>800000</v>
      </c>
      <c r="C49" s="104" t="s">
        <v>119</v>
      </c>
    </row>
    <row r="51" spans="1:3" x14ac:dyDescent="0.2">
      <c r="A51" s="104" t="s">
        <v>60</v>
      </c>
      <c r="B51" s="172">
        <v>0</v>
      </c>
      <c r="C51" s="104" t="s">
        <v>96</v>
      </c>
    </row>
    <row r="52" spans="1:3" x14ac:dyDescent="0.2">
      <c r="A52" s="104" t="s">
        <v>98</v>
      </c>
      <c r="B52" s="172">
        <v>0</v>
      </c>
      <c r="C52" s="104" t="s">
        <v>97</v>
      </c>
    </row>
    <row r="53" spans="1:3" s="171" customFormat="1" x14ac:dyDescent="0.2"/>
    <row r="54" spans="1:3" s="171" customFormat="1" x14ac:dyDescent="0.2">
      <c r="A54" s="171" t="s">
        <v>20</v>
      </c>
      <c r="B54" s="172">
        <v>0</v>
      </c>
    </row>
    <row r="55" spans="1:3" s="171" customFormat="1" x14ac:dyDescent="0.2">
      <c r="A55" s="91"/>
    </row>
    <row r="56" spans="1:3" s="171" customFormat="1" x14ac:dyDescent="0.2"/>
    <row r="59" spans="1:3" x14ac:dyDescent="0.2">
      <c r="A59" s="16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O111"/>
  <sheetViews>
    <sheetView workbookViewId="0">
      <pane ySplit="3" topLeftCell="A4" activePane="bottomLeft" state="frozen"/>
      <selection pane="bottomLeft" activeCell="F110" sqref="F110"/>
    </sheetView>
  </sheetViews>
  <sheetFormatPr defaultRowHeight="12.75" x14ac:dyDescent="0.2"/>
  <cols>
    <col min="1" max="1" width="48.140625" customWidth="1"/>
    <col min="2" max="2" width="13.85546875" style="2" customWidth="1"/>
    <col min="3" max="3" width="18.28515625" style="1" customWidth="1"/>
    <col min="4" max="4" width="14.42578125" style="1" customWidth="1"/>
    <col min="5" max="5" width="16.140625" style="1" customWidth="1"/>
    <col min="6" max="6" width="17.28515625" style="27" customWidth="1"/>
    <col min="7" max="7" width="0.85546875" style="28" customWidth="1"/>
    <col min="8" max="8" width="67.28515625" style="28" bestFit="1" customWidth="1"/>
    <col min="9" max="9" width="27" style="9" customWidth="1"/>
    <col min="10" max="10" width="57.5703125" customWidth="1"/>
    <col min="11" max="11" width="11.28515625" customWidth="1"/>
    <col min="12" max="12" width="10.7109375" bestFit="1" customWidth="1"/>
    <col min="13" max="13" width="10" bestFit="1" customWidth="1"/>
  </cols>
  <sheetData>
    <row r="1" spans="1:12" x14ac:dyDescent="0.2">
      <c r="A1" s="66"/>
      <c r="B1" s="67"/>
      <c r="C1" s="106" t="s">
        <v>81</v>
      </c>
      <c r="E1" s="26"/>
      <c r="F1" s="28"/>
      <c r="H1" s="68"/>
      <c r="I1" s="69"/>
      <c r="K1" s="19"/>
      <c r="L1" s="23"/>
    </row>
    <row r="2" spans="1:12" x14ac:dyDescent="0.2">
      <c r="A2" s="20" t="s">
        <v>68</v>
      </c>
      <c r="B2" s="18"/>
      <c r="C2" s="111" t="s">
        <v>107</v>
      </c>
      <c r="D2" s="83"/>
      <c r="F2" s="39"/>
      <c r="H2" s="68"/>
      <c r="I2" s="69"/>
      <c r="K2" s="19"/>
      <c r="L2" s="23"/>
    </row>
    <row r="3" spans="1:12" x14ac:dyDescent="0.2">
      <c r="A3" s="20"/>
      <c r="B3" s="18"/>
      <c r="C3" s="112" t="s">
        <v>84</v>
      </c>
      <c r="D3" s="9"/>
      <c r="E3" s="15"/>
      <c r="F3" s="39"/>
      <c r="H3" s="68"/>
      <c r="K3" s="16"/>
      <c r="L3" s="16"/>
    </row>
    <row r="4" spans="1:12" s="17" customFormat="1" x14ac:dyDescent="0.2">
      <c r="A4" s="19"/>
      <c r="B4" s="18"/>
      <c r="C4" s="9"/>
      <c r="D4" s="9"/>
      <c r="E4" s="9"/>
      <c r="F4" s="29"/>
      <c r="G4" s="29"/>
      <c r="H4" s="28"/>
      <c r="I4" s="9"/>
      <c r="K4" s="16"/>
      <c r="L4" s="16"/>
    </row>
    <row r="5" spans="1:12" x14ac:dyDescent="0.2">
      <c r="A5" s="41"/>
      <c r="B5" s="42"/>
      <c r="C5" s="43"/>
      <c r="D5" s="43"/>
      <c r="E5" s="43"/>
      <c r="F5" s="44"/>
      <c r="G5" s="30"/>
      <c r="K5" s="19"/>
      <c r="L5" s="19"/>
    </row>
    <row r="6" spans="1:12" x14ac:dyDescent="0.2">
      <c r="A6" s="45" t="s">
        <v>7</v>
      </c>
      <c r="B6" s="46"/>
      <c r="C6" s="47"/>
      <c r="D6" s="47"/>
      <c r="E6" s="47"/>
      <c r="F6" s="48"/>
      <c r="G6" s="30"/>
      <c r="K6" s="19"/>
      <c r="L6" s="19"/>
    </row>
    <row r="7" spans="1:12" x14ac:dyDescent="0.2">
      <c r="A7" s="49" t="s">
        <v>108</v>
      </c>
      <c r="B7" s="84" t="str">
        <f>+'CIAC INPUT'!B8</f>
        <v>xxxxxxxx</v>
      </c>
      <c r="C7" s="47"/>
      <c r="D7" s="47"/>
      <c r="E7" s="47"/>
      <c r="F7" s="48"/>
      <c r="G7" s="30"/>
      <c r="K7" s="19"/>
      <c r="L7" s="19"/>
    </row>
    <row r="8" spans="1:12" x14ac:dyDescent="0.2">
      <c r="A8" s="49" t="s">
        <v>101</v>
      </c>
      <c r="B8" s="84" t="str">
        <f>+'CIAC INPUT'!B6</f>
        <v>INPUT CUSTOMER NAME</v>
      </c>
      <c r="C8" s="200"/>
      <c r="D8" s="47"/>
      <c r="E8" s="47"/>
      <c r="F8" s="48"/>
      <c r="G8" s="30"/>
      <c r="K8" s="19"/>
      <c r="L8" s="23"/>
    </row>
    <row r="9" spans="1:12" s="17" customFormat="1" x14ac:dyDescent="0.2">
      <c r="A9" s="49" t="s">
        <v>100</v>
      </c>
      <c r="B9" s="84" t="str">
        <f>+'CIAC INPUT'!B7</f>
        <v>INPUT WORK ORDER DESCRIPTION</v>
      </c>
      <c r="C9" s="200"/>
      <c r="D9" s="47"/>
      <c r="E9" s="47"/>
      <c r="F9" s="48"/>
      <c r="G9" s="30"/>
      <c r="H9" s="25"/>
      <c r="I9" s="9"/>
      <c r="J9" s="23"/>
      <c r="K9" s="19"/>
      <c r="L9" s="23"/>
    </row>
    <row r="10" spans="1:12" s="17" customFormat="1" x14ac:dyDescent="0.2">
      <c r="A10" s="50"/>
      <c r="B10" s="46"/>
      <c r="C10" s="47"/>
      <c r="D10" s="47"/>
      <c r="E10" s="47"/>
      <c r="F10" s="48"/>
      <c r="G10" s="30"/>
      <c r="H10" s="28"/>
      <c r="I10" s="9"/>
      <c r="K10" s="19"/>
      <c r="L10" s="19"/>
    </row>
    <row r="11" spans="1:12" s="17" customFormat="1" x14ac:dyDescent="0.2">
      <c r="A11" s="49"/>
      <c r="B11" s="46"/>
      <c r="C11" s="51" t="s">
        <v>0</v>
      </c>
      <c r="D11" s="51" t="s">
        <v>1</v>
      </c>
      <c r="E11" s="51" t="s">
        <v>2</v>
      </c>
      <c r="F11" s="52" t="s">
        <v>3</v>
      </c>
      <c r="G11" s="31"/>
      <c r="H11" s="28"/>
      <c r="I11" s="26"/>
      <c r="K11" s="19"/>
      <c r="L11" s="19"/>
    </row>
    <row r="12" spans="1:12" s="17" customFormat="1" x14ac:dyDescent="0.2">
      <c r="A12" s="49" t="s">
        <v>78</v>
      </c>
      <c r="B12" s="105" t="str">
        <f>+'CIAC INPUT'!B8</f>
        <v>xxxxxxxx</v>
      </c>
      <c r="C12" s="107">
        <f>+'CIAC INPUT'!B14</f>
        <v>177329.19999999998</v>
      </c>
      <c r="D12" s="107">
        <f>+'CIAC INPUT'!B15</f>
        <v>1395747.35</v>
      </c>
      <c r="E12" s="107">
        <f>+'CIAC INPUT'!B16</f>
        <v>1015700</v>
      </c>
      <c r="F12" s="72">
        <f>SUM(C12:E12)</f>
        <v>2588776.5499999998</v>
      </c>
      <c r="G12" s="30"/>
      <c r="H12" s="40"/>
      <c r="I12" s="26"/>
      <c r="K12" s="19"/>
      <c r="L12" s="19"/>
    </row>
    <row r="13" spans="1:12" s="17" customFormat="1" x14ac:dyDescent="0.2">
      <c r="A13" s="49" t="s">
        <v>41</v>
      </c>
      <c r="B13" s="105" t="str">
        <f>+'CIAC INPUT'!B9</f>
        <v>xxxxxxxx</v>
      </c>
      <c r="C13" s="107">
        <f>+'CIAC INPUT'!C14</f>
        <v>0</v>
      </c>
      <c r="D13" s="107">
        <f>+'CIAC INPUT'!C15</f>
        <v>0</v>
      </c>
      <c r="E13" s="107">
        <f>+'CIAC INPUT'!C16</f>
        <v>0</v>
      </c>
      <c r="F13" s="72"/>
      <c r="G13" s="30"/>
      <c r="H13" s="40"/>
      <c r="I13" s="26"/>
      <c r="K13" s="19"/>
      <c r="L13" s="19"/>
    </row>
    <row r="14" spans="1:12" x14ac:dyDescent="0.2">
      <c r="A14" s="49" t="s">
        <v>41</v>
      </c>
      <c r="B14" s="196" t="s">
        <v>109</v>
      </c>
      <c r="C14" s="108">
        <f>+'CIAC INPUT'!D14</f>
        <v>0</v>
      </c>
      <c r="D14" s="108">
        <f>+'CIAC INPUT'!D15</f>
        <v>0</v>
      </c>
      <c r="E14" s="108">
        <f>+'CIAC INPUT'!D16</f>
        <v>0</v>
      </c>
      <c r="F14" s="72">
        <f>SUM(C14:E14)</f>
        <v>0</v>
      </c>
      <c r="G14" s="32"/>
      <c r="H14" s="40"/>
    </row>
    <row r="15" spans="1:12" x14ac:dyDescent="0.2">
      <c r="A15" s="50"/>
      <c r="B15" s="46"/>
      <c r="C15" s="74">
        <f>SUM(C12:C14)</f>
        <v>177329.19999999998</v>
      </c>
      <c r="D15" s="74">
        <f>SUM(D12:D14)</f>
        <v>1395747.35</v>
      </c>
      <c r="E15" s="74">
        <f>SUM(E12:E14)</f>
        <v>1015700</v>
      </c>
      <c r="F15" s="48"/>
      <c r="G15" s="30"/>
      <c r="H15" s="40"/>
    </row>
    <row r="16" spans="1:12" x14ac:dyDescent="0.2">
      <c r="A16" s="49" t="s">
        <v>8</v>
      </c>
      <c r="B16" s="46"/>
      <c r="C16" s="85">
        <f>+'CIAC INPUT'!B20</f>
        <v>17732.919999999998</v>
      </c>
      <c r="D16" s="85">
        <f>+'CIAC INPUT'!B21</f>
        <v>139574.73500000002</v>
      </c>
      <c r="E16" s="85">
        <f>+'CIAC INPUT'!B22</f>
        <v>101570</v>
      </c>
      <c r="F16" s="48"/>
      <c r="G16" s="30"/>
    </row>
    <row r="17" spans="1:13" x14ac:dyDescent="0.2">
      <c r="A17" s="49" t="s">
        <v>85</v>
      </c>
      <c r="B17" s="46"/>
      <c r="C17" s="79">
        <f>+C15-C16</f>
        <v>159596.27999999997</v>
      </c>
      <c r="D17" s="79">
        <f>+D15-D16</f>
        <v>1256172.615</v>
      </c>
      <c r="E17" s="79">
        <f>+E15-E16</f>
        <v>914130</v>
      </c>
      <c r="F17" s="48"/>
      <c r="G17" s="30"/>
    </row>
    <row r="18" spans="1:13" x14ac:dyDescent="0.2">
      <c r="A18" s="50"/>
      <c r="B18" s="46"/>
      <c r="C18" s="47"/>
      <c r="D18" s="47"/>
      <c r="E18" s="47"/>
      <c r="F18" s="48"/>
      <c r="G18" s="30"/>
    </row>
    <row r="19" spans="1:13" s="17" customFormat="1" x14ac:dyDescent="0.2">
      <c r="A19" s="113" t="s">
        <v>9</v>
      </c>
      <c r="B19" s="114">
        <f>+'2023 CIAC Rates'!D33</f>
        <v>0</v>
      </c>
      <c r="C19" s="74"/>
      <c r="D19" s="80">
        <f>+B19*D17</f>
        <v>0</v>
      </c>
      <c r="E19" s="74"/>
      <c r="F19" s="48"/>
      <c r="G19" s="30"/>
      <c r="H19" s="115"/>
      <c r="I19" s="9"/>
    </row>
    <row r="20" spans="1:13" s="17" customFormat="1" x14ac:dyDescent="0.2">
      <c r="A20" s="49" t="s">
        <v>42</v>
      </c>
      <c r="B20" s="46"/>
      <c r="C20" s="79">
        <f>SUM(C17:C19)</f>
        <v>159596.27999999997</v>
      </c>
      <c r="D20" s="74">
        <f>SUM(D17:D19)</f>
        <v>1256172.615</v>
      </c>
      <c r="E20" s="74">
        <f>SUM(E17:E19)</f>
        <v>914130</v>
      </c>
      <c r="F20" s="72">
        <f>SUM(C20:E20)</f>
        <v>2329898.895</v>
      </c>
      <c r="G20" s="30"/>
      <c r="H20" s="28"/>
      <c r="I20" s="9"/>
    </row>
    <row r="21" spans="1:13" x14ac:dyDescent="0.2">
      <c r="A21" s="49" t="s">
        <v>10</v>
      </c>
      <c r="B21" s="54"/>
      <c r="C21" s="74"/>
      <c r="D21" s="74"/>
      <c r="E21" s="74"/>
      <c r="F21" s="48"/>
      <c r="G21" s="30"/>
    </row>
    <row r="22" spans="1:13" x14ac:dyDescent="0.2">
      <c r="A22" s="49"/>
      <c r="B22" s="54"/>
      <c r="C22" s="74"/>
      <c r="D22" s="74"/>
      <c r="E22" s="74"/>
      <c r="F22" s="48"/>
      <c r="G22" s="30"/>
    </row>
    <row r="23" spans="1:13" x14ac:dyDescent="0.2">
      <c r="A23" s="49" t="s">
        <v>43</v>
      </c>
      <c r="B23" s="54"/>
      <c r="C23" s="82">
        <f>+'CIAC INPUT'!B25</f>
        <v>0</v>
      </c>
      <c r="D23" s="82">
        <f>+'CIAC INPUT'!B26</f>
        <v>0</v>
      </c>
      <c r="E23" s="82">
        <f>+'CIAC INPUT'!B27</f>
        <v>0</v>
      </c>
      <c r="F23" s="116"/>
      <c r="G23" s="30"/>
      <c r="H23" s="68"/>
    </row>
    <row r="24" spans="1:13" x14ac:dyDescent="0.2">
      <c r="A24" s="49" t="s">
        <v>44</v>
      </c>
      <c r="B24" s="114">
        <f>+'2023 CIAC Rates'!D34</f>
        <v>0</v>
      </c>
      <c r="C24" s="74"/>
      <c r="D24" s="76">
        <f>+B24*D23</f>
        <v>0</v>
      </c>
      <c r="E24" s="74"/>
      <c r="F24" s="48"/>
      <c r="G24" s="30"/>
    </row>
    <row r="25" spans="1:13" x14ac:dyDescent="0.2">
      <c r="A25" s="117" t="s">
        <v>45</v>
      </c>
      <c r="B25" s="118"/>
      <c r="C25" s="119"/>
      <c r="D25" s="120">
        <f>+D24+D23</f>
        <v>0</v>
      </c>
      <c r="E25" s="120"/>
      <c r="F25" s="116"/>
      <c r="G25" s="30"/>
      <c r="H25" s="68"/>
    </row>
    <row r="26" spans="1:13" x14ac:dyDescent="0.2">
      <c r="A26" s="117" t="s">
        <v>46</v>
      </c>
      <c r="B26" s="118"/>
      <c r="C26" s="79">
        <f>+C20-C23</f>
        <v>159596.27999999997</v>
      </c>
      <c r="D26" s="79">
        <f>+D20-D25</f>
        <v>1256172.615</v>
      </c>
      <c r="E26" s="79">
        <f>+E20-E23</f>
        <v>914130</v>
      </c>
      <c r="F26" s="72">
        <f>SUM(C26:E26)</f>
        <v>2329898.895</v>
      </c>
      <c r="G26" s="30"/>
      <c r="H26" s="68"/>
    </row>
    <row r="27" spans="1:13" x14ac:dyDescent="0.2">
      <c r="A27" s="117" t="s">
        <v>47</v>
      </c>
      <c r="B27" s="118"/>
      <c r="C27" s="121"/>
      <c r="D27" s="47"/>
      <c r="E27" s="47"/>
      <c r="F27" s="48"/>
      <c r="G27" s="30"/>
    </row>
    <row r="28" spans="1:13" x14ac:dyDescent="0.2">
      <c r="A28" s="49"/>
      <c r="B28" s="46"/>
      <c r="C28" s="47"/>
      <c r="D28" s="47"/>
      <c r="E28" s="47"/>
      <c r="F28" s="48"/>
      <c r="G28" s="30"/>
    </row>
    <row r="29" spans="1:13" x14ac:dyDescent="0.2">
      <c r="A29" s="49"/>
      <c r="B29" s="46"/>
      <c r="C29" s="47"/>
      <c r="D29" s="47"/>
      <c r="E29" s="47"/>
      <c r="F29" s="48"/>
      <c r="G29" s="30"/>
    </row>
    <row r="30" spans="1:13" x14ac:dyDescent="0.2">
      <c r="A30" s="122" t="s">
        <v>4</v>
      </c>
      <c r="B30" s="123"/>
      <c r="C30" s="124"/>
      <c r="D30" s="156">
        <f>'2023 CIAC Rates'!D5</f>
        <v>1</v>
      </c>
      <c r="E30" s="126">
        <f>+C26</f>
        <v>159596.27999999997</v>
      </c>
      <c r="F30" s="127"/>
      <c r="G30" s="30"/>
      <c r="H30" s="177"/>
      <c r="J30" s="61"/>
    </row>
    <row r="31" spans="1:13" s="4" customFormat="1" ht="12" x14ac:dyDescent="0.2">
      <c r="A31" s="128"/>
      <c r="B31" s="129"/>
      <c r="C31" s="130"/>
      <c r="D31" s="131"/>
      <c r="E31" s="132"/>
      <c r="F31" s="133"/>
      <c r="G31" s="33"/>
      <c r="H31" s="177"/>
      <c r="I31" s="178"/>
      <c r="J31" s="21"/>
      <c r="M31" s="5"/>
    </row>
    <row r="32" spans="1:13" s="10" customFormat="1" ht="12" x14ac:dyDescent="0.2">
      <c r="A32" s="134"/>
      <c r="B32" s="135"/>
      <c r="C32" s="136"/>
      <c r="D32" s="137"/>
      <c r="E32" s="138"/>
      <c r="F32" s="139"/>
      <c r="G32" s="34"/>
      <c r="H32" s="179"/>
      <c r="I32" s="180"/>
      <c r="J32" s="6"/>
      <c r="M32" s="11"/>
    </row>
    <row r="33" spans="1:15" x14ac:dyDescent="0.2">
      <c r="A33" s="140"/>
      <c r="B33" s="123"/>
      <c r="C33" s="124"/>
      <c r="D33" s="125"/>
      <c r="E33" s="124"/>
      <c r="F33" s="127"/>
      <c r="G33" s="30"/>
    </row>
    <row r="34" spans="1:15" x14ac:dyDescent="0.2">
      <c r="A34" s="122" t="s">
        <v>25</v>
      </c>
      <c r="B34" s="123"/>
      <c r="C34" s="124"/>
      <c r="D34" s="156">
        <f>'2023 CIAC Rates'!D8</f>
        <v>0.184</v>
      </c>
      <c r="E34" s="124"/>
      <c r="F34" s="153">
        <f>+D34*E30</f>
        <v>29365.715519999994</v>
      </c>
      <c r="G34" s="35"/>
      <c r="H34" s="177"/>
    </row>
    <row r="35" spans="1:15" s="4" customFormat="1" ht="12.75" customHeight="1" x14ac:dyDescent="0.2">
      <c r="A35" s="141"/>
      <c r="B35" s="142"/>
      <c r="C35" s="130"/>
      <c r="D35" s="143"/>
      <c r="E35" s="132"/>
      <c r="F35" s="144"/>
      <c r="G35" s="36"/>
      <c r="H35" s="181"/>
      <c r="I35" s="177"/>
      <c r="J35" s="22"/>
    </row>
    <row r="36" spans="1:15" s="4" customFormat="1" x14ac:dyDescent="0.2">
      <c r="A36" s="128"/>
      <c r="B36" s="145"/>
      <c r="C36" s="130"/>
      <c r="D36" s="143"/>
      <c r="E36" s="132"/>
      <c r="F36" s="144"/>
      <c r="G36" s="36"/>
      <c r="H36" s="40"/>
      <c r="I36" s="29"/>
      <c r="J36" s="24"/>
    </row>
    <row r="37" spans="1:15" x14ac:dyDescent="0.2">
      <c r="A37" s="146"/>
      <c r="B37" s="123"/>
      <c r="C37" s="124"/>
      <c r="D37" s="125"/>
      <c r="E37" s="124"/>
      <c r="F37" s="127"/>
      <c r="G37" s="30"/>
    </row>
    <row r="38" spans="1:15" x14ac:dyDescent="0.2">
      <c r="A38" s="122" t="s">
        <v>6</v>
      </c>
      <c r="B38" s="147"/>
      <c r="C38" s="124"/>
      <c r="D38" s="156">
        <f>'2023 CIAC Rates'!D11</f>
        <v>3.3000000000000002E-2</v>
      </c>
      <c r="E38" s="124"/>
      <c r="F38" s="153">
        <f>+D38*(E30+F34)</f>
        <v>6235.7458521599992</v>
      </c>
      <c r="G38" s="35"/>
      <c r="H38" s="177"/>
      <c r="I38" s="182"/>
      <c r="J38" s="1"/>
    </row>
    <row r="39" spans="1:15" s="10" customFormat="1" ht="12.75" customHeight="1" x14ac:dyDescent="0.2">
      <c r="A39" s="148"/>
      <c r="B39" s="145"/>
      <c r="C39" s="136"/>
      <c r="D39" s="149"/>
      <c r="E39" s="150"/>
      <c r="F39" s="151"/>
      <c r="G39" s="37"/>
      <c r="H39" s="40"/>
      <c r="I39" s="177"/>
      <c r="J39" s="22"/>
      <c r="L39" s="6"/>
      <c r="M39" s="6"/>
      <c r="N39" s="6"/>
      <c r="O39" s="6"/>
    </row>
    <row r="40" spans="1:15" s="4" customFormat="1" x14ac:dyDescent="0.2">
      <c r="A40" s="152"/>
      <c r="B40" s="132"/>
      <c r="C40" s="130"/>
      <c r="D40" s="143"/>
      <c r="E40" s="132"/>
      <c r="F40" s="144"/>
      <c r="G40" s="36"/>
      <c r="H40" s="183"/>
      <c r="I40" s="29"/>
      <c r="J40" s="24"/>
      <c r="L40" s="65"/>
      <c r="M40" s="14"/>
      <c r="N40" s="14"/>
      <c r="O40" s="14"/>
    </row>
    <row r="41" spans="1:15" x14ac:dyDescent="0.2">
      <c r="A41" s="146"/>
      <c r="B41" s="123"/>
      <c r="C41" s="124"/>
      <c r="D41" s="125"/>
      <c r="E41" s="124"/>
      <c r="F41" s="127"/>
      <c r="G41" s="30"/>
    </row>
    <row r="42" spans="1:15" x14ac:dyDescent="0.2">
      <c r="A42" s="122" t="s">
        <v>22</v>
      </c>
      <c r="B42" s="123"/>
      <c r="C42" s="124"/>
      <c r="D42" s="157">
        <f>'2023 CIAC Rates'!D14</f>
        <v>0.81</v>
      </c>
      <c r="E42" s="124"/>
      <c r="F42" s="153">
        <f>+D42*(E30+F34+F38+E26)</f>
        <v>898555.47051144962</v>
      </c>
      <c r="G42" s="35"/>
      <c r="H42" s="177"/>
      <c r="J42" s="1"/>
    </row>
    <row r="43" spans="1:15" s="10" customFormat="1" x14ac:dyDescent="0.2">
      <c r="A43" s="154"/>
      <c r="B43" s="147"/>
      <c r="C43" s="136"/>
      <c r="D43" s="149"/>
      <c r="E43" s="150"/>
      <c r="F43" s="151"/>
      <c r="G43" s="37"/>
      <c r="H43" s="40"/>
      <c r="I43" s="180"/>
      <c r="J43" s="6"/>
      <c r="L43" s="6"/>
      <c r="M43" s="6"/>
      <c r="N43" s="6"/>
      <c r="O43" s="6"/>
    </row>
    <row r="44" spans="1:15" s="4" customFormat="1" ht="15" customHeight="1" x14ac:dyDescent="0.2">
      <c r="A44" s="128"/>
      <c r="B44" s="145"/>
      <c r="C44" s="130"/>
      <c r="D44" s="143"/>
      <c r="E44" s="132"/>
      <c r="F44" s="144"/>
      <c r="G44" s="36"/>
      <c r="H44" s="183"/>
      <c r="I44" s="180"/>
      <c r="J44" s="6"/>
      <c r="L44" s="65"/>
      <c r="M44" s="65"/>
      <c r="N44" s="65"/>
      <c r="O44" s="65"/>
    </row>
    <row r="45" spans="1:15" x14ac:dyDescent="0.2">
      <c r="A45" s="146"/>
      <c r="B45" s="123"/>
      <c r="C45" s="124"/>
      <c r="D45" s="125"/>
      <c r="E45" s="124"/>
      <c r="F45" s="127"/>
      <c r="G45" s="30"/>
      <c r="I45" s="184"/>
    </row>
    <row r="46" spans="1:15" x14ac:dyDescent="0.2">
      <c r="A46" s="122" t="s">
        <v>27</v>
      </c>
      <c r="B46" s="123"/>
      <c r="C46" s="124"/>
      <c r="D46" s="156">
        <f>'2023 CIAC Rates'!D17</f>
        <v>8.0000000000000002E-3</v>
      </c>
      <c r="E46" s="124"/>
      <c r="F46" s="153">
        <f>+D46*(E30+F34+F38+F42+F50+F54+F62+D26+E26)</f>
        <v>29738.462796268879</v>
      </c>
      <c r="G46" s="35"/>
      <c r="H46" s="177"/>
    </row>
    <row r="47" spans="1:15" s="4" customFormat="1" x14ac:dyDescent="0.2">
      <c r="A47" s="152"/>
      <c r="B47" s="145"/>
      <c r="C47" s="130"/>
      <c r="D47" s="143"/>
      <c r="E47" s="132"/>
      <c r="F47" s="144"/>
      <c r="G47" s="36"/>
      <c r="H47" s="40"/>
      <c r="I47" s="185"/>
      <c r="L47" s="464"/>
      <c r="M47" s="464"/>
      <c r="N47" s="464"/>
      <c r="O47" s="464"/>
    </row>
    <row r="48" spans="1:15" x14ac:dyDescent="0.2">
      <c r="A48" s="140"/>
      <c r="B48" s="123"/>
      <c r="C48" s="124"/>
      <c r="D48" s="125"/>
      <c r="E48" s="124"/>
      <c r="F48" s="127"/>
      <c r="G48" s="30"/>
      <c r="H48" s="40"/>
    </row>
    <row r="49" spans="1:13" x14ac:dyDescent="0.2">
      <c r="A49" s="140"/>
      <c r="B49" s="123"/>
      <c r="C49" s="124"/>
      <c r="D49" s="125"/>
      <c r="E49" s="124"/>
      <c r="F49" s="127"/>
      <c r="G49" s="30"/>
    </row>
    <row r="50" spans="1:13" x14ac:dyDescent="0.2">
      <c r="A50" s="122" t="s">
        <v>23</v>
      </c>
      <c r="B50" s="123"/>
      <c r="C50" s="124"/>
      <c r="D50" s="156">
        <f>'2023 CIAC Rates'!D20</f>
        <v>0.19</v>
      </c>
      <c r="E50" s="124"/>
      <c r="F50" s="153">
        <f>+D50*D26</f>
        <v>238672.79685000001</v>
      </c>
      <c r="G50" s="35"/>
      <c r="H50" s="177"/>
    </row>
    <row r="51" spans="1:13" s="4" customFormat="1" x14ac:dyDescent="0.2">
      <c r="A51" s="155"/>
      <c r="B51" s="145"/>
      <c r="C51" s="130"/>
      <c r="D51" s="143"/>
      <c r="E51" s="132"/>
      <c r="F51" s="144"/>
      <c r="G51" s="36"/>
      <c r="H51" s="40"/>
      <c r="I51" s="186"/>
    </row>
    <row r="52" spans="1:13" x14ac:dyDescent="0.2">
      <c r="A52" s="146"/>
      <c r="B52" s="123"/>
      <c r="C52" s="124"/>
      <c r="D52" s="125"/>
      <c r="E52" s="124"/>
      <c r="F52" s="127"/>
      <c r="G52" s="30"/>
      <c r="H52" s="40"/>
    </row>
    <row r="53" spans="1:13" x14ac:dyDescent="0.2">
      <c r="A53" s="146"/>
      <c r="B53" s="123"/>
      <c r="C53" s="124"/>
      <c r="D53" s="125"/>
      <c r="E53" s="124"/>
      <c r="F53" s="127"/>
      <c r="G53" s="30"/>
    </row>
    <row r="54" spans="1:13" x14ac:dyDescent="0.2">
      <c r="A54" s="122" t="s">
        <v>24</v>
      </c>
      <c r="B54" s="123"/>
      <c r="C54" s="124"/>
      <c r="D54" s="156">
        <f>'2023 CIAC Rates'!D23</f>
        <v>0.12</v>
      </c>
      <c r="E54" s="124"/>
      <c r="F54" s="153">
        <f>+D54*D26</f>
        <v>150740.7138</v>
      </c>
      <c r="G54" s="35"/>
      <c r="H54" s="177"/>
      <c r="I54" s="182"/>
    </row>
    <row r="55" spans="1:13" s="4" customFormat="1" x14ac:dyDescent="0.2">
      <c r="A55" s="128"/>
      <c r="B55" s="145"/>
      <c r="C55" s="130"/>
      <c r="D55" s="145"/>
      <c r="E55" s="132"/>
      <c r="F55" s="144"/>
      <c r="G55" s="36"/>
      <c r="H55" s="40"/>
      <c r="I55" s="186"/>
      <c r="M55" s="3"/>
    </row>
    <row r="56" spans="1:13" s="4" customFormat="1" ht="12" x14ac:dyDescent="0.2">
      <c r="A56" s="128"/>
      <c r="B56" s="145"/>
      <c r="C56" s="130"/>
      <c r="D56" s="145"/>
      <c r="E56" s="132"/>
      <c r="F56" s="144"/>
      <c r="G56" s="36"/>
      <c r="H56" s="177"/>
      <c r="I56" s="186"/>
      <c r="M56" s="3"/>
    </row>
    <row r="57" spans="1:13" x14ac:dyDescent="0.2">
      <c r="A57" s="140"/>
      <c r="B57" s="123"/>
      <c r="C57" s="124"/>
      <c r="D57" s="123"/>
      <c r="E57" s="124"/>
      <c r="F57" s="127"/>
      <c r="G57" s="30"/>
    </row>
    <row r="58" spans="1:13" x14ac:dyDescent="0.2">
      <c r="A58" s="49" t="s">
        <v>12</v>
      </c>
      <c r="B58" s="46"/>
      <c r="C58" s="47"/>
      <c r="D58" s="55" t="s">
        <v>11</v>
      </c>
      <c r="E58" s="47"/>
      <c r="F58" s="71">
        <f>+'CIAC INPUT'!B30*46</f>
        <v>4600</v>
      </c>
      <c r="G58" s="30"/>
      <c r="H58" s="68"/>
      <c r="J58" s="12"/>
      <c r="K58" s="12"/>
    </row>
    <row r="59" spans="1:13" x14ac:dyDescent="0.2">
      <c r="A59" s="49" t="s">
        <v>13</v>
      </c>
      <c r="B59" s="46"/>
      <c r="C59" s="47"/>
      <c r="D59" s="46"/>
      <c r="E59" s="47"/>
      <c r="F59" s="71">
        <f>+'CIAC INPUT'!B31</f>
        <v>0</v>
      </c>
      <c r="G59" s="30"/>
      <c r="H59" s="68"/>
      <c r="J59" s="13"/>
      <c r="K59" s="8"/>
    </row>
    <row r="60" spans="1:13" x14ac:dyDescent="0.2">
      <c r="A60" s="49" t="s">
        <v>14</v>
      </c>
      <c r="B60" s="46"/>
      <c r="C60" s="47"/>
      <c r="D60" s="47"/>
      <c r="E60" s="56"/>
      <c r="F60" s="71">
        <f>+'CIAC INPUT'!B32</f>
        <v>0</v>
      </c>
      <c r="G60" s="30"/>
      <c r="H60" s="187"/>
      <c r="I60" s="185"/>
      <c r="J60" s="4"/>
      <c r="K60" s="8"/>
    </row>
    <row r="61" spans="1:13" x14ac:dyDescent="0.2">
      <c r="A61" s="140"/>
      <c r="B61" s="123"/>
      <c r="C61" s="124"/>
      <c r="D61" s="123"/>
      <c r="E61" s="124"/>
      <c r="F61" s="127"/>
      <c r="G61" s="30"/>
      <c r="J61" s="12"/>
    </row>
    <row r="62" spans="1:13" x14ac:dyDescent="0.2">
      <c r="A62" s="158" t="s">
        <v>5</v>
      </c>
      <c r="B62" s="123"/>
      <c r="C62" s="124"/>
      <c r="D62" s="156">
        <f>'2023 CIAC Rates'!D26</f>
        <v>0.4</v>
      </c>
      <c r="E62" s="124"/>
      <c r="F62" s="159">
        <f>+D62*E30</f>
        <v>63838.511999999988</v>
      </c>
      <c r="G62" s="35"/>
      <c r="H62" s="177"/>
    </row>
    <row r="63" spans="1:13" x14ac:dyDescent="0.2">
      <c r="A63" s="140"/>
      <c r="B63" s="123"/>
      <c r="C63" s="124"/>
      <c r="D63" s="123"/>
      <c r="E63" s="124"/>
      <c r="F63" s="127"/>
      <c r="G63" s="30"/>
      <c r="H63" s="40"/>
      <c r="J63" s="7"/>
      <c r="K63" s="8"/>
    </row>
    <row r="64" spans="1:13" x14ac:dyDescent="0.2">
      <c r="A64" s="50"/>
      <c r="B64" s="46"/>
      <c r="C64" s="47"/>
      <c r="D64" s="46"/>
      <c r="E64" s="47"/>
      <c r="F64" s="48"/>
      <c r="G64" s="30"/>
      <c r="J64" s="7"/>
      <c r="K64" s="8"/>
    </row>
    <row r="65" spans="1:10" x14ac:dyDescent="0.2">
      <c r="A65" s="49" t="s">
        <v>15</v>
      </c>
      <c r="B65" s="46"/>
      <c r="C65" s="47"/>
      <c r="D65" s="86">
        <f>((+'CIAC INPUT'!B34+('CIAC INPUT'!B34*'2023 CIAC Rates'!D32)+('CIAC INPUT'!B34*'2023 CIAC Rates'!D20)-('CIAC INPUT'!B34*'2023 CIAC Rates'!D25))*-1)</f>
        <v>0</v>
      </c>
      <c r="E65" s="47"/>
      <c r="F65" s="78">
        <f>+D65</f>
        <v>0</v>
      </c>
      <c r="G65" s="30"/>
      <c r="H65" s="188"/>
      <c r="J65" s="2"/>
    </row>
    <row r="66" spans="1:10" x14ac:dyDescent="0.2">
      <c r="A66" s="50"/>
      <c r="B66" s="46"/>
      <c r="C66" s="47"/>
      <c r="D66" s="47"/>
      <c r="E66" s="47"/>
      <c r="F66" s="48"/>
      <c r="G66" s="30"/>
      <c r="I66" s="17"/>
    </row>
    <row r="67" spans="1:10" x14ac:dyDescent="0.2">
      <c r="A67" s="49" t="s">
        <v>16</v>
      </c>
      <c r="B67" s="46"/>
      <c r="C67" s="47"/>
      <c r="D67" s="47"/>
      <c r="E67" s="47"/>
      <c r="F67" s="72">
        <f>+F26+F34+F38+F42+F46+F50+F54+F58+F59+F60+F62+F65</f>
        <v>3751646.3123298786</v>
      </c>
      <c r="G67" s="30"/>
      <c r="I67" s="17"/>
    </row>
    <row r="68" spans="1:10" x14ac:dyDescent="0.2">
      <c r="A68" s="49"/>
      <c r="B68" s="46"/>
      <c r="C68" s="47"/>
      <c r="D68" s="47"/>
      <c r="E68" s="47"/>
      <c r="F68" s="48"/>
      <c r="G68" s="30"/>
      <c r="I68" s="17"/>
    </row>
    <row r="69" spans="1:10" x14ac:dyDescent="0.2">
      <c r="A69" s="49"/>
      <c r="B69" s="55" t="s">
        <v>48</v>
      </c>
      <c r="C69" s="70" t="s">
        <v>49</v>
      </c>
      <c r="D69" s="47"/>
      <c r="E69" s="47"/>
      <c r="F69" s="48"/>
      <c r="G69" s="30"/>
      <c r="I69" s="17"/>
    </row>
    <row r="70" spans="1:10" x14ac:dyDescent="0.2">
      <c r="A70" s="50"/>
      <c r="B70" s="46"/>
      <c r="C70" s="47"/>
      <c r="D70" s="46"/>
      <c r="E70" s="47"/>
      <c r="F70" s="48"/>
      <c r="G70" s="30"/>
      <c r="H70" s="189"/>
      <c r="I70" s="17"/>
    </row>
    <row r="71" spans="1:10" x14ac:dyDescent="0.2">
      <c r="A71" s="49" t="s">
        <v>52</v>
      </c>
      <c r="B71" s="162">
        <f>+'CIAC INPUT'!B37</f>
        <v>0</v>
      </c>
      <c r="C71" s="47">
        <v>400</v>
      </c>
      <c r="D71" s="47"/>
      <c r="E71" s="47"/>
      <c r="F71" s="72">
        <f>+'CIAC INPUT'!C37</f>
        <v>0</v>
      </c>
      <c r="G71" s="30"/>
      <c r="I71" s="17"/>
    </row>
    <row r="72" spans="1:10" x14ac:dyDescent="0.2">
      <c r="A72" s="49" t="s">
        <v>69</v>
      </c>
      <c r="B72" s="162">
        <f>+'CIAC INPUT'!B38</f>
        <v>0</v>
      </c>
      <c r="C72" s="47">
        <v>400</v>
      </c>
      <c r="D72" s="47"/>
      <c r="E72" s="47"/>
      <c r="F72" s="72">
        <f>+'CIAC INPUT'!C38</f>
        <v>0</v>
      </c>
      <c r="G72" s="30">
        <v>0</v>
      </c>
      <c r="I72" s="17"/>
    </row>
    <row r="73" spans="1:10" x14ac:dyDescent="0.2">
      <c r="A73" s="49" t="s">
        <v>50</v>
      </c>
      <c r="B73" s="162">
        <f>+'CIAC INPUT'!B39</f>
        <v>0</v>
      </c>
      <c r="C73" s="47">
        <v>100</v>
      </c>
      <c r="D73" s="47"/>
      <c r="E73" s="47"/>
      <c r="F73" s="72">
        <f>+'CIAC INPUT'!C39</f>
        <v>0</v>
      </c>
      <c r="G73" s="30"/>
      <c r="I73" s="17"/>
    </row>
    <row r="74" spans="1:10" x14ac:dyDescent="0.2">
      <c r="A74" s="49" t="s">
        <v>113</v>
      </c>
      <c r="B74" s="162">
        <f>+'CIAC INPUT'!B40</f>
        <v>0</v>
      </c>
      <c r="C74" s="47">
        <v>1435</v>
      </c>
      <c r="D74" s="47"/>
      <c r="E74" s="47"/>
      <c r="F74" s="72">
        <f>+'CIAC INPUT'!C40</f>
        <v>0</v>
      </c>
      <c r="G74" s="30"/>
      <c r="I74" s="17"/>
    </row>
    <row r="75" spans="1:10" x14ac:dyDescent="0.2">
      <c r="A75" s="49" t="s">
        <v>114</v>
      </c>
      <c r="B75" s="162">
        <f>+'CIAC INPUT'!B41</f>
        <v>0</v>
      </c>
      <c r="C75" s="47">
        <v>1026</v>
      </c>
      <c r="D75" s="47"/>
      <c r="E75" s="47"/>
      <c r="F75" s="78">
        <f>+'CIAC INPUT'!C41</f>
        <v>0</v>
      </c>
      <c r="G75" s="30"/>
      <c r="I75" s="17"/>
    </row>
    <row r="76" spans="1:10" x14ac:dyDescent="0.2">
      <c r="A76" s="49"/>
      <c r="B76" s="195"/>
      <c r="C76" s="47"/>
      <c r="D76" s="47"/>
      <c r="E76" s="47"/>
      <c r="F76" s="163">
        <f>SUM(F71:F75)+F67</f>
        <v>3751646.3123298786</v>
      </c>
      <c r="G76" s="30"/>
      <c r="H76" s="68"/>
      <c r="I76" s="17"/>
    </row>
    <row r="77" spans="1:10" x14ac:dyDescent="0.2">
      <c r="A77" s="49"/>
      <c r="B77" s="46"/>
      <c r="C77" s="47"/>
      <c r="D77" s="47"/>
      <c r="E77" s="47"/>
      <c r="F77" s="48"/>
      <c r="G77" s="30"/>
      <c r="I77" s="17"/>
    </row>
    <row r="78" spans="1:10" x14ac:dyDescent="0.2">
      <c r="B78" s="46"/>
      <c r="C78" s="73" t="s">
        <v>53</v>
      </c>
      <c r="D78" s="73" t="s">
        <v>54</v>
      </c>
      <c r="E78" s="73" t="s">
        <v>55</v>
      </c>
      <c r="F78" s="48"/>
      <c r="G78" s="30"/>
      <c r="I78" s="17"/>
    </row>
    <row r="79" spans="1:10" x14ac:dyDescent="0.2">
      <c r="A79" s="49" t="s">
        <v>51</v>
      </c>
      <c r="B79" s="46"/>
      <c r="C79" s="86">
        <f>+'CIAC INPUT'!B44</f>
        <v>0</v>
      </c>
      <c r="D79" s="86">
        <f>+'CIAC INPUT'!B45</f>
        <v>0</v>
      </c>
      <c r="E79" s="86">
        <f>+'CIAC INPUT'!B46</f>
        <v>0</v>
      </c>
      <c r="F79" s="48"/>
      <c r="G79" s="30"/>
      <c r="H79" s="68"/>
      <c r="I79" s="17"/>
    </row>
    <row r="80" spans="1:10" x14ac:dyDescent="0.2">
      <c r="A80" s="49" t="s">
        <v>44</v>
      </c>
      <c r="B80" s="114">
        <f>+'2023 CIAC Rates'!D32</f>
        <v>0</v>
      </c>
      <c r="C80" s="47"/>
      <c r="D80" s="75">
        <f>+D79*B80</f>
        <v>0</v>
      </c>
      <c r="E80" s="47"/>
      <c r="F80" s="48"/>
      <c r="G80" s="30"/>
      <c r="I80" s="17"/>
    </row>
    <row r="81" spans="1:10" x14ac:dyDescent="0.2">
      <c r="A81" s="49" t="s">
        <v>56</v>
      </c>
      <c r="B81" s="46"/>
      <c r="C81" s="120"/>
      <c r="D81" s="164">
        <f>+D79+D80</f>
        <v>0</v>
      </c>
      <c r="E81" s="120"/>
      <c r="F81" s="72"/>
      <c r="G81" s="30"/>
      <c r="H81" s="68"/>
      <c r="I81" s="17"/>
    </row>
    <row r="82" spans="1:10" x14ac:dyDescent="0.2">
      <c r="A82" s="49"/>
      <c r="B82" s="46"/>
      <c r="C82" s="47"/>
      <c r="D82" s="47"/>
      <c r="E82" s="47"/>
      <c r="F82" s="48"/>
      <c r="G82" s="30"/>
      <c r="H82" s="190"/>
      <c r="I82" s="17"/>
    </row>
    <row r="83" spans="1:10" x14ac:dyDescent="0.2">
      <c r="A83" s="117" t="s">
        <v>57</v>
      </c>
      <c r="B83" s="118"/>
      <c r="C83" s="79">
        <f>+C79+(C79*(D34+D38+D42+D46+D62))</f>
        <v>0</v>
      </c>
      <c r="D83" s="79">
        <f>+D81+(D81*(D50+D54))</f>
        <v>0</v>
      </c>
      <c r="E83" s="79">
        <f>+E79+(E79*(D42+D46))</f>
        <v>0</v>
      </c>
      <c r="F83" s="163">
        <f>-SUM(C83:E83)</f>
        <v>0</v>
      </c>
      <c r="G83" s="30"/>
      <c r="H83" s="68"/>
      <c r="I83" s="17"/>
    </row>
    <row r="84" spans="1:10" x14ac:dyDescent="0.2">
      <c r="A84" s="49"/>
      <c r="B84" s="46"/>
      <c r="C84" s="47"/>
      <c r="D84" s="47"/>
      <c r="E84" s="47"/>
      <c r="F84" s="48"/>
      <c r="G84" s="30"/>
      <c r="H84" s="68"/>
      <c r="I84" s="17"/>
    </row>
    <row r="85" spans="1:10" x14ac:dyDescent="0.2">
      <c r="A85" s="49"/>
      <c r="B85" s="46"/>
      <c r="C85" s="47"/>
      <c r="D85" s="47"/>
      <c r="E85" s="47"/>
      <c r="F85" s="48"/>
      <c r="G85" s="30"/>
      <c r="H85" s="68"/>
    </row>
    <row r="86" spans="1:10" x14ac:dyDescent="0.2">
      <c r="A86" s="49"/>
      <c r="B86" s="46"/>
      <c r="C86" s="47"/>
      <c r="D86" s="47"/>
      <c r="E86" s="47"/>
      <c r="F86" s="57"/>
      <c r="G86" s="30"/>
      <c r="I86" s="191"/>
      <c r="J86" s="87"/>
    </row>
    <row r="87" spans="1:10" x14ac:dyDescent="0.2">
      <c r="A87" s="49" t="s">
        <v>58</v>
      </c>
      <c r="B87" s="46"/>
      <c r="C87" s="47"/>
      <c r="D87" s="47"/>
      <c r="E87" s="47"/>
      <c r="F87" s="163">
        <f>+F83+F76</f>
        <v>3751646.3123298786</v>
      </c>
      <c r="G87" s="30"/>
      <c r="H87" s="68"/>
      <c r="I87" s="191"/>
      <c r="J87" s="87"/>
    </row>
    <row r="88" spans="1:10" x14ac:dyDescent="0.2">
      <c r="A88" s="50"/>
      <c r="B88" s="46"/>
      <c r="C88" s="47"/>
      <c r="D88" s="47"/>
      <c r="E88" s="47"/>
      <c r="F88" s="48"/>
      <c r="G88" s="30"/>
    </row>
    <row r="89" spans="1:10" x14ac:dyDescent="0.2">
      <c r="A89" s="49" t="s">
        <v>17</v>
      </c>
      <c r="B89" s="77">
        <f>+'CIAC INPUT'!B49</f>
        <v>800000</v>
      </c>
      <c r="C89" s="70" t="s">
        <v>377</v>
      </c>
      <c r="D89" s="47"/>
      <c r="E89" s="58" t="s">
        <v>59</v>
      </c>
      <c r="F89" s="166">
        <f>+B89*4.4*-1</f>
        <v>-3520000.0000000005</v>
      </c>
      <c r="G89" s="30"/>
    </row>
    <row r="90" spans="1:10" x14ac:dyDescent="0.2">
      <c r="A90" s="49" t="s">
        <v>18</v>
      </c>
      <c r="B90" s="46"/>
      <c r="C90" s="47"/>
      <c r="D90" s="47"/>
      <c r="E90" s="47"/>
      <c r="F90" s="72">
        <f>IF(+F87+F89&lt;0,0,+F87+F89)</f>
        <v>231646.3123298781</v>
      </c>
      <c r="G90" s="30"/>
      <c r="H90" s="19"/>
      <c r="I90" s="17"/>
    </row>
    <row r="91" spans="1:10" x14ac:dyDescent="0.2">
      <c r="A91" s="50"/>
      <c r="B91" s="46"/>
      <c r="C91" s="47"/>
      <c r="D91" s="47"/>
      <c r="E91" s="47"/>
      <c r="F91" s="72"/>
      <c r="G91" s="30"/>
      <c r="H91" s="19"/>
      <c r="I91" s="17"/>
    </row>
    <row r="92" spans="1:10" x14ac:dyDescent="0.2">
      <c r="A92" s="49" t="s">
        <v>60</v>
      </c>
      <c r="B92" s="46"/>
      <c r="C92" s="47"/>
      <c r="D92" s="47"/>
      <c r="E92" s="47"/>
      <c r="F92" s="165">
        <f>+'CIAC INPUT'!B51</f>
        <v>0</v>
      </c>
      <c r="G92" s="30"/>
      <c r="H92" s="17"/>
      <c r="I92" s="17"/>
    </row>
    <row r="93" spans="1:10" x14ac:dyDescent="0.2">
      <c r="A93" s="49" t="s">
        <v>61</v>
      </c>
      <c r="B93" s="46"/>
      <c r="C93" s="47"/>
      <c r="D93" s="47"/>
      <c r="E93" s="47"/>
      <c r="F93" s="170">
        <f>+'CIAC INPUT'!B52</f>
        <v>0</v>
      </c>
      <c r="G93" s="30"/>
      <c r="H93" s="17"/>
      <c r="I93" s="17"/>
    </row>
    <row r="94" spans="1:10" x14ac:dyDescent="0.2">
      <c r="A94" s="117" t="s">
        <v>62</v>
      </c>
      <c r="B94" s="118"/>
      <c r="C94" s="121"/>
      <c r="D94" s="121"/>
      <c r="E94" s="121"/>
      <c r="F94" s="167">
        <f>+C83+D83+E83</f>
        <v>0</v>
      </c>
      <c r="G94" s="30"/>
      <c r="H94" s="192"/>
      <c r="I94" s="17"/>
    </row>
    <row r="95" spans="1:10" x14ac:dyDescent="0.2">
      <c r="A95" s="49" t="s">
        <v>19</v>
      </c>
      <c r="B95" s="46"/>
      <c r="C95" s="47"/>
      <c r="D95" s="47"/>
      <c r="E95" s="47"/>
      <c r="F95" s="72">
        <f>SUM(F90:F94)</f>
        <v>231646.3123298781</v>
      </c>
      <c r="G95" s="30"/>
      <c r="H95" s="17"/>
      <c r="I95" s="17"/>
    </row>
    <row r="96" spans="1:10" x14ac:dyDescent="0.2">
      <c r="A96" s="49"/>
      <c r="B96" s="46"/>
      <c r="C96" s="47"/>
      <c r="D96" s="47"/>
      <c r="E96" s="47"/>
      <c r="F96" s="72"/>
      <c r="G96" s="30"/>
      <c r="H96" s="17"/>
      <c r="I96" s="17"/>
    </row>
    <row r="97" spans="1:9" x14ac:dyDescent="0.2">
      <c r="A97" s="49" t="s">
        <v>34</v>
      </c>
      <c r="B97" s="46"/>
      <c r="C97" s="47"/>
      <c r="D97" s="168">
        <f>'2023 CIAC Rates'!D29</f>
        <v>0.157</v>
      </c>
      <c r="E97" s="58" t="s">
        <v>26</v>
      </c>
      <c r="F97" s="78">
        <f>+D97*F95</f>
        <v>36368.471035790863</v>
      </c>
      <c r="G97" s="30"/>
      <c r="H97" s="17"/>
      <c r="I97" s="17"/>
    </row>
    <row r="98" spans="1:9" x14ac:dyDescent="0.2">
      <c r="A98" s="49" t="s">
        <v>18</v>
      </c>
      <c r="B98" s="46"/>
      <c r="C98" s="47"/>
      <c r="D98" s="47"/>
      <c r="E98" s="47"/>
      <c r="F98" s="72">
        <f>SUM(F95:F97)</f>
        <v>268014.78336566896</v>
      </c>
      <c r="G98" s="30"/>
      <c r="H98" s="17"/>
      <c r="I98" s="17"/>
    </row>
    <row r="99" spans="1:9" x14ac:dyDescent="0.2">
      <c r="A99" s="50"/>
      <c r="B99" s="46"/>
      <c r="C99" s="47"/>
      <c r="D99" s="47"/>
      <c r="E99" s="47"/>
      <c r="F99" s="48"/>
      <c r="G99" s="30"/>
      <c r="H99" s="17"/>
      <c r="I99" s="17"/>
    </row>
    <row r="100" spans="1:9" x14ac:dyDescent="0.2">
      <c r="A100" s="49" t="s">
        <v>63</v>
      </c>
      <c r="B100" s="46"/>
      <c r="C100" s="47"/>
      <c r="D100" s="47"/>
      <c r="E100" s="47"/>
      <c r="F100" s="163">
        <f>-F92</f>
        <v>0</v>
      </c>
      <c r="G100" s="30"/>
      <c r="H100" s="190"/>
      <c r="I100" s="17"/>
    </row>
    <row r="101" spans="1:9" x14ac:dyDescent="0.2">
      <c r="A101" s="49" t="s">
        <v>64</v>
      </c>
      <c r="B101" s="46"/>
      <c r="C101" s="86">
        <f>+C23+(C23*(D34+D38+D42+D46+D62))</f>
        <v>0</v>
      </c>
      <c r="D101" s="86">
        <f>+D25+(D25*(D50+D54+D46))</f>
        <v>0</v>
      </c>
      <c r="E101" s="86">
        <f>+E23+(+E23*(D42+D46))</f>
        <v>0</v>
      </c>
      <c r="F101" s="72">
        <f>SUM(C101:E101)</f>
        <v>0</v>
      </c>
      <c r="G101" s="30"/>
      <c r="H101" s="68"/>
      <c r="I101" s="17"/>
    </row>
    <row r="102" spans="1:9" x14ac:dyDescent="0.2">
      <c r="A102" s="49"/>
      <c r="B102" s="46"/>
      <c r="C102" s="47"/>
      <c r="D102" s="47"/>
      <c r="E102" s="47"/>
      <c r="F102" s="72"/>
      <c r="G102" s="30"/>
      <c r="H102" s="68"/>
      <c r="I102" s="17"/>
    </row>
    <row r="103" spans="1:9" x14ac:dyDescent="0.2">
      <c r="A103" s="49" t="s">
        <v>65</v>
      </c>
      <c r="B103" s="46">
        <v>6.25E-2</v>
      </c>
      <c r="C103" s="47"/>
      <c r="D103" s="47"/>
      <c r="E103" s="47"/>
      <c r="F103" s="72">
        <f>+B103*D25</f>
        <v>0</v>
      </c>
      <c r="G103" s="30"/>
      <c r="H103" s="68"/>
      <c r="I103" s="17"/>
    </row>
    <row r="104" spans="1:9" x14ac:dyDescent="0.2">
      <c r="A104" s="49" t="s">
        <v>66</v>
      </c>
      <c r="B104" s="46"/>
      <c r="C104" s="47"/>
      <c r="D104" s="47"/>
      <c r="E104" s="47"/>
      <c r="F104" s="72"/>
      <c r="G104" s="30"/>
      <c r="H104" s="193"/>
      <c r="I104" s="17"/>
    </row>
    <row r="105" spans="1:9" x14ac:dyDescent="0.2">
      <c r="A105" s="49" t="s">
        <v>67</v>
      </c>
      <c r="B105" s="46"/>
      <c r="C105" s="47"/>
      <c r="D105" s="47"/>
      <c r="E105" s="47"/>
      <c r="F105" s="78">
        <f>-F93</f>
        <v>0</v>
      </c>
      <c r="G105" s="30"/>
      <c r="H105" s="193"/>
      <c r="I105" s="17"/>
    </row>
    <row r="106" spans="1:9" x14ac:dyDescent="0.2">
      <c r="A106" s="49"/>
      <c r="B106" s="46"/>
      <c r="C106" s="47"/>
      <c r="D106" s="47"/>
      <c r="E106" s="47"/>
      <c r="F106" s="72"/>
      <c r="G106" s="30"/>
      <c r="H106" s="17"/>
      <c r="I106" s="17"/>
    </row>
    <row r="107" spans="1:9" x14ac:dyDescent="0.2">
      <c r="A107" s="49" t="s">
        <v>18</v>
      </c>
      <c r="B107" s="46"/>
      <c r="C107" s="47"/>
      <c r="D107" s="47"/>
      <c r="E107" s="47"/>
      <c r="F107" s="72">
        <f>SUM(F98:F105)</f>
        <v>268014.78336566896</v>
      </c>
      <c r="G107" s="30"/>
      <c r="H107" s="17"/>
      <c r="I107" s="17"/>
    </row>
    <row r="108" spans="1:9" x14ac:dyDescent="0.2">
      <c r="A108" s="49" t="s">
        <v>20</v>
      </c>
      <c r="B108" s="46"/>
      <c r="C108" s="47"/>
      <c r="D108" s="47"/>
      <c r="E108" s="47"/>
      <c r="F108" s="175">
        <f>+'CIAC INPUT'!B54</f>
        <v>0</v>
      </c>
      <c r="G108" s="30"/>
      <c r="H108" s="17"/>
      <c r="I108" s="17"/>
    </row>
    <row r="109" spans="1:9" x14ac:dyDescent="0.2">
      <c r="A109" s="50"/>
      <c r="B109" s="46"/>
      <c r="C109" s="47"/>
      <c r="D109" s="47"/>
      <c r="E109" s="47"/>
      <c r="F109" s="72"/>
      <c r="G109" s="30"/>
      <c r="H109" s="17"/>
      <c r="I109" s="17"/>
    </row>
    <row r="110" spans="1:9" x14ac:dyDescent="0.2">
      <c r="A110" s="49" t="s">
        <v>21</v>
      </c>
      <c r="B110" s="46"/>
      <c r="C110" s="47"/>
      <c r="D110" s="47"/>
      <c r="E110" s="47"/>
      <c r="F110" s="81">
        <f>+F107-F108</f>
        <v>268014.78336566896</v>
      </c>
      <c r="G110" s="38"/>
      <c r="H110" s="17"/>
      <c r="I110" s="17"/>
    </row>
    <row r="111" spans="1:9" x14ac:dyDescent="0.2">
      <c r="A111" s="59"/>
      <c r="B111" s="60"/>
      <c r="C111" s="53"/>
      <c r="D111" s="53"/>
      <c r="E111" s="53"/>
      <c r="F111" s="57"/>
      <c r="G111" s="30"/>
      <c r="H111" s="17"/>
      <c r="I111" s="17"/>
    </row>
  </sheetData>
  <mergeCells count="1">
    <mergeCell ref="L47:O4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46CD-62FD-4C88-BF21-5CD21022B693}">
  <sheetPr>
    <tabColor rgb="FFFF0000"/>
    <pageSetUpPr fitToPage="1"/>
  </sheetPr>
  <dimension ref="A1:M45"/>
  <sheetViews>
    <sheetView tabSelected="1" workbookViewId="0">
      <selection activeCell="A37" sqref="A37"/>
    </sheetView>
  </sheetViews>
  <sheetFormatPr defaultColWidth="9.140625" defaultRowHeight="12.75" x14ac:dyDescent="0.2"/>
  <cols>
    <col min="1" max="1" width="36.42578125" style="387" customWidth="1"/>
    <col min="2" max="5" width="15.7109375" style="387" customWidth="1"/>
    <col min="6" max="6" width="2.7109375" style="387" customWidth="1"/>
    <col min="7" max="7" width="21.7109375" style="387" customWidth="1"/>
    <col min="8" max="11" width="15.7109375" style="387" customWidth="1"/>
    <col min="12" max="12" width="2.7109375" style="387" customWidth="1"/>
    <col min="13" max="13" width="13.7109375" style="387" customWidth="1"/>
    <col min="14" max="16384" width="9.140625" style="387"/>
  </cols>
  <sheetData>
    <row r="1" spans="1:13" ht="15.75" x14ac:dyDescent="0.25">
      <c r="A1" s="393" t="s">
        <v>343</v>
      </c>
    </row>
    <row r="2" spans="1:13" x14ac:dyDescent="0.2">
      <c r="A2" s="394"/>
    </row>
    <row r="3" spans="1:13" x14ac:dyDescent="0.2">
      <c r="A3" s="394"/>
    </row>
    <row r="4" spans="1:13" ht="13.5" thickBot="1" x14ac:dyDescent="0.25"/>
    <row r="5" spans="1:13" ht="24" thickBot="1" x14ac:dyDescent="0.4">
      <c r="A5" s="465" t="s">
        <v>344</v>
      </c>
      <c r="B5" s="466"/>
      <c r="C5" s="466"/>
      <c r="D5" s="466"/>
      <c r="E5" s="467"/>
      <c r="F5" s="396"/>
      <c r="G5" s="465" t="s">
        <v>345</v>
      </c>
      <c r="H5" s="466"/>
      <c r="I5" s="466"/>
      <c r="J5" s="466"/>
      <c r="K5" s="467"/>
      <c r="L5" s="396"/>
    </row>
    <row r="6" spans="1:13" x14ac:dyDescent="0.2">
      <c r="A6" s="392"/>
      <c r="F6" s="396"/>
      <c r="G6" s="392"/>
      <c r="L6" s="396"/>
    </row>
    <row r="7" spans="1:13" ht="15" x14ac:dyDescent="0.35">
      <c r="B7" s="397">
        <v>2025</v>
      </c>
      <c r="C7" s="397"/>
      <c r="D7" s="397"/>
      <c r="E7" s="397" t="s">
        <v>347</v>
      </c>
      <c r="F7" s="396"/>
      <c r="H7" s="397" t="s">
        <v>346</v>
      </c>
      <c r="I7" s="397"/>
      <c r="J7" s="397"/>
      <c r="K7" s="397" t="s">
        <v>347</v>
      </c>
      <c r="L7" s="396"/>
      <c r="M7" s="397" t="s">
        <v>348</v>
      </c>
    </row>
    <row r="8" spans="1:13" x14ac:dyDescent="0.2">
      <c r="A8" s="387" t="s">
        <v>4</v>
      </c>
      <c r="B8" s="398">
        <f>CABLE!C35+EQUIPMENT!C46</f>
        <v>177329.19999999998</v>
      </c>
      <c r="C8" s="447"/>
      <c r="D8" s="448"/>
      <c r="E8" s="395">
        <f>SUM(B8:D8)</f>
        <v>177329.19999999998</v>
      </c>
      <c r="F8" s="396"/>
      <c r="G8" s="387" t="s">
        <v>4</v>
      </c>
      <c r="H8" s="447">
        <v>0</v>
      </c>
      <c r="I8" s="447"/>
      <c r="J8" s="447"/>
      <c r="K8" s="395">
        <f>SUM(H8:J8)</f>
        <v>0</v>
      </c>
      <c r="L8" s="396"/>
      <c r="M8" s="399">
        <f>E8+K8</f>
        <v>177329.19999999998</v>
      </c>
    </row>
    <row r="9" spans="1:13" hidden="1" x14ac:dyDescent="0.2">
      <c r="A9" s="387" t="s">
        <v>4</v>
      </c>
      <c r="B9" s="400">
        <f>B8</f>
        <v>177329.19999999998</v>
      </c>
      <c r="C9" s="449">
        <f t="shared" ref="C9:E9" si="0">C8</f>
        <v>0</v>
      </c>
      <c r="D9" s="449">
        <f t="shared" si="0"/>
        <v>0</v>
      </c>
      <c r="E9" s="400">
        <f t="shared" si="0"/>
        <v>177329.19999999998</v>
      </c>
      <c r="F9" s="396"/>
      <c r="G9" s="387" t="s">
        <v>4</v>
      </c>
      <c r="H9" s="450">
        <f t="shared" ref="H9:K9" si="1">H8</f>
        <v>0</v>
      </c>
      <c r="I9" s="450">
        <f t="shared" si="1"/>
        <v>0</v>
      </c>
      <c r="J9" s="450">
        <f t="shared" si="1"/>
        <v>0</v>
      </c>
      <c r="K9" s="401">
        <f t="shared" si="1"/>
        <v>0</v>
      </c>
      <c r="L9" s="396"/>
      <c r="M9" s="399">
        <f>E9+K9</f>
        <v>177329.19999999998</v>
      </c>
    </row>
    <row r="10" spans="1:13" x14ac:dyDescent="0.2">
      <c r="A10" s="387" t="s">
        <v>329</v>
      </c>
      <c r="B10" s="398">
        <f>CABLE!C34+EQUIPMENT!C45</f>
        <v>1395747.35</v>
      </c>
      <c r="C10" s="447"/>
      <c r="D10" s="447"/>
      <c r="E10" s="395">
        <f>SUM(B10:D10)</f>
        <v>1395747.35</v>
      </c>
      <c r="F10" s="396"/>
      <c r="G10" s="387" t="s">
        <v>329</v>
      </c>
      <c r="H10" s="447">
        <v>0</v>
      </c>
      <c r="I10" s="447"/>
      <c r="J10" s="447"/>
      <c r="K10" s="395">
        <f>SUM(H10:J10)</f>
        <v>0</v>
      </c>
      <c r="L10" s="396"/>
      <c r="M10" s="399">
        <f>E10+K10</f>
        <v>1395747.35</v>
      </c>
    </row>
    <row r="11" spans="1:13" x14ac:dyDescent="0.2">
      <c r="A11" s="387" t="s">
        <v>349</v>
      </c>
      <c r="B11" s="398">
        <f>CONDUIT!L71</f>
        <v>1015700</v>
      </c>
      <c r="C11" s="447"/>
      <c r="D11" s="447"/>
      <c r="E11" s="395">
        <f>SUM(B11:D11)</f>
        <v>1015700</v>
      </c>
      <c r="F11" s="396"/>
      <c r="G11" s="387" t="s">
        <v>349</v>
      </c>
      <c r="H11" s="447">
        <v>0</v>
      </c>
      <c r="I11" s="447"/>
      <c r="J11" s="447"/>
      <c r="K11" s="395">
        <f>SUM(H11:J11)</f>
        <v>0</v>
      </c>
      <c r="L11" s="396"/>
      <c r="M11" s="399">
        <f>E11+K11</f>
        <v>1015700</v>
      </c>
    </row>
    <row r="12" spans="1:13" ht="13.5" thickBot="1" x14ac:dyDescent="0.25">
      <c r="A12" s="387" t="s">
        <v>350</v>
      </c>
      <c r="B12" s="398">
        <v>0</v>
      </c>
      <c r="C12" s="447"/>
      <c r="D12" s="447"/>
      <c r="E12" s="395">
        <f>SUM(B12:D12)</f>
        <v>0</v>
      </c>
      <c r="F12" s="396"/>
      <c r="G12" s="387" t="s">
        <v>351</v>
      </c>
      <c r="H12" s="447">
        <v>0</v>
      </c>
      <c r="I12" s="447"/>
      <c r="J12" s="447"/>
      <c r="K12" s="395">
        <f>SUM(H12:J12)</f>
        <v>0</v>
      </c>
      <c r="L12" s="396"/>
      <c r="M12" s="399">
        <f>E12+K12</f>
        <v>0</v>
      </c>
    </row>
    <row r="13" spans="1:13" ht="13.5" thickBot="1" x14ac:dyDescent="0.25">
      <c r="A13" s="402" t="s">
        <v>352</v>
      </c>
      <c r="B13" s="403">
        <f>SUM(B9:B12)</f>
        <v>2588776.5499999998</v>
      </c>
      <c r="C13" s="403">
        <f>SUM(C9:C12)</f>
        <v>0</v>
      </c>
      <c r="D13" s="403">
        <f>SUM(D9:D12)</f>
        <v>0</v>
      </c>
      <c r="E13" s="403">
        <f>SUM(E9:E12)</f>
        <v>2588776.5499999998</v>
      </c>
      <c r="F13" s="396"/>
      <c r="G13" s="402" t="s">
        <v>352</v>
      </c>
      <c r="H13" s="403">
        <f>SUM(H9:H12)</f>
        <v>0</v>
      </c>
      <c r="I13" s="403">
        <f>SUM(I9:I12)</f>
        <v>0</v>
      </c>
      <c r="J13" s="403">
        <f>SUM(J9:J12)</f>
        <v>0</v>
      </c>
      <c r="K13" s="403">
        <f>SUM(K9:K12)</f>
        <v>0</v>
      </c>
      <c r="L13" s="396"/>
      <c r="M13" s="404">
        <f>SUM(M9:M12)</f>
        <v>2588776.5499999998</v>
      </c>
    </row>
    <row r="14" spans="1:13" ht="13.5" thickBot="1" x14ac:dyDescent="0.25">
      <c r="A14" s="405"/>
      <c r="B14" s="406"/>
      <c r="C14" s="406"/>
      <c r="D14" s="406"/>
      <c r="E14" s="406"/>
      <c r="F14" s="396"/>
      <c r="G14" s="405"/>
      <c r="H14" s="406"/>
      <c r="I14" s="406"/>
      <c r="J14" s="406"/>
      <c r="K14" s="406"/>
      <c r="L14" s="396"/>
      <c r="M14" s="406"/>
    </row>
    <row r="15" spans="1:13" ht="13.5" thickBot="1" x14ac:dyDescent="0.25">
      <c r="A15" s="402" t="s">
        <v>367</v>
      </c>
      <c r="B15" s="407">
        <v>0</v>
      </c>
      <c r="C15" s="408"/>
      <c r="D15" s="408"/>
      <c r="E15" s="409">
        <f>SUM(B15:D15)</f>
        <v>0</v>
      </c>
      <c r="F15" s="396"/>
      <c r="G15" s="402" t="s">
        <v>353</v>
      </c>
      <c r="H15" s="408"/>
      <c r="I15" s="408"/>
      <c r="J15" s="408"/>
      <c r="K15" s="409">
        <f>SUM(H15:J15)</f>
        <v>0</v>
      </c>
      <c r="L15" s="396"/>
      <c r="M15" s="404">
        <f>E15+K15</f>
        <v>0</v>
      </c>
    </row>
    <row r="16" spans="1:13" x14ac:dyDescent="0.2">
      <c r="B16" s="410"/>
      <c r="F16" s="396"/>
      <c r="H16" s="395"/>
      <c r="L16" s="396"/>
      <c r="M16" s="399"/>
    </row>
    <row r="17" spans="1:13" x14ac:dyDescent="0.2">
      <c r="A17" s="387" t="s">
        <v>340</v>
      </c>
      <c r="B17" s="395">
        <f>+B9*'2023 OH Rates'!$B$4</f>
        <v>32628.572799999994</v>
      </c>
      <c r="C17" s="395">
        <f>+C9*'2023 OH Rates'!$B$4</f>
        <v>0</v>
      </c>
      <c r="D17" s="395">
        <f>+D9*'2023 OH Rates'!$B$4</f>
        <v>0</v>
      </c>
      <c r="E17" s="395">
        <f t="shared" ref="E17:E24" si="2">SUM(B17:D17)</f>
        <v>32628.572799999994</v>
      </c>
      <c r="F17" s="396"/>
      <c r="G17" s="387" t="s">
        <v>340</v>
      </c>
      <c r="H17" s="395">
        <f>+H9*'2023 OH Rates'!$B$17</f>
        <v>0</v>
      </c>
      <c r="I17" s="395">
        <f>+I9*'2023 OH Rates'!$B$17</f>
        <v>0</v>
      </c>
      <c r="J17" s="395">
        <f>+J9*'2023 OH Rates'!$B$17</f>
        <v>0</v>
      </c>
      <c r="K17" s="395">
        <f t="shared" ref="K17:K24" si="3">SUM(H17:J17)</f>
        <v>0</v>
      </c>
      <c r="L17" s="396"/>
      <c r="M17" s="399">
        <f t="shared" ref="M17:M24" si="4">E17+K17</f>
        <v>32628.572799999994</v>
      </c>
    </row>
    <row r="18" spans="1:13" x14ac:dyDescent="0.2">
      <c r="A18" s="387" t="s">
        <v>339</v>
      </c>
      <c r="B18" s="410">
        <f>+'2023 OH Rates'!$B$5*(B17+B9)</f>
        <v>41571.639014399996</v>
      </c>
      <c r="C18" s="410">
        <f>+'2023 OH Rates'!$B$5*(C17+C9)</f>
        <v>0</v>
      </c>
      <c r="D18" s="410">
        <f>+'2023 OH Rates'!$B$5*(D17+D9)</f>
        <v>0</v>
      </c>
      <c r="E18" s="395">
        <f t="shared" si="2"/>
        <v>41571.639014399996</v>
      </c>
      <c r="F18" s="396"/>
      <c r="G18" s="387" t="s">
        <v>339</v>
      </c>
      <c r="H18" s="410">
        <f>+'2023 OH Rates'!$B$18*(H17+H9)</f>
        <v>0</v>
      </c>
      <c r="I18" s="410">
        <f>+'2023 OH Rates'!$B$18*(I17+I9)</f>
        <v>0</v>
      </c>
      <c r="J18" s="410">
        <f>+'2023 OH Rates'!$B$18*(J17+J9)</f>
        <v>0</v>
      </c>
      <c r="K18" s="395">
        <f t="shared" si="3"/>
        <v>0</v>
      </c>
      <c r="L18" s="396"/>
      <c r="M18" s="399">
        <f t="shared" si="4"/>
        <v>41571.639014399996</v>
      </c>
    </row>
    <row r="19" spans="1:13" x14ac:dyDescent="0.2">
      <c r="A19" s="387" t="s">
        <v>337</v>
      </c>
      <c r="B19" s="395">
        <f>+'2023 OH Rates'!$B$6*(B9+B11+B17+B18)</f>
        <v>76033.764708863993</v>
      </c>
      <c r="C19" s="395">
        <f>+'2023 OH Rates'!$B$6*(C9+C11+C17+C18)</f>
        <v>0</v>
      </c>
      <c r="D19" s="395">
        <f>+'2023 OH Rates'!$B$6*(D9+D11+D17+D18)</f>
        <v>0</v>
      </c>
      <c r="E19" s="395">
        <f t="shared" si="2"/>
        <v>76033.764708863993</v>
      </c>
      <c r="F19" s="396"/>
      <c r="G19" s="387" t="s">
        <v>337</v>
      </c>
      <c r="H19" s="395">
        <f>+'2023 OH Rates'!$B$19*(H9+H11+H17+H18)</f>
        <v>0</v>
      </c>
      <c r="I19" s="395">
        <f>+'2023 OH Rates'!$B$19*(I9+I11+I17+I18)</f>
        <v>0</v>
      </c>
      <c r="J19" s="395">
        <f>+'2023 OH Rates'!$B$19*(J9+J11+J17+J18)</f>
        <v>0</v>
      </c>
      <c r="K19" s="395">
        <f t="shared" si="3"/>
        <v>0</v>
      </c>
      <c r="L19" s="396"/>
      <c r="M19" s="399">
        <f t="shared" si="4"/>
        <v>76033.764708863993</v>
      </c>
    </row>
    <row r="20" spans="1:13" x14ac:dyDescent="0.2">
      <c r="A20" s="387" t="s">
        <v>335</v>
      </c>
      <c r="B20" s="395">
        <f>+'2023 OH Rates'!$B$7*(B9+B11+B17+B18)</f>
        <v>950422.0588608</v>
      </c>
      <c r="C20" s="395">
        <f>+'2023 OH Rates'!$B$7*(C9+C11+C17+C18)</f>
        <v>0</v>
      </c>
      <c r="D20" s="395">
        <f>+'2023 OH Rates'!$B$7*(D9+D11+D17+D18)</f>
        <v>0</v>
      </c>
      <c r="E20" s="395">
        <f t="shared" si="2"/>
        <v>950422.0588608</v>
      </c>
      <c r="F20" s="396"/>
      <c r="G20" s="387" t="s">
        <v>335</v>
      </c>
      <c r="H20" s="395">
        <f>+'2023 OH Rates'!$B$20*(H9+H11+H17+H18)</f>
        <v>0</v>
      </c>
      <c r="I20" s="395">
        <f>+'2023 OH Rates'!$B$20*(I9+I11+I17+I18)</f>
        <v>0</v>
      </c>
      <c r="J20" s="395">
        <f>+'2023 OH Rates'!$B$20*(J9+J11+J17+J18)</f>
        <v>0</v>
      </c>
      <c r="K20" s="395">
        <f t="shared" si="3"/>
        <v>0</v>
      </c>
      <c r="L20" s="396"/>
      <c r="M20" s="399">
        <f t="shared" si="4"/>
        <v>950422.0588608</v>
      </c>
    </row>
    <row r="21" spans="1:13" x14ac:dyDescent="0.2">
      <c r="A21" s="387" t="s">
        <v>333</v>
      </c>
      <c r="B21" s="395">
        <f>+'2023 OH Rates'!$B$8*(B13+B17+B18+B22+B23)</f>
        <v>23217.438302357998</v>
      </c>
      <c r="C21" s="395">
        <f>+'2023 OH Rates'!$B$8*(C13+C17+C18+C22+C23)</f>
        <v>0</v>
      </c>
      <c r="D21" s="395">
        <f>+'2023 OH Rates'!$B$8*(D13+D17+D18+D22+D23)</f>
        <v>0</v>
      </c>
      <c r="E21" s="395">
        <f t="shared" si="2"/>
        <v>23217.438302357998</v>
      </c>
      <c r="F21" s="396"/>
      <c r="G21" s="387" t="s">
        <v>333</v>
      </c>
      <c r="H21" s="395">
        <f>+'2023 OH Rates'!$B$8*(H13+H17+H18+H22+H23)</f>
        <v>0</v>
      </c>
      <c r="I21" s="395">
        <f>+'2023 OH Rates'!$B$8*(I13+I17+I18+I22+I23)</f>
        <v>0</v>
      </c>
      <c r="J21" s="395">
        <f>+'2023 OH Rates'!$B$8*(J13+J17+J18+J22+J23)</f>
        <v>0</v>
      </c>
      <c r="K21" s="395">
        <f t="shared" si="3"/>
        <v>0</v>
      </c>
      <c r="L21" s="396"/>
      <c r="M21" s="399">
        <f t="shared" si="4"/>
        <v>23217.438302357998</v>
      </c>
    </row>
    <row r="22" spans="1:13" x14ac:dyDescent="0.2">
      <c r="A22" s="387" t="s">
        <v>331</v>
      </c>
      <c r="B22" s="410">
        <f>+'2023 OH Rates'!$B$9*B10</f>
        <v>265191.99650000001</v>
      </c>
      <c r="C22" s="410">
        <f>+'2023 OH Rates'!$B$9*C10</f>
        <v>0</v>
      </c>
      <c r="D22" s="410">
        <f>+'2023 OH Rates'!$B$9*D10</f>
        <v>0</v>
      </c>
      <c r="E22" s="395">
        <f t="shared" si="2"/>
        <v>265191.99650000001</v>
      </c>
      <c r="F22" s="396"/>
      <c r="G22" s="387" t="s">
        <v>331</v>
      </c>
      <c r="H22" s="410">
        <f>+'2023 OH Rates'!$B$22*H10</f>
        <v>0</v>
      </c>
      <c r="I22" s="410">
        <f>+'2023 OH Rates'!$B$22*I10</f>
        <v>0</v>
      </c>
      <c r="J22" s="410">
        <f>+'2023 OH Rates'!$B$22*J10</f>
        <v>0</v>
      </c>
      <c r="K22" s="395">
        <f t="shared" si="3"/>
        <v>0</v>
      </c>
      <c r="L22" s="396"/>
      <c r="M22" s="399">
        <f t="shared" si="4"/>
        <v>265191.99650000001</v>
      </c>
    </row>
    <row r="23" spans="1:13" x14ac:dyDescent="0.2">
      <c r="A23" s="387" t="s">
        <v>330</v>
      </c>
      <c r="B23" s="410">
        <f>+'2023 OH Rates'!$B$10*B10</f>
        <v>167489.682</v>
      </c>
      <c r="C23" s="410">
        <f>+'2023 OH Rates'!$B$10*C10</f>
        <v>0</v>
      </c>
      <c r="D23" s="410">
        <f>+'2023 OH Rates'!$B$10*D10</f>
        <v>0</v>
      </c>
      <c r="E23" s="395">
        <f t="shared" si="2"/>
        <v>167489.682</v>
      </c>
      <c r="F23" s="396"/>
      <c r="G23" s="387" t="s">
        <v>330</v>
      </c>
      <c r="H23" s="410">
        <f>+'2023 OH Rates'!$B$23*H10</f>
        <v>0</v>
      </c>
      <c r="I23" s="410">
        <f>+'2023 OH Rates'!$B$23*I10</f>
        <v>0</v>
      </c>
      <c r="J23" s="410">
        <f>+'2023 OH Rates'!$B$23*J10</f>
        <v>0</v>
      </c>
      <c r="K23" s="395">
        <f t="shared" si="3"/>
        <v>0</v>
      </c>
      <c r="L23" s="396"/>
      <c r="M23" s="399">
        <f t="shared" si="4"/>
        <v>167489.682</v>
      </c>
    </row>
    <row r="24" spans="1:13" ht="13.5" thickBot="1" x14ac:dyDescent="0.25">
      <c r="A24" s="387" t="s">
        <v>328</v>
      </c>
      <c r="B24" s="410">
        <f>+'2023 OH Rates'!$B$11*B9</f>
        <v>37593.790399999998</v>
      </c>
      <c r="C24" s="410">
        <f>+'2023 OH Rates'!$B$11*C9</f>
        <v>0</v>
      </c>
      <c r="D24" s="410">
        <f>+'2023 OH Rates'!$B$11*D9</f>
        <v>0</v>
      </c>
      <c r="E24" s="395">
        <f t="shared" si="2"/>
        <v>37593.790399999998</v>
      </c>
      <c r="F24" s="396"/>
      <c r="G24" s="387" t="s">
        <v>328</v>
      </c>
      <c r="H24" s="410">
        <f>+'2023 OH Rates'!$B$24*H9</f>
        <v>0</v>
      </c>
      <c r="I24" s="410">
        <f>+'2023 OH Rates'!$B$24*I9</f>
        <v>0</v>
      </c>
      <c r="J24" s="410">
        <f>+'2023 OH Rates'!$B$24*J9</f>
        <v>0</v>
      </c>
      <c r="K24" s="395">
        <f t="shared" si="3"/>
        <v>0</v>
      </c>
      <c r="L24" s="396"/>
      <c r="M24" s="399">
        <f t="shared" si="4"/>
        <v>37593.790399999998</v>
      </c>
    </row>
    <row r="25" spans="1:13" ht="13.5" thickBot="1" x14ac:dyDescent="0.25">
      <c r="A25" s="402" t="s">
        <v>354</v>
      </c>
      <c r="B25" s="408">
        <f>SUM(B17:B24)</f>
        <v>1594148.9425864222</v>
      </c>
      <c r="C25" s="408">
        <f>SUM(C17:C24)</f>
        <v>0</v>
      </c>
      <c r="D25" s="408">
        <f>SUM(D17:D24)</f>
        <v>0</v>
      </c>
      <c r="E25" s="408">
        <f>SUM(E17:E24)</f>
        <v>1594148.9425864222</v>
      </c>
      <c r="F25" s="396"/>
      <c r="G25" s="402" t="s">
        <v>354</v>
      </c>
      <c r="H25" s="408">
        <f>SUM(H17:H24)</f>
        <v>0</v>
      </c>
      <c r="I25" s="408">
        <f>SUM(I17:I24)</f>
        <v>0</v>
      </c>
      <c r="J25" s="408">
        <f>SUM(J17:J24)</f>
        <v>0</v>
      </c>
      <c r="K25" s="408">
        <f>SUM(K17:K24)</f>
        <v>0</v>
      </c>
      <c r="L25" s="396"/>
      <c r="M25" s="411">
        <f>SUM(M17:M24)</f>
        <v>1594148.9425864222</v>
      </c>
    </row>
    <row r="26" spans="1:13" ht="13.5" thickBot="1" x14ac:dyDescent="0.25">
      <c r="A26" s="392"/>
      <c r="B26" s="412"/>
      <c r="C26" s="392"/>
      <c r="D26" s="392"/>
      <c r="E26" s="392"/>
      <c r="F26" s="396"/>
      <c r="G26" s="392"/>
      <c r="H26" s="392"/>
      <c r="I26" s="392"/>
      <c r="J26" s="392"/>
      <c r="K26" s="392"/>
      <c r="L26" s="396"/>
    </row>
    <row r="27" spans="1:13" ht="13.5" thickBot="1" x14ac:dyDescent="0.25">
      <c r="A27" s="402" t="s">
        <v>326</v>
      </c>
      <c r="B27" s="403">
        <f>IF($M27=0,0,(B13/$M13*$M27))</f>
        <v>276491.37505996251</v>
      </c>
      <c r="C27" s="403">
        <f>IF($M27=0,0,(C13/$M13*$M27))</f>
        <v>0</v>
      </c>
      <c r="D27" s="403">
        <f>IF($M27=0,0,(D13/$M13*$M27))</f>
        <v>0</v>
      </c>
      <c r="E27" s="409">
        <f>SUM(B27:D27)</f>
        <v>276491.37505996251</v>
      </c>
      <c r="F27" s="396"/>
      <c r="G27" s="402" t="s">
        <v>326</v>
      </c>
      <c r="H27" s="403">
        <f>IF($M27=0,0,(H13/$M13*$M27))</f>
        <v>0</v>
      </c>
      <c r="I27" s="403">
        <f>IF($M27=0,0,(I13/$M13*$M27))</f>
        <v>0</v>
      </c>
      <c r="J27" s="403">
        <f>IF($M27=0,0,(J13/$M13*$M27))</f>
        <v>0</v>
      </c>
      <c r="K27" s="409">
        <f>SUM(H27:J27)</f>
        <v>0</v>
      </c>
      <c r="L27" s="396"/>
      <c r="M27" s="404">
        <f>IF('2023 OH Rates'!B12*(M13+M25+M15)&lt;0,0,'2023 OH Rates'!B12*(M13+M25+M15))</f>
        <v>276491.37505996251</v>
      </c>
    </row>
    <row r="28" spans="1:13" x14ac:dyDescent="0.2">
      <c r="C28" s="399"/>
      <c r="D28" s="399"/>
      <c r="E28" s="399"/>
      <c r="G28" s="399"/>
    </row>
    <row r="29" spans="1:13" ht="13.5" thickBot="1" x14ac:dyDescent="0.25">
      <c r="A29" s="451" t="s">
        <v>369</v>
      </c>
    </row>
    <row r="30" spans="1:13" ht="13.5" thickBot="1" x14ac:dyDescent="0.25">
      <c r="A30" s="418" t="s">
        <v>366</v>
      </c>
      <c r="B30" s="419">
        <v>2025</v>
      </c>
      <c r="C30" s="419"/>
      <c r="D30" s="419"/>
      <c r="E30" s="420" t="s">
        <v>347</v>
      </c>
    </row>
    <row r="31" spans="1:13" x14ac:dyDescent="0.2">
      <c r="A31" s="433" t="s">
        <v>361</v>
      </c>
      <c r="B31" s="432"/>
      <c r="C31" s="432"/>
      <c r="D31" s="432"/>
      <c r="E31" s="434"/>
    </row>
    <row r="32" spans="1:13" x14ac:dyDescent="0.2">
      <c r="A32" s="421" t="s">
        <v>359</v>
      </c>
      <c r="B32" s="417">
        <f>B9+H9</f>
        <v>177329.19999999998</v>
      </c>
      <c r="C32" s="417">
        <f>C9+I9</f>
        <v>0</v>
      </c>
      <c r="D32" s="417">
        <f>D9+J9</f>
        <v>0</v>
      </c>
      <c r="E32" s="422">
        <f t="shared" ref="E32:E37" si="5">SUM(B32:D32)</f>
        <v>177329.19999999998</v>
      </c>
    </row>
    <row r="33" spans="1:7" x14ac:dyDescent="0.2">
      <c r="A33" s="423" t="s">
        <v>349</v>
      </c>
      <c r="B33" s="415">
        <f>B11+H11</f>
        <v>1015700</v>
      </c>
      <c r="C33" s="415">
        <f>C11+I11</f>
        <v>0</v>
      </c>
      <c r="D33" s="415">
        <f>D11+J11</f>
        <v>0</v>
      </c>
      <c r="E33" s="424">
        <f t="shared" si="5"/>
        <v>1015700</v>
      </c>
    </row>
    <row r="34" spans="1:7" x14ac:dyDescent="0.2">
      <c r="A34" s="423" t="s">
        <v>329</v>
      </c>
      <c r="B34" s="416">
        <f>B10+H10</f>
        <v>1395747.35</v>
      </c>
      <c r="C34" s="416">
        <f>C10+I10</f>
        <v>0</v>
      </c>
      <c r="D34" s="416">
        <f>D10+J10</f>
        <v>0</v>
      </c>
      <c r="E34" s="425">
        <f t="shared" si="5"/>
        <v>1395747.35</v>
      </c>
    </row>
    <row r="35" spans="1:7" x14ac:dyDescent="0.2">
      <c r="A35" s="423" t="s">
        <v>360</v>
      </c>
      <c r="B35" s="416">
        <v>0</v>
      </c>
      <c r="C35" s="416">
        <v>0</v>
      </c>
      <c r="D35" s="416">
        <v>0</v>
      </c>
      <c r="E35" s="425">
        <f t="shared" si="5"/>
        <v>0</v>
      </c>
    </row>
    <row r="36" spans="1:7" x14ac:dyDescent="0.2">
      <c r="A36" s="423" t="s">
        <v>378</v>
      </c>
      <c r="B36" s="416">
        <v>0</v>
      </c>
      <c r="C36" s="416">
        <v>0</v>
      </c>
      <c r="D36" s="416">
        <v>0</v>
      </c>
      <c r="E36" s="425">
        <f t="shared" si="5"/>
        <v>0</v>
      </c>
    </row>
    <row r="37" spans="1:7" x14ac:dyDescent="0.2">
      <c r="A37" s="423" t="s">
        <v>351</v>
      </c>
      <c r="B37" s="415">
        <f>B12+H12</f>
        <v>0</v>
      </c>
      <c r="C37" s="415">
        <f>C12+I12</f>
        <v>0</v>
      </c>
      <c r="D37" s="415">
        <f>D12+J12</f>
        <v>0</v>
      </c>
      <c r="E37" s="424">
        <f t="shared" si="5"/>
        <v>0</v>
      </c>
    </row>
    <row r="38" spans="1:7" ht="13.5" thickBot="1" x14ac:dyDescent="0.25">
      <c r="A38" s="429" t="s">
        <v>18</v>
      </c>
      <c r="B38" s="430">
        <f>SUM(B32:B37)</f>
        <v>2588776.5499999998</v>
      </c>
      <c r="C38" s="430">
        <f>SUM(C32:C37)</f>
        <v>0</v>
      </c>
      <c r="D38" s="430">
        <f>SUM(D32:D37)</f>
        <v>0</v>
      </c>
      <c r="E38" s="431">
        <f>SUM(E32:E37)</f>
        <v>2588776.5499999998</v>
      </c>
      <c r="G38" s="413"/>
    </row>
    <row r="39" spans="1:7" x14ac:dyDescent="0.2">
      <c r="A39" s="435" t="s">
        <v>362</v>
      </c>
      <c r="B39" s="436"/>
      <c r="C39" s="436"/>
      <c r="D39" s="436"/>
      <c r="E39" s="437"/>
    </row>
    <row r="40" spans="1:7" x14ac:dyDescent="0.2">
      <c r="A40" s="421" t="s">
        <v>363</v>
      </c>
      <c r="B40" s="417">
        <f>B25+H25</f>
        <v>1594148.9425864222</v>
      </c>
      <c r="C40" s="417">
        <f t="shared" ref="C40:D40" si="6">C25+I25</f>
        <v>0</v>
      </c>
      <c r="D40" s="417">
        <f t="shared" si="6"/>
        <v>0</v>
      </c>
      <c r="E40" s="422">
        <f>SUM(B40:D40)</f>
        <v>1594148.9425864222</v>
      </c>
    </row>
    <row r="41" spans="1:7" x14ac:dyDescent="0.2">
      <c r="A41" s="423" t="s">
        <v>364</v>
      </c>
      <c r="B41" s="415">
        <f>B27+H27</f>
        <v>276491.37505996251</v>
      </c>
      <c r="C41" s="415">
        <f>C27+I27</f>
        <v>0</v>
      </c>
      <c r="D41" s="415">
        <f>D27+J27</f>
        <v>0</v>
      </c>
      <c r="E41" s="424">
        <f>SUM(B41:D41)</f>
        <v>276491.37505996251</v>
      </c>
    </row>
    <row r="42" spans="1:7" ht="13.5" thickBot="1" x14ac:dyDescent="0.25">
      <c r="A42" s="426" t="s">
        <v>18</v>
      </c>
      <c r="B42" s="427">
        <f>SUM(B40:B41)</f>
        <v>1870640.3176463847</v>
      </c>
      <c r="C42" s="427">
        <f>SUM(C40:C41)</f>
        <v>0</v>
      </c>
      <c r="D42" s="427">
        <f>SUM(D40:D41)</f>
        <v>0</v>
      </c>
      <c r="E42" s="428">
        <f>SUM(E40:E41)</f>
        <v>1870640.3176463847</v>
      </c>
    </row>
    <row r="43" spans="1:7" ht="13.5" thickBot="1" x14ac:dyDescent="0.25">
      <c r="A43" s="438" t="s">
        <v>368</v>
      </c>
      <c r="B43" s="439">
        <f>B38+B42</f>
        <v>4459416.867646385</v>
      </c>
      <c r="C43" s="439">
        <f>C38+C42</f>
        <v>0</v>
      </c>
      <c r="D43" s="439">
        <f>D38+D42</f>
        <v>0</v>
      </c>
      <c r="E43" s="440">
        <f>SUM(B43:D43)</f>
        <v>4459416.867646385</v>
      </c>
      <c r="G43" s="413" t="s">
        <v>371</v>
      </c>
    </row>
    <row r="44" spans="1:7" ht="13.5" thickBot="1" x14ac:dyDescent="0.25">
      <c r="A44" s="441" t="s">
        <v>365</v>
      </c>
      <c r="B44" s="442">
        <f>B15</f>
        <v>0</v>
      </c>
      <c r="C44" s="442">
        <v>0</v>
      </c>
      <c r="D44" s="442">
        <v>0</v>
      </c>
      <c r="E44" s="443">
        <f>SUM(B44:D44)</f>
        <v>0</v>
      </c>
    </row>
    <row r="45" spans="1:7" ht="13.5" thickBot="1" x14ac:dyDescent="0.25">
      <c r="A45" s="444" t="s">
        <v>355</v>
      </c>
      <c r="B45" s="445">
        <f>B43+B44</f>
        <v>4459416.867646385</v>
      </c>
      <c r="C45" s="445">
        <f>C43+C44</f>
        <v>0</v>
      </c>
      <c r="D45" s="445">
        <f>D43+D44</f>
        <v>0</v>
      </c>
      <c r="E45" s="446">
        <f>SUM(B45:D45)</f>
        <v>4459416.867646385</v>
      </c>
    </row>
  </sheetData>
  <mergeCells count="2">
    <mergeCell ref="A5:E5"/>
    <mergeCell ref="G5:K5"/>
  </mergeCells>
  <pageMargins left="0.25" right="0.25" top="0.75" bottom="0.75" header="0.3" footer="0.3"/>
  <pageSetup scale="61" orientation="landscape" r:id="rId1"/>
  <ignoredErrors>
    <ignoredError sqref="B8:B11" unlockedFormula="1"/>
    <ignoredError sqref="E4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2B43-7E7B-459D-A88C-F805B4AAED21}">
  <sheetPr>
    <tabColor rgb="FFFFFF00"/>
  </sheetPr>
  <dimension ref="A1:M37"/>
  <sheetViews>
    <sheetView workbookViewId="0">
      <selection activeCell="E30" sqref="E30"/>
    </sheetView>
  </sheetViews>
  <sheetFormatPr defaultRowHeight="12.75" x14ac:dyDescent="0.2"/>
  <cols>
    <col min="1" max="1" width="24.140625" bestFit="1" customWidth="1"/>
    <col min="2" max="2" width="9" bestFit="1" customWidth="1"/>
    <col min="3" max="3" width="15" bestFit="1" customWidth="1"/>
    <col min="4" max="4" width="12.85546875" bestFit="1" customWidth="1"/>
    <col min="5" max="5" width="11" bestFit="1" customWidth="1"/>
    <col min="6" max="6" width="9.28515625" bestFit="1" customWidth="1"/>
    <col min="8" max="8" width="6.7109375" bestFit="1" customWidth="1"/>
    <col min="9" max="9" width="16.5703125" customWidth="1"/>
  </cols>
  <sheetData>
    <row r="1" spans="1:13" ht="48.75" customHeight="1" thickBot="1" x14ac:dyDescent="0.3">
      <c r="A1" s="359" t="s">
        <v>120</v>
      </c>
      <c r="B1" s="360" t="s">
        <v>372</v>
      </c>
      <c r="C1" s="361" t="s">
        <v>121</v>
      </c>
      <c r="D1" s="362" t="s">
        <v>370</v>
      </c>
      <c r="E1" s="360" t="s">
        <v>122</v>
      </c>
      <c r="F1" s="360" t="s">
        <v>123</v>
      </c>
      <c r="G1" s="363"/>
      <c r="H1" s="363" t="s">
        <v>124</v>
      </c>
      <c r="I1" s="378" t="s">
        <v>320</v>
      </c>
      <c r="J1" s="379" t="s">
        <v>323</v>
      </c>
      <c r="K1" s="202"/>
      <c r="L1" s="202"/>
      <c r="M1" s="202"/>
    </row>
    <row r="2" spans="1:13" ht="15.75" x14ac:dyDescent="0.25">
      <c r="A2" s="364" t="s">
        <v>125</v>
      </c>
      <c r="B2" s="364"/>
      <c r="C2" s="365"/>
      <c r="D2" s="89"/>
      <c r="E2" s="366"/>
      <c r="F2" s="364"/>
      <c r="K2" s="202"/>
      <c r="L2" s="202"/>
      <c r="M2" s="202"/>
    </row>
    <row r="3" spans="1:13" ht="15" x14ac:dyDescent="0.2">
      <c r="A3" t="s">
        <v>126</v>
      </c>
      <c r="B3">
        <v>500001</v>
      </c>
      <c r="C3" s="456">
        <v>0.85099999999999998</v>
      </c>
      <c r="D3" s="89"/>
      <c r="E3" s="367"/>
      <c r="F3" s="367"/>
      <c r="H3">
        <f>E3*16</f>
        <v>0</v>
      </c>
      <c r="I3" s="368">
        <f>C3*(F3+(E3*30))</f>
        <v>0</v>
      </c>
      <c r="J3">
        <f>F3+(E3*30)</f>
        <v>0</v>
      </c>
      <c r="K3" s="202"/>
      <c r="L3" s="202"/>
      <c r="M3" s="202"/>
    </row>
    <row r="4" spans="1:13" ht="15" x14ac:dyDescent="0.2">
      <c r="A4" t="s">
        <v>127</v>
      </c>
      <c r="B4">
        <v>500004</v>
      </c>
      <c r="C4" s="456">
        <v>1.86</v>
      </c>
      <c r="D4" s="89"/>
      <c r="E4" s="367"/>
      <c r="F4" s="367"/>
      <c r="H4">
        <f t="shared" ref="H4:H17" si="0">E4*16</f>
        <v>0</v>
      </c>
      <c r="I4" s="368">
        <f t="shared" ref="I4:I17" si="1">C4*(F4+(E4*30))</f>
        <v>0</v>
      </c>
      <c r="J4">
        <f t="shared" ref="J4:J8" si="2">F4+(E4*30)</f>
        <v>0</v>
      </c>
      <c r="K4" s="202"/>
      <c r="L4" s="202"/>
      <c r="M4" s="202"/>
    </row>
    <row r="5" spans="1:13" ht="15" x14ac:dyDescent="0.2">
      <c r="A5" t="s">
        <v>128</v>
      </c>
      <c r="B5">
        <v>500033</v>
      </c>
      <c r="C5" s="456">
        <v>3.8820000000000001</v>
      </c>
      <c r="D5" s="89"/>
      <c r="E5" s="367"/>
      <c r="F5" s="367"/>
      <c r="H5">
        <f t="shared" si="0"/>
        <v>0</v>
      </c>
      <c r="I5" s="368">
        <f t="shared" si="1"/>
        <v>0</v>
      </c>
      <c r="J5">
        <f t="shared" si="2"/>
        <v>0</v>
      </c>
      <c r="K5" s="202"/>
      <c r="L5" s="202"/>
      <c r="M5" s="202"/>
    </row>
    <row r="6" spans="1:13" ht="15" x14ac:dyDescent="0.2">
      <c r="A6" t="s">
        <v>129</v>
      </c>
      <c r="B6">
        <v>500008</v>
      </c>
      <c r="C6" s="456">
        <v>6.0720000000000001</v>
      </c>
      <c r="D6" s="89"/>
      <c r="E6" s="367"/>
      <c r="F6" s="367"/>
      <c r="H6">
        <f t="shared" si="0"/>
        <v>0</v>
      </c>
      <c r="I6" s="368">
        <f t="shared" si="1"/>
        <v>0</v>
      </c>
      <c r="J6">
        <f t="shared" si="2"/>
        <v>0</v>
      </c>
      <c r="K6" s="202"/>
      <c r="L6" s="202"/>
      <c r="M6" s="202"/>
    </row>
    <row r="7" spans="1:13" ht="15" x14ac:dyDescent="0.2">
      <c r="A7" t="s">
        <v>130</v>
      </c>
      <c r="B7">
        <v>500030</v>
      </c>
      <c r="C7" s="456">
        <v>9.7170000000000005</v>
      </c>
      <c r="D7" s="89"/>
      <c r="E7" s="367"/>
      <c r="F7" s="367"/>
      <c r="H7">
        <f t="shared" si="0"/>
        <v>0</v>
      </c>
      <c r="I7" s="368">
        <f t="shared" si="1"/>
        <v>0</v>
      </c>
      <c r="J7">
        <f t="shared" si="2"/>
        <v>0</v>
      </c>
      <c r="K7" s="202"/>
      <c r="L7" s="202"/>
      <c r="M7" s="202"/>
    </row>
    <row r="8" spans="1:13" ht="15" x14ac:dyDescent="0.2">
      <c r="A8" t="s">
        <v>131</v>
      </c>
      <c r="B8">
        <v>574050</v>
      </c>
      <c r="C8" s="456">
        <v>46.87</v>
      </c>
      <c r="D8" s="89"/>
      <c r="E8" s="367"/>
      <c r="F8" s="367"/>
      <c r="H8">
        <f t="shared" si="0"/>
        <v>0</v>
      </c>
      <c r="I8" s="368">
        <f t="shared" si="1"/>
        <v>0</v>
      </c>
      <c r="J8">
        <f t="shared" si="2"/>
        <v>0</v>
      </c>
      <c r="K8" s="202"/>
      <c r="L8" s="202"/>
      <c r="M8" s="202"/>
    </row>
    <row r="9" spans="1:13" ht="15" x14ac:dyDescent="0.2">
      <c r="C9" s="456"/>
      <c r="D9" s="89"/>
      <c r="E9" s="62"/>
      <c r="F9" s="62"/>
      <c r="I9" s="368">
        <f t="shared" si="1"/>
        <v>0</v>
      </c>
      <c r="K9" s="202"/>
      <c r="L9" s="202"/>
      <c r="M9" s="202"/>
    </row>
    <row r="10" spans="1:13" ht="15.75" x14ac:dyDescent="0.25">
      <c r="A10" s="364" t="s">
        <v>132</v>
      </c>
      <c r="C10" s="456"/>
      <c r="I10" s="368">
        <f t="shared" si="1"/>
        <v>0</v>
      </c>
      <c r="K10" s="202"/>
      <c r="L10" s="202"/>
      <c r="M10" s="202"/>
    </row>
    <row r="11" spans="1:13" ht="15" x14ac:dyDescent="0.2">
      <c r="A11" t="s">
        <v>133</v>
      </c>
      <c r="B11">
        <v>574158</v>
      </c>
      <c r="C11" s="456">
        <v>11.0558</v>
      </c>
      <c r="E11" s="367"/>
      <c r="F11" s="367"/>
      <c r="H11">
        <f t="shared" si="0"/>
        <v>0</v>
      </c>
      <c r="I11" s="368">
        <f t="shared" si="1"/>
        <v>0</v>
      </c>
      <c r="J11">
        <f t="shared" ref="J11:J17" si="3">F11+(E11*30)</f>
        <v>0</v>
      </c>
      <c r="K11" s="202"/>
      <c r="L11" s="202"/>
      <c r="M11" s="202"/>
    </row>
    <row r="12" spans="1:13" ht="15" x14ac:dyDescent="0.2">
      <c r="A12" t="s">
        <v>134</v>
      </c>
      <c r="B12">
        <v>574156</v>
      </c>
      <c r="C12" s="456">
        <v>5.2389999999999999</v>
      </c>
      <c r="E12" s="367"/>
      <c r="F12" s="367"/>
      <c r="H12">
        <f t="shared" si="0"/>
        <v>0</v>
      </c>
      <c r="I12" s="368">
        <f t="shared" si="1"/>
        <v>0</v>
      </c>
      <c r="J12">
        <f t="shared" si="3"/>
        <v>0</v>
      </c>
      <c r="K12" s="202"/>
      <c r="L12" s="202"/>
      <c r="M12" s="202"/>
    </row>
    <row r="13" spans="1:13" ht="15" x14ac:dyDescent="0.2">
      <c r="A13" t="s">
        <v>135</v>
      </c>
      <c r="B13">
        <v>580480</v>
      </c>
      <c r="C13" s="456">
        <v>8.86</v>
      </c>
      <c r="E13" s="367"/>
      <c r="F13" s="367"/>
      <c r="H13">
        <f t="shared" si="0"/>
        <v>0</v>
      </c>
      <c r="I13" s="368">
        <f t="shared" si="1"/>
        <v>0</v>
      </c>
      <c r="J13">
        <f t="shared" si="3"/>
        <v>0</v>
      </c>
      <c r="K13" s="202"/>
      <c r="L13" s="202"/>
      <c r="M13" s="202"/>
    </row>
    <row r="14" spans="1:13" ht="15" x14ac:dyDescent="0.2">
      <c r="A14" t="s">
        <v>136</v>
      </c>
      <c r="B14">
        <v>574053</v>
      </c>
      <c r="C14" s="456">
        <v>18.62</v>
      </c>
      <c r="D14">
        <v>514037</v>
      </c>
      <c r="E14" s="367"/>
      <c r="F14" s="367"/>
      <c r="H14">
        <f t="shared" si="0"/>
        <v>0</v>
      </c>
      <c r="I14" s="368">
        <f t="shared" si="1"/>
        <v>0</v>
      </c>
      <c r="J14">
        <f t="shared" si="3"/>
        <v>0</v>
      </c>
      <c r="K14" s="202"/>
      <c r="L14" s="202"/>
      <c r="M14" s="202"/>
    </row>
    <row r="15" spans="1:13" ht="15" x14ac:dyDescent="0.2">
      <c r="A15" t="s">
        <v>137</v>
      </c>
      <c r="B15">
        <v>574055</v>
      </c>
      <c r="C15" s="456">
        <v>39.65</v>
      </c>
      <c r="E15" s="367">
        <v>0</v>
      </c>
      <c r="F15" s="367">
        <v>0</v>
      </c>
      <c r="H15">
        <f t="shared" si="0"/>
        <v>0</v>
      </c>
      <c r="I15" s="368">
        <f t="shared" si="1"/>
        <v>0</v>
      </c>
      <c r="J15">
        <f t="shared" si="3"/>
        <v>0</v>
      </c>
      <c r="K15" s="202"/>
      <c r="L15" s="202"/>
      <c r="M15" s="202"/>
    </row>
    <row r="16" spans="1:13" ht="15" x14ac:dyDescent="0.2">
      <c r="A16" t="s">
        <v>138</v>
      </c>
      <c r="B16">
        <v>574163</v>
      </c>
      <c r="C16" s="456">
        <v>74.67</v>
      </c>
      <c r="E16" s="367">
        <v>47</v>
      </c>
      <c r="F16" s="482">
        <v>16395</v>
      </c>
      <c r="H16">
        <f t="shared" si="0"/>
        <v>752</v>
      </c>
      <c r="I16" s="368">
        <f t="shared" si="1"/>
        <v>1329499.3500000001</v>
      </c>
      <c r="J16">
        <f t="shared" si="3"/>
        <v>17805</v>
      </c>
      <c r="K16" s="202"/>
      <c r="L16" s="202"/>
      <c r="M16" s="202"/>
    </row>
    <row r="17" spans="1:13" ht="15" x14ac:dyDescent="0.2">
      <c r="A17" t="s">
        <v>139</v>
      </c>
      <c r="B17">
        <v>579221</v>
      </c>
      <c r="C17" s="456">
        <v>52.54</v>
      </c>
      <c r="E17" s="367">
        <v>0</v>
      </c>
      <c r="F17" s="367">
        <v>0</v>
      </c>
      <c r="H17">
        <f t="shared" si="0"/>
        <v>0</v>
      </c>
      <c r="I17" s="368">
        <f t="shared" si="1"/>
        <v>0</v>
      </c>
      <c r="J17">
        <f t="shared" si="3"/>
        <v>0</v>
      </c>
      <c r="K17" s="202"/>
      <c r="L17" s="202"/>
      <c r="M17" s="202"/>
    </row>
    <row r="18" spans="1:13" ht="15" x14ac:dyDescent="0.2">
      <c r="C18" s="369"/>
      <c r="K18" s="202"/>
      <c r="L18" s="202"/>
      <c r="M18" s="202"/>
    </row>
    <row r="19" spans="1:13" ht="15.75" x14ac:dyDescent="0.25">
      <c r="A19" s="364" t="s">
        <v>140</v>
      </c>
      <c r="C19" s="369"/>
      <c r="E19" s="366" t="s">
        <v>141</v>
      </c>
      <c r="K19" s="202"/>
      <c r="L19" s="202"/>
      <c r="M19" s="202"/>
    </row>
    <row r="20" spans="1:13" ht="15" x14ac:dyDescent="0.2">
      <c r="A20" s="16" t="s">
        <v>142</v>
      </c>
      <c r="C20" s="455">
        <v>864</v>
      </c>
      <c r="E20" s="367">
        <v>73</v>
      </c>
      <c r="I20" s="61">
        <f>C20*E20</f>
        <v>63072</v>
      </c>
      <c r="K20" s="202"/>
      <c r="L20" s="202"/>
      <c r="M20" s="202"/>
    </row>
    <row r="21" spans="1:13" ht="15" x14ac:dyDescent="0.2">
      <c r="A21" t="s">
        <v>143</v>
      </c>
      <c r="C21" s="455">
        <v>1588</v>
      </c>
      <c r="E21" s="367"/>
      <c r="I21" s="61">
        <f t="shared" ref="I21:I25" si="4">C21*E21</f>
        <v>0</v>
      </c>
      <c r="K21" s="202"/>
      <c r="L21" s="202"/>
      <c r="M21" s="202"/>
    </row>
    <row r="22" spans="1:13" ht="15" x14ac:dyDescent="0.2">
      <c r="C22" s="455"/>
      <c r="E22" s="62"/>
      <c r="I22" s="61"/>
      <c r="K22" s="202"/>
      <c r="L22" s="202"/>
      <c r="M22" s="202"/>
    </row>
    <row r="23" spans="1:13" ht="15.75" x14ac:dyDescent="0.25">
      <c r="A23" s="364" t="s">
        <v>144</v>
      </c>
      <c r="C23" s="455"/>
      <c r="E23" s="370" t="s">
        <v>145</v>
      </c>
      <c r="I23" s="61"/>
      <c r="K23" s="202"/>
      <c r="L23" s="202"/>
      <c r="M23" s="202"/>
    </row>
    <row r="24" spans="1:13" ht="15" x14ac:dyDescent="0.2">
      <c r="A24" t="s">
        <v>142</v>
      </c>
      <c r="C24" s="455">
        <v>864</v>
      </c>
      <c r="E24" s="367"/>
      <c r="I24" s="61">
        <f t="shared" si="4"/>
        <v>0</v>
      </c>
      <c r="K24" s="202"/>
      <c r="L24" s="202"/>
      <c r="M24" s="202"/>
    </row>
    <row r="25" spans="1:13" ht="15" x14ac:dyDescent="0.2">
      <c r="A25" t="s">
        <v>143</v>
      </c>
      <c r="C25" s="455">
        <v>1588</v>
      </c>
      <c r="E25" s="367">
        <v>2</v>
      </c>
      <c r="I25" s="61">
        <f t="shared" si="4"/>
        <v>3176</v>
      </c>
      <c r="K25" s="202"/>
      <c r="L25" s="202"/>
      <c r="M25" s="202"/>
    </row>
    <row r="26" spans="1:13" ht="15" x14ac:dyDescent="0.2">
      <c r="K26" s="202"/>
      <c r="L26" s="202"/>
      <c r="M26" s="202"/>
    </row>
    <row r="27" spans="1:13" ht="16.5" thickBot="1" x14ac:dyDescent="0.3">
      <c r="A27" s="359" t="s">
        <v>4</v>
      </c>
      <c r="B27" s="371"/>
      <c r="C27" s="360" t="s">
        <v>146</v>
      </c>
      <c r="D27" s="360" t="s">
        <v>121</v>
      </c>
      <c r="E27" s="360" t="s">
        <v>147</v>
      </c>
      <c r="F27" s="371"/>
      <c r="G27" s="371"/>
      <c r="H27" s="371"/>
      <c r="I27" s="371"/>
      <c r="K27" s="202"/>
      <c r="L27" s="202"/>
      <c r="M27" s="202"/>
    </row>
    <row r="28" spans="1:13" ht="15" x14ac:dyDescent="0.2">
      <c r="C28" s="89"/>
      <c r="D28" s="89"/>
      <c r="E28" s="89"/>
      <c r="K28" s="202"/>
      <c r="L28" s="202"/>
      <c r="M28" s="202"/>
    </row>
    <row r="29" spans="1:13" ht="15.75" x14ac:dyDescent="0.25">
      <c r="A29" t="s">
        <v>148</v>
      </c>
      <c r="C29" s="372">
        <f>SUM(H3:H17)</f>
        <v>752</v>
      </c>
      <c r="D29" s="373">
        <v>55.28</v>
      </c>
      <c r="E29" s="374">
        <f>C29*D29</f>
        <v>41570.559999999998</v>
      </c>
      <c r="K29" s="202"/>
      <c r="L29" s="202"/>
      <c r="M29" s="202"/>
    </row>
    <row r="30" spans="1:13" ht="15.75" x14ac:dyDescent="0.25">
      <c r="A30" t="s">
        <v>149</v>
      </c>
      <c r="C30" s="372">
        <f>E20*16+E21*24+E24*24+E25*36</f>
        <v>1240</v>
      </c>
      <c r="D30" s="373">
        <v>66</v>
      </c>
      <c r="E30" s="374">
        <f>(C30-((E24*24)+(E25*36)))*D30</f>
        <v>77088</v>
      </c>
      <c r="K30" s="202"/>
      <c r="L30" s="202"/>
      <c r="M30" s="202"/>
    </row>
    <row r="31" spans="1:13" ht="15.75" x14ac:dyDescent="0.25">
      <c r="A31" t="s">
        <v>150</v>
      </c>
      <c r="C31" s="372">
        <f>IF(SUM(E3:E17)=0,0,(SUM(E3:E17)+1)*4)</f>
        <v>192</v>
      </c>
      <c r="D31" s="373">
        <v>69.400000000000006</v>
      </c>
      <c r="E31" s="374">
        <f t="shared" ref="E31" si="5">C31*D31</f>
        <v>13324.800000000001</v>
      </c>
      <c r="K31" s="202"/>
      <c r="L31" s="202"/>
      <c r="M31" s="202"/>
    </row>
    <row r="32" spans="1:13" ht="15.75" x14ac:dyDescent="0.25">
      <c r="A32" t="s">
        <v>151</v>
      </c>
      <c r="C32" s="372">
        <f>SUM(E24:E25)</f>
        <v>2</v>
      </c>
      <c r="D32" s="373">
        <v>4940</v>
      </c>
      <c r="E32" s="374">
        <f>C32*D32</f>
        <v>9880</v>
      </c>
      <c r="K32" s="202"/>
      <c r="L32" s="202"/>
      <c r="M32" s="202"/>
    </row>
    <row r="33" spans="1:13" ht="15.75" thickBot="1" x14ac:dyDescent="0.25">
      <c r="K33" s="202"/>
      <c r="L33" s="202"/>
      <c r="M33" s="202"/>
    </row>
    <row r="34" spans="1:13" ht="15.75" thickBot="1" x14ac:dyDescent="0.25">
      <c r="A34" t="s">
        <v>152</v>
      </c>
      <c r="C34" s="375">
        <f>SUM(I3:I17)+SUM(I20:I21)+SUM(I24:I25)</f>
        <v>1395747.35</v>
      </c>
      <c r="K34" s="202"/>
      <c r="L34" s="202"/>
      <c r="M34" s="202"/>
    </row>
    <row r="35" spans="1:13" ht="16.5" thickBot="1" x14ac:dyDescent="0.3">
      <c r="A35" t="s">
        <v>153</v>
      </c>
      <c r="C35" s="376">
        <f>SUM(E29:E32)*(1+D35)</f>
        <v>177329.19999999998</v>
      </c>
      <c r="D35" s="414">
        <v>0.25</v>
      </c>
      <c r="E35" t="s">
        <v>358</v>
      </c>
      <c r="K35" s="202"/>
      <c r="L35" s="202"/>
      <c r="M35" s="202"/>
    </row>
    <row r="36" spans="1:13" ht="15.75" thickBot="1" x14ac:dyDescent="0.25">
      <c r="A36" t="s">
        <v>154</v>
      </c>
      <c r="C36" s="376">
        <f>C34+C35</f>
        <v>1573076.55</v>
      </c>
      <c r="K36" s="202"/>
      <c r="L36" s="202"/>
      <c r="M36" s="202"/>
    </row>
    <row r="37" spans="1:13" ht="15" x14ac:dyDescent="0.2">
      <c r="A37" s="202"/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</row>
  </sheetData>
  <pageMargins left="0.7" right="0.7" top="0.75" bottom="0.75" header="0.3" footer="0.3"/>
  <pageSetup orientation="portrait" r:id="rId1"/>
  <ignoredErrors>
    <ignoredError sqref="E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0C20-3FAA-43ED-BB2F-59241B29EF92}">
  <sheetPr>
    <tabColor rgb="FFFFFF00"/>
  </sheetPr>
  <dimension ref="A1:T94"/>
  <sheetViews>
    <sheetView workbookViewId="0">
      <selection activeCell="F66" sqref="F66"/>
    </sheetView>
  </sheetViews>
  <sheetFormatPr defaultRowHeight="12.75" x14ac:dyDescent="0.2"/>
  <cols>
    <col min="1" max="1" width="2.42578125" style="204" customWidth="1"/>
    <col min="2" max="2" width="34" customWidth="1"/>
    <col min="3" max="3" width="15.5703125" customWidth="1"/>
    <col min="4" max="4" width="13.5703125" style="204" customWidth="1"/>
    <col min="5" max="5" width="37.140625" bestFit="1" customWidth="1"/>
    <col min="6" max="6" width="10.85546875" style="204" customWidth="1"/>
    <col min="7" max="7" width="2.5703125" style="204" customWidth="1"/>
    <col min="8" max="8" width="10.42578125" style="204" customWidth="1"/>
    <col min="9" max="9" width="2.5703125" style="204" customWidth="1"/>
    <col min="10" max="10" width="11.42578125" style="204" customWidth="1"/>
    <col min="11" max="11" width="2.5703125" style="204" customWidth="1"/>
    <col min="12" max="12" width="11.42578125" style="204" customWidth="1"/>
    <col min="13" max="13" width="8.5703125" style="263" customWidth="1"/>
    <col min="14" max="14" width="8.5703125" style="16" customWidth="1"/>
    <col min="15" max="20" width="13.28515625" style="16" customWidth="1"/>
  </cols>
  <sheetData>
    <row r="1" spans="1:14" ht="9" customHeight="1" thickBot="1" x14ac:dyDescent="0.25">
      <c r="A1" s="203"/>
      <c r="M1" s="205"/>
      <c r="N1" s="205"/>
    </row>
    <row r="2" spans="1:14" ht="16.5" customHeight="1" x14ac:dyDescent="0.25">
      <c r="A2" s="203"/>
      <c r="B2" s="206" t="s">
        <v>155</v>
      </c>
      <c r="C2" s="207"/>
      <c r="D2" s="208" t="s">
        <v>156</v>
      </c>
      <c r="E2" s="207" t="s">
        <v>157</v>
      </c>
      <c r="F2" s="208" t="s">
        <v>158</v>
      </c>
      <c r="G2" s="208"/>
      <c r="H2" s="208" t="s">
        <v>159</v>
      </c>
      <c r="I2" s="208"/>
      <c r="J2" s="208" t="s">
        <v>160</v>
      </c>
      <c r="K2" s="208"/>
      <c r="L2" s="209" t="s">
        <v>161</v>
      </c>
      <c r="M2" s="210" t="s">
        <v>160</v>
      </c>
      <c r="N2" s="210">
        <v>2018</v>
      </c>
    </row>
    <row r="3" spans="1:14" ht="6" customHeight="1" x14ac:dyDescent="0.2">
      <c r="A3" s="203"/>
      <c r="B3" s="211"/>
      <c r="C3" s="212"/>
      <c r="D3" s="213"/>
      <c r="E3" s="212"/>
      <c r="F3" s="213"/>
      <c r="G3" s="213"/>
      <c r="H3" s="213"/>
      <c r="I3" s="213"/>
      <c r="J3" s="213"/>
      <c r="K3" s="213"/>
      <c r="L3" s="214"/>
      <c r="M3" s="210"/>
      <c r="N3" s="210"/>
    </row>
    <row r="4" spans="1:14" ht="17.25" customHeight="1" x14ac:dyDescent="0.25">
      <c r="A4" s="203"/>
      <c r="B4" s="215" t="s">
        <v>162</v>
      </c>
      <c r="C4" s="109" t="s">
        <v>163</v>
      </c>
      <c r="D4" s="216" t="s">
        <v>164</v>
      </c>
      <c r="E4" s="171" t="s">
        <v>165</v>
      </c>
      <c r="F4" s="217" t="s">
        <v>166</v>
      </c>
      <c r="G4" s="217"/>
      <c r="H4" s="218"/>
      <c r="I4" s="219" t="s">
        <v>167</v>
      </c>
      <c r="J4" s="220">
        <f>SUM(H4*M4)</f>
        <v>0</v>
      </c>
      <c r="K4" s="220"/>
      <c r="L4" s="221">
        <f>SUM(H4*N4)</f>
        <v>0</v>
      </c>
      <c r="M4" s="210">
        <v>106</v>
      </c>
      <c r="N4" s="210">
        <v>44</v>
      </c>
    </row>
    <row r="5" spans="1:14" ht="17.25" customHeight="1" x14ac:dyDescent="0.25">
      <c r="A5" s="203"/>
      <c r="B5" s="215" t="s">
        <v>168</v>
      </c>
      <c r="C5" s="109" t="s">
        <v>169</v>
      </c>
      <c r="D5" s="216" t="s">
        <v>164</v>
      </c>
      <c r="E5" s="171" t="s">
        <v>170</v>
      </c>
      <c r="F5" s="217" t="s">
        <v>171</v>
      </c>
      <c r="G5" s="217"/>
      <c r="H5" s="218"/>
      <c r="I5" s="219" t="s">
        <v>167</v>
      </c>
      <c r="J5" s="220">
        <f>SUM(H5*M5)</f>
        <v>0</v>
      </c>
      <c r="K5" s="220"/>
      <c r="L5" s="221">
        <f>SUM(H5*N5)</f>
        <v>0</v>
      </c>
      <c r="M5" s="210">
        <v>60</v>
      </c>
      <c r="N5" s="210">
        <v>25</v>
      </c>
    </row>
    <row r="6" spans="1:14" ht="6" customHeight="1" x14ac:dyDescent="0.25">
      <c r="A6" s="203"/>
      <c r="B6" s="222"/>
      <c r="C6" s="223"/>
      <c r="D6" s="224"/>
      <c r="E6" s="223"/>
      <c r="F6" s="224"/>
      <c r="G6" s="224"/>
      <c r="H6" s="225"/>
      <c r="I6" s="226"/>
      <c r="J6" s="227"/>
      <c r="K6" s="227"/>
      <c r="L6" s="228"/>
      <c r="M6" s="210"/>
      <c r="N6" s="210"/>
    </row>
    <row r="7" spans="1:14" ht="17.25" customHeight="1" x14ac:dyDescent="0.2">
      <c r="A7" s="203"/>
      <c r="B7" s="215" t="s">
        <v>172</v>
      </c>
      <c r="C7" s="109"/>
      <c r="D7" s="216" t="s">
        <v>164</v>
      </c>
      <c r="E7" s="171" t="s">
        <v>173</v>
      </c>
      <c r="F7" s="217" t="s">
        <v>166</v>
      </c>
      <c r="G7" s="217"/>
      <c r="H7" s="218"/>
      <c r="I7" s="229"/>
      <c r="J7" s="220">
        <f>SUM(H7*M7)</f>
        <v>0</v>
      </c>
      <c r="K7" s="220"/>
      <c r="L7" s="221">
        <f>SUM(H7*N7)</f>
        <v>0</v>
      </c>
      <c r="M7" s="210">
        <v>264</v>
      </c>
      <c r="N7" s="210">
        <v>70</v>
      </c>
    </row>
    <row r="8" spans="1:14" ht="17.25" customHeight="1" x14ac:dyDescent="0.2">
      <c r="A8" s="203"/>
      <c r="B8" s="215" t="s">
        <v>174</v>
      </c>
      <c r="C8" s="109"/>
      <c r="D8" s="216" t="s">
        <v>164</v>
      </c>
      <c r="E8" s="171" t="s">
        <v>173</v>
      </c>
      <c r="F8" s="217" t="s">
        <v>166</v>
      </c>
      <c r="G8" s="217"/>
      <c r="H8" s="218"/>
      <c r="I8" s="229"/>
      <c r="J8" s="220">
        <f>SUM(H8*M8)</f>
        <v>0</v>
      </c>
      <c r="K8" s="220"/>
      <c r="L8" s="221">
        <f>SUM(H8*N8)</f>
        <v>0</v>
      </c>
      <c r="M8" s="210">
        <v>248</v>
      </c>
      <c r="N8" s="210">
        <v>65</v>
      </c>
    </row>
    <row r="9" spans="1:14" ht="17.25" customHeight="1" x14ac:dyDescent="0.2">
      <c r="A9" s="203"/>
      <c r="B9" s="215" t="s">
        <v>175</v>
      </c>
      <c r="C9" s="109"/>
      <c r="D9" s="216" t="s">
        <v>164</v>
      </c>
      <c r="E9" s="171" t="s">
        <v>173</v>
      </c>
      <c r="F9" s="217" t="s">
        <v>166</v>
      </c>
      <c r="G9" s="217"/>
      <c r="H9" s="218"/>
      <c r="I9" s="229"/>
      <c r="J9" s="220">
        <f>SUM(H9*M9)</f>
        <v>0</v>
      </c>
      <c r="K9" s="220"/>
      <c r="L9" s="221">
        <f>SUM(H9*N9)</f>
        <v>0</v>
      </c>
      <c r="M9" s="210">
        <v>308</v>
      </c>
      <c r="N9" s="210">
        <v>70</v>
      </c>
    </row>
    <row r="10" spans="1:14" ht="18" customHeight="1" x14ac:dyDescent="0.2">
      <c r="A10" s="203"/>
      <c r="B10" s="215" t="s">
        <v>176</v>
      </c>
      <c r="C10" s="109"/>
      <c r="D10" s="216" t="s">
        <v>164</v>
      </c>
      <c r="E10" s="171" t="s">
        <v>173</v>
      </c>
      <c r="F10" s="217" t="s">
        <v>166</v>
      </c>
      <c r="G10" s="217"/>
      <c r="H10" s="218">
        <v>1270</v>
      </c>
      <c r="I10" s="229"/>
      <c r="J10" s="220">
        <f t="shared" ref="J10:J46" si="0">SUM(H10*M10)</f>
        <v>419100</v>
      </c>
      <c r="K10" s="220"/>
      <c r="L10" s="221">
        <f t="shared" ref="L10:L46" si="1">SUM(H10*N10)</f>
        <v>107950</v>
      </c>
      <c r="M10" s="210">
        <v>330</v>
      </c>
      <c r="N10" s="210">
        <v>85</v>
      </c>
    </row>
    <row r="11" spans="1:14" ht="18" customHeight="1" x14ac:dyDescent="0.2">
      <c r="A11" s="203"/>
      <c r="B11" s="215" t="s">
        <v>177</v>
      </c>
      <c r="C11" s="109"/>
      <c r="D11" s="216" t="s">
        <v>164</v>
      </c>
      <c r="E11" s="171" t="s">
        <v>173</v>
      </c>
      <c r="F11" s="217" t="s">
        <v>166</v>
      </c>
      <c r="G11" s="217"/>
      <c r="H11" s="218"/>
      <c r="I11" s="229"/>
      <c r="J11" s="220">
        <f t="shared" si="0"/>
        <v>0</v>
      </c>
      <c r="K11" s="220"/>
      <c r="L11" s="221">
        <f t="shared" si="1"/>
        <v>0</v>
      </c>
      <c r="M11" s="210">
        <v>407</v>
      </c>
      <c r="N11" s="210">
        <v>145</v>
      </c>
    </row>
    <row r="12" spans="1:14" ht="18" customHeight="1" x14ac:dyDescent="0.2">
      <c r="A12" s="203"/>
      <c r="B12" s="215" t="s">
        <v>178</v>
      </c>
      <c r="C12" s="109"/>
      <c r="D12" s="216" t="s">
        <v>164</v>
      </c>
      <c r="E12" s="171" t="s">
        <v>173</v>
      </c>
      <c r="F12" s="217" t="s">
        <v>166</v>
      </c>
      <c r="G12" s="217"/>
      <c r="H12" s="218"/>
      <c r="I12" s="229"/>
      <c r="J12" s="220">
        <f t="shared" si="0"/>
        <v>0</v>
      </c>
      <c r="K12" s="220"/>
      <c r="L12" s="221">
        <f t="shared" si="1"/>
        <v>0</v>
      </c>
      <c r="M12" s="210">
        <v>451</v>
      </c>
      <c r="N12" s="210">
        <v>175</v>
      </c>
    </row>
    <row r="13" spans="1:14" ht="18" customHeight="1" x14ac:dyDescent="0.2">
      <c r="A13" s="203"/>
      <c r="B13" s="215" t="s">
        <v>179</v>
      </c>
      <c r="C13" s="109"/>
      <c r="D13" s="216" t="s">
        <v>180</v>
      </c>
      <c r="E13" s="171" t="s">
        <v>181</v>
      </c>
      <c r="F13" s="217" t="s">
        <v>182</v>
      </c>
      <c r="G13" s="217"/>
      <c r="H13" s="218">
        <v>0</v>
      </c>
      <c r="I13" s="229"/>
      <c r="J13" s="220">
        <f t="shared" si="0"/>
        <v>0</v>
      </c>
      <c r="K13" s="220"/>
      <c r="L13" s="221">
        <f t="shared" si="1"/>
        <v>0</v>
      </c>
      <c r="M13" s="210">
        <v>25300</v>
      </c>
      <c r="N13" s="210">
        <v>6500</v>
      </c>
    </row>
    <row r="14" spans="1:14" ht="18" customHeight="1" x14ac:dyDescent="0.2">
      <c r="A14" s="203"/>
      <c r="B14" s="215" t="s">
        <v>179</v>
      </c>
      <c r="C14" s="109"/>
      <c r="D14" s="216" t="s">
        <v>183</v>
      </c>
      <c r="E14" s="171" t="s">
        <v>184</v>
      </c>
      <c r="F14" s="217" t="s">
        <v>182</v>
      </c>
      <c r="G14" s="217"/>
      <c r="H14" s="218"/>
      <c r="I14" s="229"/>
      <c r="J14" s="220">
        <f t="shared" si="0"/>
        <v>0</v>
      </c>
      <c r="K14" s="220"/>
      <c r="L14" s="221">
        <f t="shared" si="1"/>
        <v>0</v>
      </c>
      <c r="M14" s="210">
        <v>31477</v>
      </c>
      <c r="N14" s="210">
        <v>10500</v>
      </c>
    </row>
    <row r="15" spans="1:14" ht="18" customHeight="1" x14ac:dyDescent="0.2">
      <c r="A15" s="203"/>
      <c r="B15" s="215" t="s">
        <v>179</v>
      </c>
      <c r="C15" s="109"/>
      <c r="D15" s="216" t="s">
        <v>185</v>
      </c>
      <c r="E15" s="171" t="s">
        <v>186</v>
      </c>
      <c r="F15" s="217" t="s">
        <v>182</v>
      </c>
      <c r="G15" s="217"/>
      <c r="H15" s="218">
        <v>0</v>
      </c>
      <c r="I15" s="229"/>
      <c r="J15" s="220">
        <f t="shared" si="0"/>
        <v>0</v>
      </c>
      <c r="K15" s="220"/>
      <c r="L15" s="221">
        <f t="shared" si="1"/>
        <v>0</v>
      </c>
      <c r="M15" s="210">
        <v>49610</v>
      </c>
      <c r="N15" s="210">
        <v>20000</v>
      </c>
    </row>
    <row r="16" spans="1:14" ht="18" customHeight="1" x14ac:dyDescent="0.2">
      <c r="A16" s="203"/>
      <c r="B16" s="215" t="s">
        <v>179</v>
      </c>
      <c r="C16" s="109"/>
      <c r="D16" s="216" t="s">
        <v>187</v>
      </c>
      <c r="E16" s="171" t="s">
        <v>188</v>
      </c>
      <c r="F16" s="217" t="s">
        <v>182</v>
      </c>
      <c r="G16" s="217"/>
      <c r="H16" s="218">
        <v>0</v>
      </c>
      <c r="I16" s="229"/>
      <c r="J16" s="220">
        <f t="shared" si="0"/>
        <v>0</v>
      </c>
      <c r="K16" s="220"/>
      <c r="L16" s="221">
        <f t="shared" si="1"/>
        <v>0</v>
      </c>
      <c r="M16" s="210">
        <v>52250</v>
      </c>
      <c r="N16" s="210">
        <v>23000</v>
      </c>
    </row>
    <row r="17" spans="1:14" ht="18" customHeight="1" x14ac:dyDescent="0.2">
      <c r="A17" s="203"/>
      <c r="B17" s="215" t="s">
        <v>179</v>
      </c>
      <c r="C17" s="109"/>
      <c r="D17" s="216" t="s">
        <v>189</v>
      </c>
      <c r="E17" s="171" t="s">
        <v>190</v>
      </c>
      <c r="F17" s="217" t="s">
        <v>182</v>
      </c>
      <c r="G17" s="217"/>
      <c r="H17" s="218">
        <v>3</v>
      </c>
      <c r="I17" s="229"/>
      <c r="J17" s="220">
        <f t="shared" si="0"/>
        <v>191400</v>
      </c>
      <c r="K17" s="220"/>
      <c r="L17" s="221">
        <f t="shared" si="1"/>
        <v>102000</v>
      </c>
      <c r="M17" s="210">
        <v>63800</v>
      </c>
      <c r="N17" s="210">
        <v>34000</v>
      </c>
    </row>
    <row r="18" spans="1:14" ht="18" customHeight="1" x14ac:dyDescent="0.2">
      <c r="A18" s="203"/>
      <c r="B18" s="215" t="s">
        <v>179</v>
      </c>
      <c r="C18" s="109"/>
      <c r="D18" s="216" t="s">
        <v>191</v>
      </c>
      <c r="E18" s="171" t="s">
        <v>192</v>
      </c>
      <c r="F18" s="217" t="s">
        <v>182</v>
      </c>
      <c r="G18" s="217"/>
      <c r="H18" s="218">
        <v>0</v>
      </c>
      <c r="I18" s="229"/>
      <c r="J18" s="220">
        <f>SUM(H18*M18)</f>
        <v>0</v>
      </c>
      <c r="K18" s="220"/>
      <c r="L18" s="221">
        <f>SUM(H18*N18)</f>
        <v>0</v>
      </c>
      <c r="M18" s="210">
        <v>76819</v>
      </c>
      <c r="N18" s="210">
        <v>50000</v>
      </c>
    </row>
    <row r="19" spans="1:14" ht="18" customHeight="1" x14ac:dyDescent="0.2">
      <c r="A19" s="203"/>
      <c r="B19" s="215" t="s">
        <v>193</v>
      </c>
      <c r="C19" s="109"/>
      <c r="D19" s="216" t="s">
        <v>180</v>
      </c>
      <c r="E19" s="171" t="s">
        <v>194</v>
      </c>
      <c r="F19" s="217" t="s">
        <v>182</v>
      </c>
      <c r="G19" s="217"/>
      <c r="H19" s="218">
        <v>0</v>
      </c>
      <c r="I19" s="229"/>
      <c r="J19" s="220">
        <f t="shared" si="0"/>
        <v>0</v>
      </c>
      <c r="K19" s="220"/>
      <c r="L19" s="221">
        <f t="shared" si="1"/>
        <v>0</v>
      </c>
      <c r="M19" s="210">
        <v>25300</v>
      </c>
      <c r="N19" s="210">
        <v>11500</v>
      </c>
    </row>
    <row r="20" spans="1:14" ht="18" customHeight="1" x14ac:dyDescent="0.2">
      <c r="A20" s="203"/>
      <c r="B20" s="215" t="s">
        <v>193</v>
      </c>
      <c r="C20" s="109"/>
      <c r="D20" s="216" t="s">
        <v>183</v>
      </c>
      <c r="E20" s="171" t="s">
        <v>195</v>
      </c>
      <c r="F20" s="217" t="s">
        <v>182</v>
      </c>
      <c r="G20" s="217"/>
      <c r="H20" s="218">
        <v>0</v>
      </c>
      <c r="I20" s="229"/>
      <c r="J20" s="220">
        <f t="shared" si="0"/>
        <v>0</v>
      </c>
      <c r="K20" s="220"/>
      <c r="L20" s="221">
        <f t="shared" si="1"/>
        <v>0</v>
      </c>
      <c r="M20" s="210">
        <v>31477</v>
      </c>
      <c r="N20" s="210">
        <v>23100</v>
      </c>
    </row>
    <row r="21" spans="1:14" ht="18" customHeight="1" x14ac:dyDescent="0.2">
      <c r="A21" s="203"/>
      <c r="B21" s="215" t="s">
        <v>193</v>
      </c>
      <c r="C21" s="109"/>
      <c r="D21" s="216" t="s">
        <v>185</v>
      </c>
      <c r="E21" s="171" t="s">
        <v>196</v>
      </c>
      <c r="F21" s="217" t="s">
        <v>182</v>
      </c>
      <c r="G21" s="217"/>
      <c r="H21" s="218">
        <v>0</v>
      </c>
      <c r="I21" s="229"/>
      <c r="J21" s="220">
        <f t="shared" si="0"/>
        <v>0</v>
      </c>
      <c r="K21" s="220"/>
      <c r="L21" s="221">
        <f t="shared" si="1"/>
        <v>0</v>
      </c>
      <c r="M21" s="210">
        <v>49610</v>
      </c>
      <c r="N21" s="210">
        <v>27500</v>
      </c>
    </row>
    <row r="22" spans="1:14" ht="18" customHeight="1" x14ac:dyDescent="0.2">
      <c r="A22" s="203"/>
      <c r="B22" s="215" t="s">
        <v>193</v>
      </c>
      <c r="C22" s="109"/>
      <c r="D22" s="216" t="s">
        <v>187</v>
      </c>
      <c r="E22" s="171" t="s">
        <v>197</v>
      </c>
      <c r="F22" s="217" t="s">
        <v>182</v>
      </c>
      <c r="G22" s="217"/>
      <c r="H22" s="218">
        <v>0</v>
      </c>
      <c r="I22" s="229"/>
      <c r="J22" s="220">
        <f t="shared" si="0"/>
        <v>0</v>
      </c>
      <c r="K22" s="220"/>
      <c r="L22" s="221">
        <f t="shared" si="1"/>
        <v>0</v>
      </c>
      <c r="M22" s="210">
        <v>52250</v>
      </c>
      <c r="N22" s="210">
        <v>27500</v>
      </c>
    </row>
    <row r="23" spans="1:14" ht="18" customHeight="1" x14ac:dyDescent="0.2">
      <c r="A23" s="203"/>
      <c r="B23" s="215" t="s">
        <v>193</v>
      </c>
      <c r="C23" s="109"/>
      <c r="D23" s="216" t="s">
        <v>189</v>
      </c>
      <c r="E23" s="171" t="s">
        <v>198</v>
      </c>
      <c r="F23" s="217" t="s">
        <v>182</v>
      </c>
      <c r="G23" s="217"/>
      <c r="H23" s="218">
        <v>0</v>
      </c>
      <c r="I23" s="229"/>
      <c r="J23" s="220">
        <f t="shared" si="0"/>
        <v>0</v>
      </c>
      <c r="K23" s="220"/>
      <c r="L23" s="221">
        <f t="shared" si="1"/>
        <v>0</v>
      </c>
      <c r="M23" s="210">
        <v>63800</v>
      </c>
      <c r="N23" s="210">
        <v>40700</v>
      </c>
    </row>
    <row r="24" spans="1:14" ht="18" customHeight="1" x14ac:dyDescent="0.2">
      <c r="A24" s="203"/>
      <c r="B24" s="215" t="s">
        <v>193</v>
      </c>
      <c r="C24" s="109"/>
      <c r="D24" s="216" t="s">
        <v>191</v>
      </c>
      <c r="E24" s="171" t="s">
        <v>199</v>
      </c>
      <c r="F24" s="217" t="s">
        <v>182</v>
      </c>
      <c r="G24" s="217"/>
      <c r="H24" s="218">
        <v>0</v>
      </c>
      <c r="I24" s="229"/>
      <c r="J24" s="220">
        <f t="shared" si="0"/>
        <v>0</v>
      </c>
      <c r="K24" s="220"/>
      <c r="L24" s="221">
        <f t="shared" si="1"/>
        <v>0</v>
      </c>
      <c r="M24" s="210">
        <v>76819</v>
      </c>
      <c r="N24" s="210">
        <v>50000</v>
      </c>
    </row>
    <row r="25" spans="1:14" ht="18" customHeight="1" x14ac:dyDescent="0.2">
      <c r="A25" s="203"/>
      <c r="B25" s="215" t="s">
        <v>200</v>
      </c>
      <c r="C25" s="109"/>
      <c r="D25" s="216" t="s">
        <v>201</v>
      </c>
      <c r="E25" s="171" t="s">
        <v>202</v>
      </c>
      <c r="F25" s="217" t="s">
        <v>182</v>
      </c>
      <c r="G25" s="217"/>
      <c r="H25" s="218">
        <v>0</v>
      </c>
      <c r="I25" s="229"/>
      <c r="J25" s="220">
        <f t="shared" si="0"/>
        <v>0</v>
      </c>
      <c r="K25" s="220"/>
      <c r="L25" s="221">
        <f t="shared" si="1"/>
        <v>0</v>
      </c>
      <c r="M25" s="210">
        <v>27600</v>
      </c>
      <c r="N25" s="210">
        <v>11500</v>
      </c>
    </row>
    <row r="26" spans="1:14" ht="18" customHeight="1" x14ac:dyDescent="0.2">
      <c r="A26" s="203"/>
      <c r="B26" s="215" t="s">
        <v>200</v>
      </c>
      <c r="C26" s="109"/>
      <c r="D26" s="216" t="s">
        <v>203</v>
      </c>
      <c r="E26" s="171" t="s">
        <v>204</v>
      </c>
      <c r="F26" s="217" t="s">
        <v>182</v>
      </c>
      <c r="G26" s="217"/>
      <c r="H26" s="218">
        <v>0</v>
      </c>
      <c r="I26" s="229"/>
      <c r="J26" s="220">
        <f t="shared" si="0"/>
        <v>0</v>
      </c>
      <c r="K26" s="220"/>
      <c r="L26" s="221">
        <f t="shared" si="1"/>
        <v>0</v>
      </c>
      <c r="M26" s="210">
        <v>28800</v>
      </c>
      <c r="N26" s="210">
        <v>12000</v>
      </c>
    </row>
    <row r="27" spans="1:14" ht="18" customHeight="1" x14ac:dyDescent="0.2">
      <c r="A27" s="203"/>
      <c r="B27" s="215" t="s">
        <v>200</v>
      </c>
      <c r="C27" s="109"/>
      <c r="D27" s="216" t="s">
        <v>205</v>
      </c>
      <c r="E27" s="171" t="s">
        <v>206</v>
      </c>
      <c r="F27" s="217" t="s">
        <v>182</v>
      </c>
      <c r="G27" s="217"/>
      <c r="H27" s="218">
        <v>0</v>
      </c>
      <c r="I27" s="229"/>
      <c r="J27" s="220">
        <f t="shared" si="0"/>
        <v>0</v>
      </c>
      <c r="K27" s="220"/>
      <c r="L27" s="221">
        <f t="shared" si="1"/>
        <v>0</v>
      </c>
      <c r="M27" s="210">
        <v>42000</v>
      </c>
      <c r="N27" s="210">
        <v>17500</v>
      </c>
    </row>
    <row r="28" spans="1:14" ht="18" customHeight="1" x14ac:dyDescent="0.2">
      <c r="A28" s="203"/>
      <c r="B28" s="215" t="s">
        <v>200</v>
      </c>
      <c r="C28" s="109"/>
      <c r="D28" s="216" t="s">
        <v>205</v>
      </c>
      <c r="E28" s="171" t="s">
        <v>207</v>
      </c>
      <c r="F28" s="217" t="s">
        <v>182</v>
      </c>
      <c r="G28" s="217"/>
      <c r="H28" s="218">
        <v>0</v>
      </c>
      <c r="I28" s="229"/>
      <c r="J28" s="220">
        <f t="shared" si="0"/>
        <v>0</v>
      </c>
      <c r="K28" s="220"/>
      <c r="L28" s="221">
        <f t="shared" si="1"/>
        <v>0</v>
      </c>
      <c r="M28" s="210">
        <v>43200</v>
      </c>
      <c r="N28" s="210">
        <v>18000</v>
      </c>
    </row>
    <row r="29" spans="1:14" ht="18" customHeight="1" x14ac:dyDescent="0.2">
      <c r="A29" s="203"/>
      <c r="B29" s="215" t="s">
        <v>200</v>
      </c>
      <c r="C29" s="109"/>
      <c r="D29" s="216" t="s">
        <v>189</v>
      </c>
      <c r="E29" s="171" t="s">
        <v>208</v>
      </c>
      <c r="F29" s="217" t="s">
        <v>182</v>
      </c>
      <c r="G29" s="217"/>
      <c r="H29" s="218">
        <v>0</v>
      </c>
      <c r="I29" s="229"/>
      <c r="J29" s="220">
        <f t="shared" si="0"/>
        <v>0</v>
      </c>
      <c r="K29" s="220"/>
      <c r="L29" s="221">
        <f t="shared" si="1"/>
        <v>0</v>
      </c>
      <c r="M29" s="210">
        <v>52800</v>
      </c>
      <c r="N29" s="210">
        <v>22000</v>
      </c>
    </row>
    <row r="30" spans="1:14" ht="18" customHeight="1" x14ac:dyDescent="0.2">
      <c r="A30" s="203"/>
      <c r="B30" s="215" t="s">
        <v>209</v>
      </c>
      <c r="C30" s="109"/>
      <c r="D30" s="216" t="s">
        <v>210</v>
      </c>
      <c r="E30" s="171" t="s">
        <v>211</v>
      </c>
      <c r="F30" s="217" t="s">
        <v>171</v>
      </c>
      <c r="G30" s="217"/>
      <c r="H30" s="218">
        <v>0</v>
      </c>
      <c r="I30" s="229"/>
      <c r="J30" s="220">
        <f t="shared" si="0"/>
        <v>0</v>
      </c>
      <c r="K30" s="220"/>
      <c r="L30" s="221">
        <f t="shared" si="1"/>
        <v>0</v>
      </c>
      <c r="M30" s="210">
        <v>840</v>
      </c>
      <c r="N30" s="210">
        <v>350</v>
      </c>
    </row>
    <row r="31" spans="1:14" ht="18" customHeight="1" x14ac:dyDescent="0.2">
      <c r="A31" s="203"/>
      <c r="B31" s="215" t="s">
        <v>212</v>
      </c>
      <c r="C31" s="109"/>
      <c r="D31" s="216" t="s">
        <v>210</v>
      </c>
      <c r="E31" s="171" t="s">
        <v>213</v>
      </c>
      <c r="F31" s="217" t="s">
        <v>182</v>
      </c>
      <c r="G31" s="217"/>
      <c r="H31" s="218">
        <v>0</v>
      </c>
      <c r="I31" s="229"/>
      <c r="J31" s="220">
        <f t="shared" si="0"/>
        <v>0</v>
      </c>
      <c r="K31" s="220"/>
      <c r="L31" s="221">
        <f t="shared" si="1"/>
        <v>0</v>
      </c>
      <c r="M31" s="210">
        <v>360000</v>
      </c>
      <c r="N31" s="210">
        <v>200000</v>
      </c>
    </row>
    <row r="32" spans="1:14" ht="18" customHeight="1" x14ac:dyDescent="0.2">
      <c r="A32" s="203"/>
      <c r="B32" s="215" t="s">
        <v>214</v>
      </c>
      <c r="C32" s="109"/>
      <c r="D32" s="216" t="s">
        <v>180</v>
      </c>
      <c r="E32" s="171" t="s">
        <v>215</v>
      </c>
      <c r="F32" s="217" t="s">
        <v>182</v>
      </c>
      <c r="G32" s="217"/>
      <c r="H32" s="218">
        <v>0</v>
      </c>
      <c r="I32" s="229"/>
      <c r="J32" s="220">
        <f t="shared" si="0"/>
        <v>0</v>
      </c>
      <c r="K32" s="220"/>
      <c r="L32" s="221">
        <f t="shared" si="1"/>
        <v>0</v>
      </c>
      <c r="M32" s="210">
        <v>72000</v>
      </c>
      <c r="N32" s="210">
        <v>30000</v>
      </c>
    </row>
    <row r="33" spans="1:14" ht="18" customHeight="1" x14ac:dyDescent="0.2">
      <c r="A33" s="203"/>
      <c r="B33" s="215" t="s">
        <v>214</v>
      </c>
      <c r="C33" s="109"/>
      <c r="D33" s="216" t="s">
        <v>183</v>
      </c>
      <c r="E33" s="171" t="s">
        <v>216</v>
      </c>
      <c r="F33" s="217" t="s">
        <v>182</v>
      </c>
      <c r="G33" s="217"/>
      <c r="H33" s="218">
        <v>0</v>
      </c>
      <c r="I33" s="229"/>
      <c r="J33" s="220">
        <f t="shared" si="0"/>
        <v>0</v>
      </c>
      <c r="K33" s="220"/>
      <c r="L33" s="221">
        <f t="shared" si="1"/>
        <v>0</v>
      </c>
      <c r="M33" s="210">
        <v>120000</v>
      </c>
      <c r="N33" s="210">
        <v>50000</v>
      </c>
    </row>
    <row r="34" spans="1:14" ht="18" customHeight="1" x14ac:dyDescent="0.2">
      <c r="A34" s="203"/>
      <c r="B34" s="215" t="s">
        <v>214</v>
      </c>
      <c r="C34" s="109"/>
      <c r="D34" s="216" t="s">
        <v>185</v>
      </c>
      <c r="E34" s="171" t="s">
        <v>217</v>
      </c>
      <c r="F34" s="217" t="s">
        <v>182</v>
      </c>
      <c r="G34" s="217"/>
      <c r="H34" s="218">
        <v>0</v>
      </c>
      <c r="I34" s="229"/>
      <c r="J34" s="220">
        <f t="shared" si="0"/>
        <v>0</v>
      </c>
      <c r="K34" s="220"/>
      <c r="L34" s="221">
        <f t="shared" si="1"/>
        <v>0</v>
      </c>
      <c r="M34" s="210">
        <v>165600</v>
      </c>
      <c r="N34" s="210">
        <v>69000</v>
      </c>
    </row>
    <row r="35" spans="1:14" ht="18" customHeight="1" x14ac:dyDescent="0.2">
      <c r="A35" s="203"/>
      <c r="B35" s="215" t="s">
        <v>214</v>
      </c>
      <c r="C35" s="109"/>
      <c r="D35" s="216" t="s">
        <v>187</v>
      </c>
      <c r="E35" s="171" t="s">
        <v>218</v>
      </c>
      <c r="F35" s="217" t="s">
        <v>182</v>
      </c>
      <c r="G35" s="217"/>
      <c r="H35" s="218"/>
      <c r="I35" s="229"/>
      <c r="J35" s="220">
        <f t="shared" si="0"/>
        <v>0</v>
      </c>
      <c r="K35" s="220"/>
      <c r="L35" s="221">
        <f t="shared" si="1"/>
        <v>0</v>
      </c>
      <c r="M35" s="210">
        <v>165600</v>
      </c>
      <c r="N35" s="210">
        <v>69000</v>
      </c>
    </row>
    <row r="36" spans="1:14" ht="18" customHeight="1" x14ac:dyDescent="0.2">
      <c r="A36" s="203"/>
      <c r="B36" s="215" t="s">
        <v>214</v>
      </c>
      <c r="C36" s="109"/>
      <c r="D36" s="216" t="s">
        <v>189</v>
      </c>
      <c r="E36" s="171" t="s">
        <v>219</v>
      </c>
      <c r="F36" s="217" t="s">
        <v>182</v>
      </c>
      <c r="G36" s="217"/>
      <c r="H36" s="218">
        <v>0</v>
      </c>
      <c r="I36" s="229"/>
      <c r="J36" s="220">
        <f t="shared" si="0"/>
        <v>0</v>
      </c>
      <c r="K36" s="220"/>
      <c r="L36" s="221">
        <f t="shared" si="1"/>
        <v>0</v>
      </c>
      <c r="M36" s="210">
        <v>176400</v>
      </c>
      <c r="N36" s="210">
        <v>98000</v>
      </c>
    </row>
    <row r="37" spans="1:14" ht="18" customHeight="1" x14ac:dyDescent="0.2">
      <c r="A37" s="203"/>
      <c r="B37" s="215" t="s">
        <v>214</v>
      </c>
      <c r="C37" s="109"/>
      <c r="D37" s="216" t="s">
        <v>191</v>
      </c>
      <c r="E37" s="171" t="s">
        <v>220</v>
      </c>
      <c r="F37" s="217" t="s">
        <v>182</v>
      </c>
      <c r="G37" s="217"/>
      <c r="H37" s="218">
        <v>0</v>
      </c>
      <c r="I37" s="229"/>
      <c r="J37" s="220">
        <f t="shared" si="0"/>
        <v>0</v>
      </c>
      <c r="K37" s="220"/>
      <c r="L37" s="221">
        <f t="shared" si="1"/>
        <v>0</v>
      </c>
      <c r="M37" s="210">
        <v>221400</v>
      </c>
      <c r="N37" s="210">
        <v>123000</v>
      </c>
    </row>
    <row r="38" spans="1:14" ht="18" customHeight="1" x14ac:dyDescent="0.2">
      <c r="A38" s="203"/>
      <c r="B38" s="215" t="s">
        <v>221</v>
      </c>
      <c r="C38" s="109"/>
      <c r="D38" s="216" t="s">
        <v>210</v>
      </c>
      <c r="E38" s="171" t="s">
        <v>222</v>
      </c>
      <c r="F38" s="217" t="s">
        <v>171</v>
      </c>
      <c r="G38" s="217"/>
      <c r="H38" s="218">
        <v>0</v>
      </c>
      <c r="I38" s="229"/>
      <c r="J38" s="220">
        <f t="shared" si="0"/>
        <v>0</v>
      </c>
      <c r="K38" s="220"/>
      <c r="L38" s="221">
        <f t="shared" si="1"/>
        <v>0</v>
      </c>
      <c r="M38" s="210">
        <v>156</v>
      </c>
      <c r="N38" s="210">
        <v>65</v>
      </c>
    </row>
    <row r="39" spans="1:14" ht="18" customHeight="1" x14ac:dyDescent="0.2">
      <c r="A39" s="203"/>
      <c r="B39" s="215" t="s">
        <v>223</v>
      </c>
      <c r="C39" s="109"/>
      <c r="D39" s="216" t="s">
        <v>224</v>
      </c>
      <c r="E39" s="109" t="s">
        <v>225</v>
      </c>
      <c r="F39" s="216" t="s">
        <v>226</v>
      </c>
      <c r="G39" s="216"/>
      <c r="H39" s="218">
        <v>0</v>
      </c>
      <c r="I39" s="230"/>
      <c r="J39" s="231">
        <f t="shared" si="0"/>
        <v>0</v>
      </c>
      <c r="K39" s="231"/>
      <c r="L39" s="232">
        <f t="shared" si="1"/>
        <v>0</v>
      </c>
      <c r="M39" s="210">
        <f t="shared" ref="M39:M46" si="2">N39*1.2</f>
        <v>13200</v>
      </c>
      <c r="N39" s="210">
        <v>11000</v>
      </c>
    </row>
    <row r="40" spans="1:14" ht="18" customHeight="1" thickBot="1" x14ac:dyDescent="0.25">
      <c r="A40" s="203"/>
      <c r="B40" s="215" t="s">
        <v>227</v>
      </c>
      <c r="C40" s="109"/>
      <c r="D40" s="216" t="s">
        <v>228</v>
      </c>
      <c r="E40" s="109" t="s">
        <v>229</v>
      </c>
      <c r="F40" s="216" t="s">
        <v>230</v>
      </c>
      <c r="G40" s="216"/>
      <c r="H40" s="218">
        <v>0</v>
      </c>
      <c r="I40" s="230"/>
      <c r="J40" s="231">
        <f t="shared" si="0"/>
        <v>0</v>
      </c>
      <c r="K40" s="231"/>
      <c r="L40" s="232">
        <f t="shared" si="1"/>
        <v>0</v>
      </c>
      <c r="M40" s="210">
        <v>7590</v>
      </c>
      <c r="N40" s="210">
        <v>2675</v>
      </c>
    </row>
    <row r="41" spans="1:14" ht="18" customHeight="1" x14ac:dyDescent="0.25">
      <c r="A41" s="203"/>
      <c r="B41" s="215" t="s">
        <v>231</v>
      </c>
      <c r="C41" s="109"/>
      <c r="D41" s="216" t="s">
        <v>210</v>
      </c>
      <c r="E41" s="109" t="s">
        <v>232</v>
      </c>
      <c r="F41" s="216" t="s">
        <v>233</v>
      </c>
      <c r="G41" s="233">
        <f>SUM((((H7+H8+H9+H10+H11+H12)*3)/27)+((((5*7)*(H13+H14+H19+H20)))/27)+((((7*11)*(H15+H21+H16+H22)))/27)+((((8*14)*(H17+H23+H18+H24+H31)))/27))*0.1</f>
        <v>15.355555555555558</v>
      </c>
      <c r="H41" s="234">
        <f>G41</f>
        <v>15.355555555555558</v>
      </c>
      <c r="I41" s="235"/>
      <c r="J41" s="231">
        <f>G41*M41</f>
        <v>12668.333333333336</v>
      </c>
      <c r="K41" s="231"/>
      <c r="L41" s="232">
        <f t="shared" si="1"/>
        <v>6910.0000000000009</v>
      </c>
      <c r="M41" s="210">
        <v>825</v>
      </c>
      <c r="N41" s="210">
        <v>450</v>
      </c>
    </row>
    <row r="42" spans="1:14" ht="6.75" customHeight="1" x14ac:dyDescent="0.2">
      <c r="A42" s="203"/>
      <c r="B42" s="222"/>
      <c r="C42" s="223"/>
      <c r="D42" s="224"/>
      <c r="E42" s="223"/>
      <c r="F42" s="224"/>
      <c r="G42" s="224"/>
      <c r="H42" s="225"/>
      <c r="I42" s="236"/>
      <c r="J42" s="227"/>
      <c r="K42" s="227"/>
      <c r="L42" s="228"/>
      <c r="M42" s="210"/>
      <c r="N42" s="210"/>
    </row>
    <row r="43" spans="1:14" ht="18" customHeight="1" x14ac:dyDescent="0.25">
      <c r="A43" s="203"/>
      <c r="B43" s="215"/>
      <c r="C43" s="109"/>
      <c r="D43" s="216"/>
      <c r="E43" s="109" t="s">
        <v>234</v>
      </c>
      <c r="F43" s="216" t="s">
        <v>233</v>
      </c>
      <c r="G43" s="216"/>
      <c r="H43" s="218">
        <v>0</v>
      </c>
      <c r="I43" s="219" t="s">
        <v>167</v>
      </c>
      <c r="J43" s="231">
        <f t="shared" si="0"/>
        <v>0</v>
      </c>
      <c r="K43" s="231"/>
      <c r="L43" s="232">
        <f t="shared" si="1"/>
        <v>0</v>
      </c>
      <c r="M43" s="210">
        <v>198</v>
      </c>
      <c r="N43" s="210">
        <v>115</v>
      </c>
    </row>
    <row r="44" spans="1:14" ht="18" customHeight="1" x14ac:dyDescent="0.25">
      <c r="A44" s="203"/>
      <c r="B44" s="215"/>
      <c r="C44" s="109"/>
      <c r="D44" s="216"/>
      <c r="E44" s="109" t="s">
        <v>235</v>
      </c>
      <c r="F44" s="216" t="s">
        <v>236</v>
      </c>
      <c r="G44" s="216"/>
      <c r="H44" s="218">
        <v>0</v>
      </c>
      <c r="I44" s="219" t="s">
        <v>167</v>
      </c>
      <c r="J44" s="231">
        <f t="shared" si="0"/>
        <v>0</v>
      </c>
      <c r="K44" s="231"/>
      <c r="L44" s="232">
        <f t="shared" si="1"/>
        <v>0</v>
      </c>
      <c r="M44" s="210">
        <v>54</v>
      </c>
      <c r="N44" s="237">
        <f>(24*1.5)</f>
        <v>36</v>
      </c>
    </row>
    <row r="45" spans="1:14" ht="18" customHeight="1" x14ac:dyDescent="0.25">
      <c r="A45" s="203"/>
      <c r="B45" s="215"/>
      <c r="C45" s="109"/>
      <c r="D45" s="216"/>
      <c r="E45" s="109" t="s">
        <v>237</v>
      </c>
      <c r="F45" s="216" t="s">
        <v>236</v>
      </c>
      <c r="G45" s="216"/>
      <c r="H45" s="218">
        <v>0</v>
      </c>
      <c r="I45" s="219" t="s">
        <v>167</v>
      </c>
      <c r="J45" s="231">
        <f t="shared" si="0"/>
        <v>0</v>
      </c>
      <c r="K45" s="231"/>
      <c r="L45" s="232">
        <f t="shared" si="1"/>
        <v>0</v>
      </c>
      <c r="M45" s="210">
        <v>110</v>
      </c>
      <c r="N45" s="237">
        <f>(60*1.5)</f>
        <v>90</v>
      </c>
    </row>
    <row r="46" spans="1:14" ht="18" customHeight="1" x14ac:dyDescent="0.25">
      <c r="A46" s="203"/>
      <c r="B46" s="215"/>
      <c r="C46" s="109"/>
      <c r="D46" s="216"/>
      <c r="E46" s="109" t="s">
        <v>238</v>
      </c>
      <c r="F46" s="216" t="s">
        <v>236</v>
      </c>
      <c r="G46" s="216"/>
      <c r="H46" s="218">
        <v>0</v>
      </c>
      <c r="I46" s="219" t="s">
        <v>167</v>
      </c>
      <c r="J46" s="231">
        <f t="shared" si="0"/>
        <v>0</v>
      </c>
      <c r="K46" s="231"/>
      <c r="L46" s="232">
        <f t="shared" si="1"/>
        <v>0</v>
      </c>
      <c r="M46" s="210">
        <f t="shared" si="2"/>
        <v>90</v>
      </c>
      <c r="N46" s="237">
        <f>(50*1.5)</f>
        <v>75</v>
      </c>
    </row>
    <row r="47" spans="1:14" ht="6" customHeight="1" x14ac:dyDescent="0.2">
      <c r="A47" s="203"/>
      <c r="B47" s="222"/>
      <c r="C47" s="223"/>
      <c r="D47" s="224"/>
      <c r="E47" s="223"/>
      <c r="F47" s="224"/>
      <c r="G47" s="224"/>
      <c r="H47" s="236"/>
      <c r="I47" s="236"/>
      <c r="J47" s="227"/>
      <c r="K47" s="227"/>
      <c r="L47" s="228"/>
      <c r="M47" s="238"/>
      <c r="N47" s="238"/>
    </row>
    <row r="48" spans="1:14" ht="6" customHeight="1" x14ac:dyDescent="0.2">
      <c r="A48" s="203"/>
      <c r="B48" s="239"/>
      <c r="C48" s="240"/>
      <c r="D48" s="241"/>
      <c r="E48" s="242"/>
      <c r="F48" s="243"/>
      <c r="G48" s="244"/>
      <c r="H48" s="245"/>
      <c r="I48" s="246"/>
      <c r="J48" s="247"/>
      <c r="K48" s="248"/>
      <c r="L48" s="249"/>
      <c r="M48" s="238"/>
      <c r="N48" s="238"/>
    </row>
    <row r="49" spans="1:14" ht="18" customHeight="1" x14ac:dyDescent="0.25">
      <c r="A49" s="203"/>
      <c r="B49" s="239"/>
      <c r="C49" s="240"/>
      <c r="D49" s="241"/>
      <c r="E49" s="242"/>
      <c r="F49" s="243"/>
      <c r="G49" s="244"/>
      <c r="H49" s="245"/>
      <c r="I49" s="246"/>
      <c r="J49" s="250">
        <f>SUM(J4:J46)</f>
        <v>623168.33333333337</v>
      </c>
      <c r="K49" s="251"/>
      <c r="L49" s="252">
        <f>SUM(J4:J46)</f>
        <v>623168.33333333337</v>
      </c>
      <c r="M49" s="238"/>
      <c r="N49" s="238"/>
    </row>
    <row r="50" spans="1:14" ht="6" customHeight="1" x14ac:dyDescent="0.2">
      <c r="B50" s="253"/>
      <c r="C50" s="254"/>
      <c r="D50" s="255"/>
      <c r="E50" s="256"/>
      <c r="F50" s="257"/>
      <c r="G50" s="258"/>
      <c r="H50" s="257"/>
      <c r="I50" s="259"/>
      <c r="J50" s="248"/>
      <c r="K50" s="248"/>
      <c r="L50" s="260"/>
      <c r="M50" s="261"/>
      <c r="N50" s="262"/>
    </row>
    <row r="51" spans="1:14" s="16" customFormat="1" ht="18" customHeight="1" thickBot="1" x14ac:dyDescent="0.3">
      <c r="A51" s="263"/>
      <c r="B51" s="264" t="s">
        <v>239</v>
      </c>
      <c r="C51" s="265"/>
      <c r="D51" s="265"/>
      <c r="E51" s="266" t="s">
        <v>240</v>
      </c>
      <c r="F51" s="267" t="s">
        <v>241</v>
      </c>
      <c r="G51" s="268"/>
      <c r="H51" s="267" t="s">
        <v>160</v>
      </c>
      <c r="I51" s="269"/>
      <c r="J51" s="270" t="s">
        <v>242</v>
      </c>
      <c r="K51" s="270"/>
      <c r="L51" s="271" t="s">
        <v>160</v>
      </c>
      <c r="M51" s="261"/>
      <c r="N51" s="262"/>
    </row>
    <row r="52" spans="1:14" s="16" customFormat="1" ht="6" customHeight="1" thickTop="1" thickBot="1" x14ac:dyDescent="0.25">
      <c r="A52" s="263"/>
      <c r="B52" s="272"/>
      <c r="C52" s="273"/>
      <c r="D52" s="274"/>
      <c r="E52" s="275"/>
      <c r="F52" s="276"/>
      <c r="G52" s="277"/>
      <c r="H52" s="276"/>
      <c r="I52" s="278"/>
      <c r="J52" s="248"/>
      <c r="K52" s="248"/>
      <c r="L52" s="260"/>
      <c r="M52" s="261"/>
      <c r="N52" s="262"/>
    </row>
    <row r="53" spans="1:14" s="104" customFormat="1" ht="18" customHeight="1" thickBot="1" x14ac:dyDescent="0.3">
      <c r="A53" s="279"/>
      <c r="B53" s="280" t="s">
        <v>243</v>
      </c>
      <c r="C53" s="281">
        <v>0</v>
      </c>
      <c r="D53" s="282" t="s">
        <v>244</v>
      </c>
      <c r="E53" s="283" t="s">
        <v>245</v>
      </c>
      <c r="F53" s="284"/>
      <c r="G53" s="285"/>
      <c r="H53" s="284"/>
      <c r="I53" s="286"/>
      <c r="J53" s="248">
        <f>+J49</f>
        <v>623168.33333333337</v>
      </c>
      <c r="K53" s="248"/>
      <c r="L53" s="260">
        <f>+L49</f>
        <v>623168.33333333337</v>
      </c>
      <c r="M53" s="287"/>
      <c r="N53" s="288"/>
    </row>
    <row r="54" spans="1:14" s="104" customFormat="1" ht="6" customHeight="1" thickBot="1" x14ac:dyDescent="0.25">
      <c r="A54" s="279"/>
      <c r="B54" s="280"/>
      <c r="C54" s="289"/>
      <c r="D54" s="290"/>
      <c r="E54" s="291"/>
      <c r="F54" s="284"/>
      <c r="G54" s="285"/>
      <c r="H54" s="284"/>
      <c r="I54" s="286"/>
      <c r="J54" s="248"/>
      <c r="K54" s="248"/>
      <c r="L54" s="260"/>
      <c r="M54" s="287"/>
      <c r="N54" s="288"/>
    </row>
    <row r="55" spans="1:14" s="104" customFormat="1" ht="18" customHeight="1" thickBot="1" x14ac:dyDescent="0.3">
      <c r="A55" s="279"/>
      <c r="B55" s="292" t="s">
        <v>246</v>
      </c>
      <c r="C55" s="281">
        <v>0</v>
      </c>
      <c r="D55" s="282" t="s">
        <v>247</v>
      </c>
      <c r="E55" s="291" t="s">
        <v>248</v>
      </c>
      <c r="F55" s="293">
        <v>0.1</v>
      </c>
      <c r="G55" s="294">
        <f>SUM((H7+H8+H9+H10+H11+H12)/75+(H13+H14+H15+H16+H17+H18)*4+(H19+H20+H21+H22+H23+H24)*18+(H25+H26+H27+H28+H29)*3+(H30/16)+(H31)*20+(H32+H33+H34+H35+H36+H37)*22+(H38)/300+(H39)*6+(H40)*1+(H41)/3)*350</f>
        <v>11918.148148148148</v>
      </c>
      <c r="H55" s="293">
        <v>0.25</v>
      </c>
      <c r="I55" s="278"/>
      <c r="J55" s="295">
        <f>G55*1.1</f>
        <v>13109.962962962964</v>
      </c>
      <c r="K55" s="248"/>
      <c r="L55" s="260">
        <f>G55*1.25</f>
        <v>14897.685185185184</v>
      </c>
      <c r="M55" s="287"/>
      <c r="N55" s="288"/>
    </row>
    <row r="56" spans="1:14" s="16" customFormat="1" ht="6" customHeight="1" thickBot="1" x14ac:dyDescent="0.25">
      <c r="A56" s="263"/>
      <c r="B56" s="296"/>
      <c r="C56" s="297"/>
      <c r="D56" s="290"/>
      <c r="E56" s="298"/>
      <c r="F56" s="299"/>
      <c r="G56" s="300"/>
      <c r="H56" s="299"/>
      <c r="I56" s="301"/>
      <c r="J56" s="247"/>
      <c r="K56" s="248"/>
      <c r="L56" s="302"/>
      <c r="M56" s="261"/>
      <c r="N56" s="262"/>
    </row>
    <row r="57" spans="1:14" s="104" customFormat="1" ht="18" customHeight="1" thickBot="1" x14ac:dyDescent="0.3">
      <c r="A57" s="279"/>
      <c r="B57" s="292" t="s">
        <v>249</v>
      </c>
      <c r="C57" s="281">
        <v>0</v>
      </c>
      <c r="D57" s="282" t="s">
        <v>250</v>
      </c>
      <c r="E57" s="303" t="s">
        <v>18</v>
      </c>
      <c r="F57" s="276"/>
      <c r="G57" s="304"/>
      <c r="H57" s="276"/>
      <c r="I57" s="278"/>
      <c r="J57" s="250">
        <f>SUM(J53:J55)</f>
        <v>636278.29629629629</v>
      </c>
      <c r="K57" s="251"/>
      <c r="L57" s="252">
        <f>SUM(L53:L55)</f>
        <v>638066.01851851854</v>
      </c>
      <c r="M57" s="287"/>
      <c r="N57" s="288"/>
    </row>
    <row r="58" spans="1:14" s="104" customFormat="1" ht="6" customHeight="1" thickBot="1" x14ac:dyDescent="0.3">
      <c r="A58" s="279"/>
      <c r="B58" s="292"/>
      <c r="C58" s="305"/>
      <c r="D58" s="306"/>
      <c r="E58" s="303"/>
      <c r="F58" s="276"/>
      <c r="G58" s="304"/>
      <c r="H58" s="276"/>
      <c r="I58" s="278"/>
      <c r="J58" s="248"/>
      <c r="K58" s="248"/>
      <c r="L58" s="260"/>
      <c r="M58" s="287"/>
      <c r="N58" s="288"/>
    </row>
    <row r="59" spans="1:14" s="104" customFormat="1" ht="18" customHeight="1" thickBot="1" x14ac:dyDescent="0.3">
      <c r="A59" s="279"/>
      <c r="B59" s="292" t="s">
        <v>251</v>
      </c>
      <c r="C59" s="281">
        <v>0</v>
      </c>
      <c r="D59" s="282" t="s">
        <v>252</v>
      </c>
      <c r="E59" s="291" t="s">
        <v>253</v>
      </c>
      <c r="F59" s="307" t="s">
        <v>254</v>
      </c>
      <c r="G59" s="308" t="s">
        <v>255</v>
      </c>
      <c r="H59" s="307">
        <v>0.15</v>
      </c>
      <c r="I59" s="278"/>
      <c r="J59" s="248" t="e">
        <f>IF(G59="Y",J53*F59,0)</f>
        <v>#VALUE!</v>
      </c>
      <c r="K59" s="248"/>
      <c r="L59" s="260">
        <f>IF(G59="Y",L53*H59,0)</f>
        <v>93475.25</v>
      </c>
      <c r="M59" s="287"/>
      <c r="N59" s="288"/>
    </row>
    <row r="60" spans="1:14" s="16" customFormat="1" ht="6" customHeight="1" thickBot="1" x14ac:dyDescent="0.25">
      <c r="A60" s="263"/>
      <c r="B60" s="292"/>
      <c r="C60" s="273"/>
      <c r="D60" s="290"/>
      <c r="E60" s="291"/>
      <c r="F60" s="276"/>
      <c r="G60" s="304"/>
      <c r="H60" s="276"/>
      <c r="I60" s="278"/>
      <c r="J60" s="248"/>
      <c r="K60" s="248"/>
      <c r="L60" s="260"/>
      <c r="M60" s="261"/>
      <c r="N60" s="262"/>
    </row>
    <row r="61" spans="1:14" s="104" customFormat="1" ht="18" customHeight="1" thickBot="1" x14ac:dyDescent="0.3">
      <c r="A61" s="279"/>
      <c r="B61" s="292" t="s">
        <v>256</v>
      </c>
      <c r="C61" s="281">
        <v>0</v>
      </c>
      <c r="D61" s="282" t="s">
        <v>257</v>
      </c>
      <c r="E61" s="309" t="s">
        <v>258</v>
      </c>
      <c r="F61" s="310" t="s">
        <v>259</v>
      </c>
      <c r="G61" s="311" t="s">
        <v>255</v>
      </c>
      <c r="H61" s="310">
        <v>0.1</v>
      </c>
      <c r="I61" s="278"/>
      <c r="J61" s="248" t="e">
        <f>J53*F61</f>
        <v>#VALUE!</v>
      </c>
      <c r="K61" s="248"/>
      <c r="L61" s="260">
        <f>L53*H61</f>
        <v>62316.833333333343</v>
      </c>
      <c r="M61" s="287"/>
      <c r="N61" s="288"/>
    </row>
    <row r="62" spans="1:14" s="16" customFormat="1" ht="6" customHeight="1" thickBot="1" x14ac:dyDescent="0.25">
      <c r="A62" s="263"/>
      <c r="B62" s="292"/>
      <c r="C62" s="273"/>
      <c r="D62" s="274"/>
      <c r="E62" s="291"/>
      <c r="F62" s="312"/>
      <c r="G62" s="304"/>
      <c r="H62" s="312"/>
      <c r="I62" s="278"/>
      <c r="J62" s="248"/>
      <c r="K62" s="248"/>
      <c r="L62" s="260"/>
      <c r="M62" s="261"/>
      <c r="N62" s="262"/>
    </row>
    <row r="63" spans="1:14" s="104" customFormat="1" ht="18" customHeight="1" thickBot="1" x14ac:dyDescent="0.3">
      <c r="A63" s="279"/>
      <c r="B63" s="292" t="s">
        <v>260</v>
      </c>
      <c r="C63" s="281">
        <v>0</v>
      </c>
      <c r="D63" s="282" t="s">
        <v>261</v>
      </c>
      <c r="E63" s="309" t="s">
        <v>262</v>
      </c>
      <c r="F63" s="310" t="s">
        <v>259</v>
      </c>
      <c r="G63" s="311" t="s">
        <v>255</v>
      </c>
      <c r="H63" s="310">
        <v>0.1</v>
      </c>
      <c r="I63" s="278"/>
      <c r="J63" s="248" t="e">
        <f>J53*F63</f>
        <v>#VALUE!</v>
      </c>
      <c r="K63" s="248"/>
      <c r="L63" s="260">
        <f>L53*H63</f>
        <v>62316.833333333343</v>
      </c>
      <c r="M63" s="287"/>
      <c r="N63" s="288"/>
    </row>
    <row r="64" spans="1:14" s="16" customFormat="1" ht="6" customHeight="1" thickBot="1" x14ac:dyDescent="0.25">
      <c r="A64" s="263"/>
      <c r="B64" s="292"/>
      <c r="C64" s="273"/>
      <c r="D64" s="274"/>
      <c r="E64" s="291"/>
      <c r="F64" s="276"/>
      <c r="G64" s="304"/>
      <c r="H64" s="276"/>
      <c r="I64" s="278"/>
      <c r="J64" s="248"/>
      <c r="K64" s="248"/>
      <c r="L64" s="260"/>
      <c r="M64" s="261"/>
      <c r="N64" s="262"/>
    </row>
    <row r="65" spans="1:14" s="16" customFormat="1" ht="18" customHeight="1" thickBot="1" x14ac:dyDescent="0.3">
      <c r="A65" s="263"/>
      <c r="B65" s="292" t="s">
        <v>263</v>
      </c>
      <c r="C65" s="281">
        <v>0</v>
      </c>
      <c r="D65" s="282" t="s">
        <v>264</v>
      </c>
      <c r="E65" s="291" t="s">
        <v>265</v>
      </c>
      <c r="F65" s="313">
        <v>0.25</v>
      </c>
      <c r="G65" s="304">
        <v>2</v>
      </c>
      <c r="H65" s="313">
        <v>0.25</v>
      </c>
      <c r="I65" s="278"/>
      <c r="J65" s="248">
        <f>J57*F65</f>
        <v>159069.57407407407</v>
      </c>
      <c r="K65" s="248"/>
      <c r="L65" s="260">
        <f>L57*H65</f>
        <v>159516.50462962964</v>
      </c>
      <c r="M65" s="261"/>
      <c r="N65" s="262"/>
    </row>
    <row r="66" spans="1:14" s="16" customFormat="1" ht="6" customHeight="1" thickBot="1" x14ac:dyDescent="0.25">
      <c r="A66" s="263"/>
      <c r="B66" s="292"/>
      <c r="C66" s="273"/>
      <c r="D66" s="290"/>
      <c r="E66" s="314"/>
      <c r="F66" s="315"/>
      <c r="G66" s="316"/>
      <c r="H66" s="315"/>
      <c r="I66" s="317"/>
      <c r="J66" s="318"/>
      <c r="K66" s="248"/>
      <c r="L66" s="319"/>
      <c r="M66" s="261"/>
      <c r="N66" s="262"/>
    </row>
    <row r="67" spans="1:14" s="16" customFormat="1" ht="18" customHeight="1" thickTop="1" thickBot="1" x14ac:dyDescent="0.3">
      <c r="A67" s="263"/>
      <c r="B67" s="292" t="s">
        <v>266</v>
      </c>
      <c r="C67" s="281">
        <v>0</v>
      </c>
      <c r="D67" s="320" t="s">
        <v>267</v>
      </c>
      <c r="E67" s="321" t="s">
        <v>268</v>
      </c>
      <c r="F67" s="276"/>
      <c r="G67" s="322" t="s">
        <v>255</v>
      </c>
      <c r="H67" s="276"/>
      <c r="I67" s="278"/>
      <c r="J67" s="250" t="e">
        <f>IF(G67="Y", ROUNDUP(SUM(J57+J59+J61+J63+J65),-2), SUM(J57+J59+J61+J63+J65))</f>
        <v>#VALUE!</v>
      </c>
      <c r="K67" s="251"/>
      <c r="L67" s="252">
        <f>IF(G67="Y", ROUNDUP(SUM(L57+L59+L61+L63+L65),-2), SUM(L57+L59+L61+L63+L65))</f>
        <v>1015700</v>
      </c>
      <c r="M67" s="261"/>
      <c r="N67" s="262"/>
    </row>
    <row r="68" spans="1:14" s="16" customFormat="1" ht="6" customHeight="1" thickBot="1" x14ac:dyDescent="0.3">
      <c r="A68" s="263"/>
      <c r="B68" s="292"/>
      <c r="C68" s="323"/>
      <c r="D68" s="306"/>
      <c r="E68" s="321"/>
      <c r="F68" s="276"/>
      <c r="G68" s="324"/>
      <c r="H68" s="276"/>
      <c r="I68" s="278"/>
      <c r="J68" s="250"/>
      <c r="K68" s="251"/>
      <c r="L68" s="252"/>
      <c r="M68" s="261"/>
      <c r="N68" s="262"/>
    </row>
    <row r="69" spans="1:14" s="16" customFormat="1" ht="18" customHeight="1" thickBot="1" x14ac:dyDescent="0.3">
      <c r="A69" s="263"/>
      <c r="B69" s="292" t="s">
        <v>269</v>
      </c>
      <c r="C69" s="281">
        <v>0</v>
      </c>
      <c r="D69" s="282" t="s">
        <v>270</v>
      </c>
      <c r="E69" s="325" t="s">
        <v>271</v>
      </c>
      <c r="F69" s="326"/>
      <c r="G69" s="327"/>
      <c r="H69" s="326"/>
      <c r="I69" s="278"/>
      <c r="J69" s="250">
        <f>C53+C55+C57+C59+C61+C63+C65+C67+C69</f>
        <v>0</v>
      </c>
      <c r="K69" s="251"/>
      <c r="L69" s="328">
        <f>C53+C55+C57+C59+C61+C63+C65+C67+C69</f>
        <v>0</v>
      </c>
      <c r="M69" s="261"/>
      <c r="N69" s="262"/>
    </row>
    <row r="70" spans="1:14" s="16" customFormat="1" ht="6" customHeight="1" x14ac:dyDescent="0.25">
      <c r="A70" s="263"/>
      <c r="B70" s="292"/>
      <c r="C70" s="323"/>
      <c r="D70" s="306"/>
      <c r="E70" s="321"/>
      <c r="F70" s="276"/>
      <c r="G70" s="304"/>
      <c r="H70" s="276"/>
      <c r="I70" s="278"/>
      <c r="J70" s="250"/>
      <c r="K70" s="251"/>
      <c r="L70" s="252"/>
      <c r="M70" s="261"/>
      <c r="N70" s="262"/>
    </row>
    <row r="71" spans="1:14" s="16" customFormat="1" ht="18" customHeight="1" x14ac:dyDescent="0.25">
      <c r="A71" s="263"/>
      <c r="B71" s="292"/>
      <c r="C71" s="323"/>
      <c r="D71" s="306"/>
      <c r="E71" s="321" t="s">
        <v>272</v>
      </c>
      <c r="F71" s="276"/>
      <c r="G71" s="304"/>
      <c r="H71" s="276"/>
      <c r="I71" s="278"/>
      <c r="J71" s="250" t="e">
        <f>SUM(J67+J69)</f>
        <v>#VALUE!</v>
      </c>
      <c r="K71" s="251"/>
      <c r="L71" s="252">
        <f>SUM(L67+L69)</f>
        <v>1015700</v>
      </c>
      <c r="M71" s="261"/>
      <c r="N71" s="262"/>
    </row>
    <row r="72" spans="1:14" s="16" customFormat="1" ht="6" customHeight="1" x14ac:dyDescent="0.25">
      <c r="A72" s="263"/>
      <c r="B72" s="272"/>
      <c r="C72" s="273"/>
      <c r="D72" s="290"/>
      <c r="E72" s="321"/>
      <c r="F72" s="276"/>
      <c r="G72" s="277"/>
      <c r="H72" s="276"/>
      <c r="I72" s="278"/>
      <c r="J72" s="248"/>
      <c r="K72" s="248"/>
      <c r="L72" s="329"/>
      <c r="M72" s="261"/>
      <c r="N72" s="262"/>
    </row>
    <row r="73" spans="1:14" s="16" customFormat="1" ht="6" customHeight="1" thickBot="1" x14ac:dyDescent="0.25">
      <c r="A73" s="263"/>
      <c r="B73" s="330"/>
      <c r="C73" s="331"/>
      <c r="D73" s="332"/>
      <c r="E73" s="333"/>
      <c r="F73" s="332"/>
      <c r="G73" s="332"/>
      <c r="H73" s="332"/>
      <c r="I73" s="332"/>
      <c r="J73" s="334"/>
      <c r="K73" s="334"/>
      <c r="L73" s="335"/>
      <c r="M73" s="261"/>
      <c r="N73" s="262"/>
    </row>
    <row r="74" spans="1:14" ht="6.75" customHeight="1" thickBot="1" x14ac:dyDescent="0.25">
      <c r="B74" s="336"/>
      <c r="C74" s="254"/>
      <c r="D74" s="255"/>
      <c r="E74" s="254"/>
      <c r="F74" s="255"/>
      <c r="G74" s="255"/>
      <c r="H74" s="255"/>
      <c r="I74" s="255"/>
      <c r="J74" s="255"/>
      <c r="K74" s="255"/>
      <c r="L74" s="337"/>
    </row>
    <row r="75" spans="1:14" ht="13.5" customHeight="1" thickBot="1" x14ac:dyDescent="0.25">
      <c r="B75" s="338" t="s">
        <v>273</v>
      </c>
      <c r="C75" s="339" t="s">
        <v>274</v>
      </c>
      <c r="D75" s="340" t="s">
        <v>275</v>
      </c>
      <c r="E75" s="468" t="s">
        <v>276</v>
      </c>
      <c r="F75" s="469"/>
      <c r="G75" s="469"/>
      <c r="H75" s="469"/>
      <c r="I75" s="469"/>
      <c r="J75" s="469"/>
      <c r="K75" s="469"/>
      <c r="L75" s="470"/>
    </row>
    <row r="76" spans="1:14" x14ac:dyDescent="0.2">
      <c r="B76" s="341"/>
      <c r="C76" s="342"/>
      <c r="D76" s="343"/>
      <c r="E76" s="471"/>
      <c r="F76" s="472"/>
      <c r="G76" s="472"/>
      <c r="H76" s="472"/>
      <c r="I76" s="472"/>
      <c r="J76" s="472"/>
      <c r="K76" s="472"/>
      <c r="L76" s="473"/>
    </row>
    <row r="77" spans="1:14" ht="15.75" x14ac:dyDescent="0.2">
      <c r="B77" s="477" t="s">
        <v>277</v>
      </c>
      <c r="C77" s="478"/>
      <c r="D77" s="479"/>
      <c r="E77" s="471"/>
      <c r="F77" s="472"/>
      <c r="G77" s="472"/>
      <c r="H77" s="472"/>
      <c r="I77" s="472"/>
      <c r="J77" s="472"/>
      <c r="K77" s="472"/>
      <c r="L77" s="473"/>
    </row>
    <row r="78" spans="1:14" ht="13.5" thickBot="1" x14ac:dyDescent="0.25">
      <c r="B78" s="253"/>
      <c r="C78" s="254"/>
      <c r="D78" s="255"/>
      <c r="E78" s="474"/>
      <c r="F78" s="475"/>
      <c r="G78" s="475"/>
      <c r="H78" s="475"/>
      <c r="I78" s="475"/>
      <c r="J78" s="475"/>
      <c r="K78" s="475"/>
      <c r="L78" s="476"/>
    </row>
    <row r="79" spans="1:14" ht="6.75" customHeight="1" thickBot="1" x14ac:dyDescent="0.25">
      <c r="B79" s="253"/>
      <c r="C79" s="254"/>
      <c r="D79" s="255"/>
      <c r="E79" s="254"/>
      <c r="F79" s="255"/>
      <c r="G79" s="255"/>
      <c r="H79" s="255"/>
      <c r="I79" s="255"/>
      <c r="J79" s="255"/>
      <c r="K79" s="255"/>
      <c r="L79" s="337"/>
    </row>
    <row r="80" spans="1:14" ht="13.5" thickBot="1" x14ac:dyDescent="0.25">
      <c r="B80" s="338" t="s">
        <v>273</v>
      </c>
      <c r="C80" s="339" t="s">
        <v>274</v>
      </c>
      <c r="D80" s="340" t="s">
        <v>275</v>
      </c>
      <c r="E80" s="468" t="s">
        <v>276</v>
      </c>
      <c r="F80" s="469"/>
      <c r="G80" s="469"/>
      <c r="H80" s="469"/>
      <c r="I80" s="469"/>
      <c r="J80" s="469"/>
      <c r="K80" s="469"/>
      <c r="L80" s="470"/>
    </row>
    <row r="81" spans="2:12" x14ac:dyDescent="0.2">
      <c r="B81" s="341"/>
      <c r="C81" s="342"/>
      <c r="D81" s="343"/>
      <c r="E81" s="471"/>
      <c r="F81" s="472"/>
      <c r="G81" s="472"/>
      <c r="H81" s="472"/>
      <c r="I81" s="472"/>
      <c r="J81" s="472"/>
      <c r="K81" s="472"/>
      <c r="L81" s="473"/>
    </row>
    <row r="82" spans="2:12" ht="15.75" customHeight="1" x14ac:dyDescent="0.2">
      <c r="B82" s="477" t="s">
        <v>278</v>
      </c>
      <c r="C82" s="478"/>
      <c r="D82" s="479"/>
      <c r="E82" s="471"/>
      <c r="F82" s="472"/>
      <c r="G82" s="472"/>
      <c r="H82" s="472"/>
      <c r="I82" s="472"/>
      <c r="J82" s="472"/>
      <c r="K82" s="472"/>
      <c r="L82" s="473"/>
    </row>
    <row r="83" spans="2:12" ht="13.5" thickBot="1" x14ac:dyDescent="0.25">
      <c r="B83" s="253"/>
      <c r="C83" s="254"/>
      <c r="D83" s="255"/>
      <c r="E83" s="474"/>
      <c r="F83" s="475"/>
      <c r="G83" s="475"/>
      <c r="H83" s="475"/>
      <c r="I83" s="475"/>
      <c r="J83" s="475"/>
      <c r="K83" s="475"/>
      <c r="L83" s="476"/>
    </row>
    <row r="84" spans="2:12" ht="6.75" customHeight="1" thickBot="1" x14ac:dyDescent="0.25">
      <c r="B84" s="253"/>
      <c r="C84" s="254"/>
      <c r="D84" s="255"/>
      <c r="E84" s="254"/>
      <c r="F84" s="255"/>
      <c r="G84" s="255"/>
      <c r="H84" s="255"/>
      <c r="I84" s="255"/>
      <c r="J84" s="255"/>
      <c r="K84" s="255"/>
      <c r="L84" s="337"/>
    </row>
    <row r="85" spans="2:12" ht="13.5" thickBot="1" x14ac:dyDescent="0.25">
      <c r="B85" s="338" t="s">
        <v>273</v>
      </c>
      <c r="C85" s="339" t="s">
        <v>274</v>
      </c>
      <c r="D85" s="340" t="s">
        <v>275</v>
      </c>
      <c r="E85" s="468" t="s">
        <v>276</v>
      </c>
      <c r="F85" s="469"/>
      <c r="G85" s="469"/>
      <c r="H85" s="469"/>
      <c r="I85" s="469"/>
      <c r="J85" s="469"/>
      <c r="K85" s="469"/>
      <c r="L85" s="470"/>
    </row>
    <row r="86" spans="2:12" x14ac:dyDescent="0.2">
      <c r="B86" s="341"/>
      <c r="C86" s="342"/>
      <c r="D86" s="343"/>
      <c r="E86" s="471"/>
      <c r="F86" s="472"/>
      <c r="G86" s="472"/>
      <c r="H86" s="472"/>
      <c r="I86" s="472"/>
      <c r="J86" s="472"/>
      <c r="K86" s="472"/>
      <c r="L86" s="473"/>
    </row>
    <row r="87" spans="2:12" ht="15.75" x14ac:dyDescent="0.2">
      <c r="B87" s="477" t="s">
        <v>279</v>
      </c>
      <c r="C87" s="478"/>
      <c r="D87" s="479"/>
      <c r="E87" s="471"/>
      <c r="F87" s="472"/>
      <c r="G87" s="472"/>
      <c r="H87" s="472"/>
      <c r="I87" s="472"/>
      <c r="J87" s="472"/>
      <c r="K87" s="472"/>
      <c r="L87" s="473"/>
    </row>
    <row r="88" spans="2:12" ht="13.5" thickBot="1" x14ac:dyDescent="0.25">
      <c r="B88" s="253"/>
      <c r="C88" s="254"/>
      <c r="D88" s="255"/>
      <c r="E88" s="474"/>
      <c r="F88" s="475"/>
      <c r="G88" s="475"/>
      <c r="H88" s="475"/>
      <c r="I88" s="475"/>
      <c r="J88" s="475"/>
      <c r="K88" s="475"/>
      <c r="L88" s="476"/>
    </row>
    <row r="89" spans="2:12" ht="6.75" customHeight="1" thickBot="1" x14ac:dyDescent="0.25">
      <c r="B89" s="253"/>
      <c r="C89" s="254"/>
      <c r="D89" s="255"/>
      <c r="E89" s="254"/>
      <c r="F89" s="255"/>
      <c r="G89" s="255"/>
      <c r="H89" s="255"/>
      <c r="I89" s="255"/>
      <c r="J89" s="255"/>
      <c r="K89" s="255"/>
      <c r="L89" s="337"/>
    </row>
    <row r="90" spans="2:12" ht="13.5" thickBot="1" x14ac:dyDescent="0.25">
      <c r="B90" s="338" t="s">
        <v>273</v>
      </c>
      <c r="C90" s="339" t="s">
        <v>274</v>
      </c>
      <c r="D90" s="340" t="s">
        <v>275</v>
      </c>
      <c r="E90" s="468" t="s">
        <v>276</v>
      </c>
      <c r="F90" s="469"/>
      <c r="G90" s="469"/>
      <c r="H90" s="469"/>
      <c r="I90" s="469"/>
      <c r="J90" s="469"/>
      <c r="K90" s="469"/>
      <c r="L90" s="470"/>
    </row>
    <row r="91" spans="2:12" x14ac:dyDescent="0.2">
      <c r="B91" s="341"/>
      <c r="C91" s="342"/>
      <c r="D91" s="343"/>
      <c r="E91" s="471"/>
      <c r="F91" s="472"/>
      <c r="G91" s="472"/>
      <c r="H91" s="472"/>
      <c r="I91" s="472"/>
      <c r="J91" s="472"/>
      <c r="K91" s="472"/>
      <c r="L91" s="473"/>
    </row>
    <row r="92" spans="2:12" ht="15.75" x14ac:dyDescent="0.2">
      <c r="B92" s="477" t="s">
        <v>280</v>
      </c>
      <c r="C92" s="478"/>
      <c r="D92" s="479"/>
      <c r="E92" s="471"/>
      <c r="F92" s="472"/>
      <c r="G92" s="472"/>
      <c r="H92" s="472"/>
      <c r="I92" s="472"/>
      <c r="J92" s="472"/>
      <c r="K92" s="472"/>
      <c r="L92" s="473"/>
    </row>
    <row r="93" spans="2:12" ht="13.5" thickBot="1" x14ac:dyDescent="0.25">
      <c r="B93" s="253"/>
      <c r="C93" s="254"/>
      <c r="D93" s="255"/>
      <c r="E93" s="474"/>
      <c r="F93" s="475"/>
      <c r="G93" s="475"/>
      <c r="H93" s="475"/>
      <c r="I93" s="475"/>
      <c r="J93" s="475"/>
      <c r="K93" s="475"/>
      <c r="L93" s="476"/>
    </row>
    <row r="94" spans="2:12" ht="6.75" customHeight="1" thickBot="1" x14ac:dyDescent="0.25">
      <c r="B94" s="344"/>
      <c r="C94" s="345"/>
      <c r="D94" s="346"/>
      <c r="E94" s="345"/>
      <c r="F94" s="346"/>
      <c r="G94" s="346"/>
      <c r="H94" s="346"/>
      <c r="I94" s="346"/>
      <c r="J94" s="346"/>
      <c r="K94" s="346"/>
      <c r="L94" s="347"/>
    </row>
  </sheetData>
  <mergeCells count="8">
    <mergeCell ref="E90:L93"/>
    <mergeCell ref="B92:D92"/>
    <mergeCell ref="E75:L78"/>
    <mergeCell ref="B77:D77"/>
    <mergeCell ref="E80:L83"/>
    <mergeCell ref="B82:D82"/>
    <mergeCell ref="E85:L88"/>
    <mergeCell ref="B87:D87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AEA6-3CC1-48EE-A304-DEAE54434E31}">
  <sheetPr>
    <tabColor rgb="FFFFFF00"/>
  </sheetPr>
  <dimension ref="A1:H47"/>
  <sheetViews>
    <sheetView workbookViewId="0">
      <selection activeCell="E10" sqref="E10:E14"/>
    </sheetView>
  </sheetViews>
  <sheetFormatPr defaultColWidth="9.140625" defaultRowHeight="15" x14ac:dyDescent="0.2"/>
  <cols>
    <col min="1" max="1" width="17.85546875" style="348" bestFit="1" customWidth="1"/>
    <col min="2" max="2" width="34.5703125" style="348" customWidth="1"/>
    <col min="3" max="3" width="14.28515625" style="348" customWidth="1"/>
    <col min="4" max="4" width="17.7109375" style="348" customWidth="1"/>
    <col min="5" max="5" width="13.140625" style="348" customWidth="1"/>
    <col min="6" max="6" width="16" style="348" bestFit="1" customWidth="1"/>
    <col min="7" max="7" width="24.140625" style="348" bestFit="1" customWidth="1"/>
    <col min="8" max="8" width="16.85546875" style="348" bestFit="1" customWidth="1"/>
    <col min="9" max="16384" width="9.140625" style="348"/>
  </cols>
  <sheetData>
    <row r="1" spans="1:8" x14ac:dyDescent="0.2">
      <c r="B1" s="348" t="s">
        <v>281</v>
      </c>
      <c r="C1" s="349" t="s">
        <v>282</v>
      </c>
      <c r="D1" s="350" t="s">
        <v>283</v>
      </c>
      <c r="E1" s="348" t="s">
        <v>284</v>
      </c>
      <c r="F1" s="348" t="s">
        <v>285</v>
      </c>
      <c r="G1" s="348" t="s">
        <v>324</v>
      </c>
      <c r="H1" s="348" t="s">
        <v>356</v>
      </c>
    </row>
    <row r="2" spans="1:8" s="351" customFormat="1" x14ac:dyDescent="0.2"/>
    <row r="3" spans="1:8" s="351" customFormat="1" x14ac:dyDescent="0.2"/>
    <row r="4" spans="1:8" s="352" customFormat="1" ht="19.5" thickBot="1" x14ac:dyDescent="0.35">
      <c r="A4" s="457" t="s">
        <v>372</v>
      </c>
      <c r="B4" s="385" t="s">
        <v>286</v>
      </c>
    </row>
    <row r="5" spans="1:8" s="352" customFormat="1" x14ac:dyDescent="0.2"/>
    <row r="6" spans="1:8" x14ac:dyDescent="0.2">
      <c r="A6" s="348" t="s">
        <v>374</v>
      </c>
      <c r="B6" s="353" t="s">
        <v>287</v>
      </c>
      <c r="C6" s="354">
        <v>8</v>
      </c>
      <c r="D6" s="452">
        <v>30225</v>
      </c>
      <c r="E6" s="353"/>
      <c r="F6" s="356">
        <f t="shared" ref="F6:F19" si="0">60*C6*E6</f>
        <v>0</v>
      </c>
      <c r="G6" s="355">
        <f>D6*E6</f>
        <v>0</v>
      </c>
      <c r="H6" s="348">
        <f>C6*E6</f>
        <v>0</v>
      </c>
    </row>
    <row r="7" spans="1:8" x14ac:dyDescent="0.2">
      <c r="A7" s="348" t="s">
        <v>375</v>
      </c>
      <c r="B7" s="353" t="s">
        <v>373</v>
      </c>
      <c r="C7" s="354">
        <v>16</v>
      </c>
      <c r="D7" s="452">
        <v>33998</v>
      </c>
      <c r="E7" s="353"/>
      <c r="F7" s="356">
        <f t="shared" si="0"/>
        <v>0</v>
      </c>
      <c r="G7" s="355">
        <f t="shared" ref="G7:G19" si="1">D7*E7</f>
        <v>0</v>
      </c>
      <c r="H7" s="348">
        <f t="shared" ref="H7:H19" si="2">C7*E7</f>
        <v>0</v>
      </c>
    </row>
    <row r="8" spans="1:8" x14ac:dyDescent="0.2">
      <c r="A8" s="348">
        <v>600894</v>
      </c>
      <c r="B8" s="353" t="s">
        <v>288</v>
      </c>
      <c r="C8" s="354">
        <v>6</v>
      </c>
      <c r="D8" s="452">
        <v>4198.8599999999997</v>
      </c>
      <c r="E8" s="353"/>
      <c r="F8" s="356">
        <f t="shared" si="0"/>
        <v>0</v>
      </c>
      <c r="G8" s="355">
        <f t="shared" si="1"/>
        <v>0</v>
      </c>
      <c r="H8" s="348">
        <f t="shared" si="2"/>
        <v>0</v>
      </c>
    </row>
    <row r="9" spans="1:8" x14ac:dyDescent="0.2">
      <c r="A9" s="348">
        <v>576259</v>
      </c>
      <c r="B9" s="353" t="s">
        <v>289</v>
      </c>
      <c r="C9" s="354">
        <v>2</v>
      </c>
      <c r="D9" s="452">
        <v>70.48</v>
      </c>
      <c r="E9" s="353"/>
      <c r="F9" s="356">
        <f t="shared" si="0"/>
        <v>0</v>
      </c>
      <c r="G9" s="355">
        <f t="shared" si="1"/>
        <v>0</v>
      </c>
      <c r="H9" s="348">
        <f t="shared" si="2"/>
        <v>0</v>
      </c>
    </row>
    <row r="10" spans="1:8" x14ac:dyDescent="0.2">
      <c r="A10" s="348">
        <v>579254</v>
      </c>
      <c r="B10" s="353" t="s">
        <v>290</v>
      </c>
      <c r="C10" s="354">
        <v>8</v>
      </c>
      <c r="D10" s="452">
        <v>268.58</v>
      </c>
      <c r="E10" s="353"/>
      <c r="F10" s="356">
        <f t="shared" si="0"/>
        <v>0</v>
      </c>
      <c r="G10" s="355">
        <f t="shared" si="1"/>
        <v>0</v>
      </c>
      <c r="H10" s="348">
        <f t="shared" si="2"/>
        <v>0</v>
      </c>
    </row>
    <row r="11" spans="1:8" x14ac:dyDescent="0.2">
      <c r="A11" s="348">
        <v>566944</v>
      </c>
      <c r="B11" s="353" t="s">
        <v>291</v>
      </c>
      <c r="C11" s="354">
        <v>12</v>
      </c>
      <c r="D11" s="452">
        <v>490.78</v>
      </c>
      <c r="E11" s="353"/>
      <c r="F11" s="356">
        <f t="shared" si="0"/>
        <v>0</v>
      </c>
      <c r="G11" s="355">
        <f t="shared" si="1"/>
        <v>0</v>
      </c>
      <c r="H11" s="348">
        <f t="shared" si="2"/>
        <v>0</v>
      </c>
    </row>
    <row r="12" spans="1:8" x14ac:dyDescent="0.2">
      <c r="B12" s="377" t="s">
        <v>321</v>
      </c>
      <c r="C12" s="354">
        <v>1</v>
      </c>
      <c r="D12" s="452">
        <v>100</v>
      </c>
      <c r="E12" s="353"/>
      <c r="F12" s="356"/>
      <c r="G12" s="355">
        <f t="shared" si="1"/>
        <v>0</v>
      </c>
      <c r="H12" s="348">
        <f t="shared" si="2"/>
        <v>0</v>
      </c>
    </row>
    <row r="13" spans="1:8" x14ac:dyDescent="0.2">
      <c r="B13" s="377" t="s">
        <v>322</v>
      </c>
      <c r="C13" s="354">
        <v>3</v>
      </c>
      <c r="D13" s="452">
        <v>200</v>
      </c>
      <c r="E13" s="353"/>
      <c r="F13" s="356"/>
      <c r="G13" s="355">
        <f t="shared" si="1"/>
        <v>0</v>
      </c>
      <c r="H13" s="348">
        <f t="shared" si="2"/>
        <v>0</v>
      </c>
    </row>
    <row r="14" spans="1:8" x14ac:dyDescent="0.2">
      <c r="B14" s="353" t="s">
        <v>292</v>
      </c>
      <c r="C14" s="354">
        <v>12</v>
      </c>
      <c r="D14" s="452">
        <v>100</v>
      </c>
      <c r="E14" s="353"/>
      <c r="F14" s="356"/>
      <c r="G14" s="355">
        <f t="shared" si="1"/>
        <v>0</v>
      </c>
      <c r="H14" s="348">
        <f t="shared" si="2"/>
        <v>0</v>
      </c>
    </row>
    <row r="15" spans="1:8" x14ac:dyDescent="0.2">
      <c r="A15" s="348">
        <v>583821</v>
      </c>
      <c r="B15" s="353" t="s">
        <v>293</v>
      </c>
      <c r="C15" s="354">
        <v>6</v>
      </c>
      <c r="D15" s="452">
        <v>2361</v>
      </c>
      <c r="E15" s="353"/>
      <c r="F15" s="356">
        <f t="shared" si="0"/>
        <v>0</v>
      </c>
      <c r="G15" s="355">
        <f t="shared" si="1"/>
        <v>0</v>
      </c>
      <c r="H15" s="348">
        <f t="shared" si="2"/>
        <v>0</v>
      </c>
    </row>
    <row r="16" spans="1:8" x14ac:dyDescent="0.2">
      <c r="A16" s="348">
        <v>573073</v>
      </c>
      <c r="B16" s="353" t="s">
        <v>294</v>
      </c>
      <c r="C16" s="354">
        <v>6</v>
      </c>
      <c r="D16" s="452">
        <v>1682</v>
      </c>
      <c r="E16" s="353"/>
      <c r="F16" s="356">
        <f t="shared" si="0"/>
        <v>0</v>
      </c>
      <c r="G16" s="355">
        <f t="shared" si="1"/>
        <v>0</v>
      </c>
      <c r="H16" s="348">
        <f t="shared" si="2"/>
        <v>0</v>
      </c>
    </row>
    <row r="17" spans="1:8" x14ac:dyDescent="0.2">
      <c r="A17" s="348">
        <v>573080</v>
      </c>
      <c r="B17" s="353" t="s">
        <v>295</v>
      </c>
      <c r="C17" s="354">
        <v>6</v>
      </c>
      <c r="D17" s="452">
        <v>2994</v>
      </c>
      <c r="E17" s="353"/>
      <c r="F17" s="356">
        <f t="shared" si="0"/>
        <v>0</v>
      </c>
      <c r="G17" s="355">
        <f t="shared" si="1"/>
        <v>0</v>
      </c>
      <c r="H17" s="348">
        <f t="shared" si="2"/>
        <v>0</v>
      </c>
    </row>
    <row r="18" spans="1:8" x14ac:dyDescent="0.2">
      <c r="B18" s="353" t="s">
        <v>296</v>
      </c>
      <c r="C18" s="354">
        <v>8</v>
      </c>
      <c r="D18" s="452">
        <v>9240</v>
      </c>
      <c r="E18" s="353"/>
      <c r="F18" s="356">
        <f t="shared" si="0"/>
        <v>0</v>
      </c>
      <c r="G18" s="355">
        <f t="shared" si="1"/>
        <v>0</v>
      </c>
      <c r="H18" s="348">
        <f t="shared" si="2"/>
        <v>0</v>
      </c>
    </row>
    <row r="19" spans="1:8" x14ac:dyDescent="0.2">
      <c r="A19" s="348">
        <v>573081</v>
      </c>
      <c r="B19" s="353" t="s">
        <v>297</v>
      </c>
      <c r="C19" s="354">
        <v>10</v>
      </c>
      <c r="D19" s="452">
        <v>5230</v>
      </c>
      <c r="E19" s="353"/>
      <c r="F19" s="356">
        <f t="shared" si="0"/>
        <v>0</v>
      </c>
      <c r="G19" s="355">
        <f t="shared" si="1"/>
        <v>0</v>
      </c>
      <c r="H19" s="348">
        <f t="shared" si="2"/>
        <v>0</v>
      </c>
    </row>
    <row r="20" spans="1:8" x14ac:dyDescent="0.2">
      <c r="B20" s="357"/>
      <c r="C20" s="358"/>
      <c r="D20" s="453"/>
      <c r="E20" s="357"/>
      <c r="F20" s="356"/>
      <c r="G20" s="355"/>
    </row>
    <row r="21" spans="1:8" ht="15.75" x14ac:dyDescent="0.2">
      <c r="B21" s="386" t="s">
        <v>298</v>
      </c>
      <c r="C21" s="358"/>
      <c r="D21" s="453"/>
      <c r="E21" s="357"/>
      <c r="F21" s="356"/>
      <c r="G21" s="355"/>
    </row>
    <row r="22" spans="1:8" x14ac:dyDescent="0.2">
      <c r="D22" s="454"/>
      <c r="F22" s="356"/>
    </row>
    <row r="23" spans="1:8" x14ac:dyDescent="0.2">
      <c r="A23" s="348">
        <v>576173</v>
      </c>
      <c r="B23" s="353" t="s">
        <v>299</v>
      </c>
      <c r="C23" s="354">
        <v>6</v>
      </c>
      <c r="D23" s="452">
        <v>2986.02</v>
      </c>
      <c r="E23" s="353"/>
      <c r="F23" s="356">
        <f t="shared" ref="F23:F38" si="3">60*C23*E23</f>
        <v>0</v>
      </c>
      <c r="G23" s="355">
        <f t="shared" ref="G23:G43" si="4">D23*E23</f>
        <v>0</v>
      </c>
      <c r="H23" s="348">
        <f t="shared" ref="H23:H38" si="5">C23*E23</f>
        <v>0</v>
      </c>
    </row>
    <row r="24" spans="1:8" x14ac:dyDescent="0.2">
      <c r="A24" s="348">
        <v>576239</v>
      </c>
      <c r="B24" s="353" t="s">
        <v>300</v>
      </c>
      <c r="C24" s="354">
        <v>6</v>
      </c>
      <c r="D24" s="452">
        <v>4215</v>
      </c>
      <c r="E24" s="353"/>
      <c r="F24" s="356">
        <f t="shared" si="3"/>
        <v>0</v>
      </c>
      <c r="G24" s="355">
        <f t="shared" si="4"/>
        <v>0</v>
      </c>
      <c r="H24" s="348">
        <f t="shared" si="5"/>
        <v>0</v>
      </c>
    </row>
    <row r="25" spans="1:8" x14ac:dyDescent="0.2">
      <c r="A25" s="348">
        <v>579632</v>
      </c>
      <c r="B25" s="353" t="s">
        <v>301</v>
      </c>
      <c r="C25" s="354">
        <v>6</v>
      </c>
      <c r="D25" s="452">
        <v>4829</v>
      </c>
      <c r="E25" s="353"/>
      <c r="F25" s="356">
        <f t="shared" si="3"/>
        <v>0</v>
      </c>
      <c r="G25" s="355">
        <f t="shared" si="4"/>
        <v>0</v>
      </c>
      <c r="H25" s="348">
        <f t="shared" si="5"/>
        <v>0</v>
      </c>
    </row>
    <row r="26" spans="1:8" x14ac:dyDescent="0.2">
      <c r="A26" s="348">
        <v>572991</v>
      </c>
      <c r="B26" s="353" t="s">
        <v>302</v>
      </c>
      <c r="C26" s="354">
        <v>9</v>
      </c>
      <c r="D26" s="452">
        <v>10694</v>
      </c>
      <c r="E26" s="353"/>
      <c r="F26" s="356">
        <f t="shared" si="3"/>
        <v>0</v>
      </c>
      <c r="G26" s="355">
        <f t="shared" si="4"/>
        <v>0</v>
      </c>
      <c r="H26" s="348">
        <f t="shared" si="5"/>
        <v>0</v>
      </c>
    </row>
    <row r="27" spans="1:8" x14ac:dyDescent="0.2">
      <c r="A27" s="348">
        <v>572994</v>
      </c>
      <c r="B27" s="353" t="s">
        <v>303</v>
      </c>
      <c r="C27" s="354">
        <v>12</v>
      </c>
      <c r="D27" s="452">
        <v>16805</v>
      </c>
      <c r="E27" s="353"/>
      <c r="F27" s="356">
        <f t="shared" si="3"/>
        <v>0</v>
      </c>
      <c r="G27" s="355">
        <f t="shared" si="4"/>
        <v>0</v>
      </c>
      <c r="H27" s="348">
        <f t="shared" si="5"/>
        <v>0</v>
      </c>
    </row>
    <row r="28" spans="1:8" x14ac:dyDescent="0.2">
      <c r="A28" s="348">
        <v>572973</v>
      </c>
      <c r="B28" s="353" t="s">
        <v>304</v>
      </c>
      <c r="C28" s="354">
        <v>12</v>
      </c>
      <c r="D28" s="452">
        <v>22707</v>
      </c>
      <c r="E28" s="353"/>
      <c r="F28" s="356">
        <f t="shared" si="3"/>
        <v>0</v>
      </c>
      <c r="G28" s="355">
        <f t="shared" si="4"/>
        <v>0</v>
      </c>
      <c r="H28" s="348">
        <f t="shared" si="5"/>
        <v>0</v>
      </c>
    </row>
    <row r="29" spans="1:8" x14ac:dyDescent="0.2">
      <c r="A29" s="348">
        <v>572964</v>
      </c>
      <c r="B29" s="353" t="s">
        <v>305</v>
      </c>
      <c r="C29" s="354">
        <v>12</v>
      </c>
      <c r="D29" s="452">
        <v>25163</v>
      </c>
      <c r="E29" s="353"/>
      <c r="F29" s="356">
        <f t="shared" si="3"/>
        <v>0</v>
      </c>
      <c r="G29" s="355">
        <f t="shared" si="4"/>
        <v>0</v>
      </c>
      <c r="H29" s="348">
        <f t="shared" si="5"/>
        <v>0</v>
      </c>
    </row>
    <row r="30" spans="1:8" x14ac:dyDescent="0.2">
      <c r="A30" s="348">
        <v>572967</v>
      </c>
      <c r="B30" s="353" t="s">
        <v>306</v>
      </c>
      <c r="C30" s="354">
        <v>12</v>
      </c>
      <c r="D30" s="452">
        <v>25151</v>
      </c>
      <c r="E30" s="353"/>
      <c r="F30" s="356">
        <f t="shared" si="3"/>
        <v>0</v>
      </c>
      <c r="G30" s="355">
        <f>D30*E30</f>
        <v>0</v>
      </c>
      <c r="H30" s="348">
        <f t="shared" si="5"/>
        <v>0</v>
      </c>
    </row>
    <row r="31" spans="1:8" x14ac:dyDescent="0.2">
      <c r="A31" s="348">
        <v>572971</v>
      </c>
      <c r="B31" s="353" t="s">
        <v>307</v>
      </c>
      <c r="C31" s="354">
        <v>12</v>
      </c>
      <c r="D31" s="452">
        <v>37152</v>
      </c>
      <c r="E31" s="353"/>
      <c r="F31" s="356">
        <f t="shared" si="3"/>
        <v>0</v>
      </c>
      <c r="G31" s="355">
        <f t="shared" si="4"/>
        <v>0</v>
      </c>
      <c r="H31" s="348">
        <f t="shared" si="5"/>
        <v>0</v>
      </c>
    </row>
    <row r="32" spans="1:8" x14ac:dyDescent="0.2">
      <c r="A32" s="348">
        <v>572972</v>
      </c>
      <c r="B32" s="353" t="s">
        <v>308</v>
      </c>
      <c r="C32" s="354">
        <v>12</v>
      </c>
      <c r="D32" s="452">
        <v>43042</v>
      </c>
      <c r="E32" s="353"/>
      <c r="F32" s="356">
        <f t="shared" si="3"/>
        <v>0</v>
      </c>
      <c r="G32" s="355">
        <f t="shared" si="4"/>
        <v>0</v>
      </c>
      <c r="H32" s="348">
        <f t="shared" si="5"/>
        <v>0</v>
      </c>
    </row>
    <row r="33" spans="1:8" x14ac:dyDescent="0.2">
      <c r="A33" s="348">
        <v>572974</v>
      </c>
      <c r="B33" s="353" t="s">
        <v>309</v>
      </c>
      <c r="C33" s="354">
        <v>12</v>
      </c>
      <c r="D33" s="452">
        <v>53097</v>
      </c>
      <c r="E33" s="353"/>
      <c r="F33" s="356">
        <f t="shared" si="3"/>
        <v>0</v>
      </c>
      <c r="G33" s="355">
        <f t="shared" si="4"/>
        <v>0</v>
      </c>
      <c r="H33" s="348">
        <f t="shared" si="5"/>
        <v>0</v>
      </c>
    </row>
    <row r="34" spans="1:8" x14ac:dyDescent="0.2">
      <c r="A34" s="348">
        <v>500179</v>
      </c>
      <c r="B34" s="353" t="s">
        <v>310</v>
      </c>
      <c r="C34" s="354">
        <v>2</v>
      </c>
      <c r="D34" s="452">
        <v>40</v>
      </c>
      <c r="E34" s="353"/>
      <c r="F34" s="356">
        <f t="shared" si="3"/>
        <v>0</v>
      </c>
      <c r="G34" s="355">
        <f t="shared" si="4"/>
        <v>0</v>
      </c>
      <c r="H34" s="348">
        <f t="shared" si="5"/>
        <v>0</v>
      </c>
    </row>
    <row r="35" spans="1:8" x14ac:dyDescent="0.2">
      <c r="A35" s="348">
        <v>526358</v>
      </c>
      <c r="B35" s="353" t="s">
        <v>311</v>
      </c>
      <c r="C35" s="354">
        <v>4</v>
      </c>
      <c r="D35" s="452">
        <v>33</v>
      </c>
      <c r="E35" s="353"/>
      <c r="F35" s="356">
        <f t="shared" si="3"/>
        <v>0</v>
      </c>
      <c r="G35" s="355">
        <f t="shared" si="4"/>
        <v>0</v>
      </c>
      <c r="H35" s="348">
        <f t="shared" si="5"/>
        <v>0</v>
      </c>
    </row>
    <row r="36" spans="1:8" x14ac:dyDescent="0.2">
      <c r="A36" s="348">
        <v>603871</v>
      </c>
      <c r="B36" s="353" t="s">
        <v>312</v>
      </c>
      <c r="C36" s="354">
        <v>37</v>
      </c>
      <c r="D36" s="452">
        <v>82755</v>
      </c>
      <c r="E36" s="353"/>
      <c r="F36" s="356">
        <f t="shared" si="3"/>
        <v>0</v>
      </c>
      <c r="G36" s="355">
        <f t="shared" si="4"/>
        <v>0</v>
      </c>
      <c r="H36" s="348">
        <f t="shared" si="5"/>
        <v>0</v>
      </c>
    </row>
    <row r="37" spans="1:8" x14ac:dyDescent="0.2">
      <c r="A37" s="348">
        <v>579634</v>
      </c>
      <c r="B37" s="353" t="s">
        <v>313</v>
      </c>
      <c r="C37" s="354">
        <v>24</v>
      </c>
      <c r="D37" s="452">
        <v>55507.57</v>
      </c>
      <c r="E37" s="353"/>
      <c r="F37" s="356">
        <f t="shared" si="3"/>
        <v>0</v>
      </c>
      <c r="G37" s="355">
        <f t="shared" si="4"/>
        <v>0</v>
      </c>
      <c r="H37" s="348">
        <f t="shared" si="5"/>
        <v>0</v>
      </c>
    </row>
    <row r="38" spans="1:8" x14ac:dyDescent="0.2">
      <c r="A38" s="348">
        <v>524244</v>
      </c>
      <c r="B38" s="353" t="s">
        <v>314</v>
      </c>
      <c r="C38" s="354">
        <v>12</v>
      </c>
      <c r="D38" s="452">
        <v>18583</v>
      </c>
      <c r="E38" s="353"/>
      <c r="F38" s="356">
        <f t="shared" si="3"/>
        <v>0</v>
      </c>
      <c r="G38" s="355">
        <f t="shared" si="4"/>
        <v>0</v>
      </c>
      <c r="H38" s="348">
        <f t="shared" si="5"/>
        <v>0</v>
      </c>
    </row>
    <row r="39" spans="1:8" x14ac:dyDescent="0.2">
      <c r="B39" s="357"/>
      <c r="C39" s="358"/>
      <c r="D39" s="453"/>
      <c r="E39" s="357"/>
      <c r="F39" s="356"/>
      <c r="G39" s="355"/>
    </row>
    <row r="40" spans="1:8" ht="15.75" x14ac:dyDescent="0.2">
      <c r="B40" s="386" t="s">
        <v>315</v>
      </c>
      <c r="C40" s="358"/>
      <c r="D40" s="453"/>
      <c r="E40" s="357"/>
      <c r="F40" s="356"/>
      <c r="G40" s="355"/>
    </row>
    <row r="41" spans="1:8" x14ac:dyDescent="0.2">
      <c r="B41" s="357"/>
      <c r="C41" s="358"/>
      <c r="D41" s="453"/>
      <c r="E41" s="357"/>
      <c r="F41" s="356"/>
      <c r="G41" s="355"/>
    </row>
    <row r="42" spans="1:8" s="383" customFormat="1" x14ac:dyDescent="0.2">
      <c r="A42" s="383">
        <v>573079</v>
      </c>
      <c r="B42" s="377" t="s">
        <v>316</v>
      </c>
      <c r="C42" s="380">
        <v>8</v>
      </c>
      <c r="D42" s="452">
        <v>10280</v>
      </c>
      <c r="E42" s="377"/>
      <c r="F42" s="381">
        <f>60*C42*E42</f>
        <v>0</v>
      </c>
      <c r="G42" s="382">
        <f t="shared" si="4"/>
        <v>0</v>
      </c>
      <c r="H42" s="348">
        <f t="shared" ref="H42:H43" si="6">C42*E42</f>
        <v>0</v>
      </c>
    </row>
    <row r="43" spans="1:8" s="383" customFormat="1" x14ac:dyDescent="0.2">
      <c r="A43" s="383">
        <v>572936</v>
      </c>
      <c r="B43" s="377" t="s">
        <v>317</v>
      </c>
      <c r="C43" s="380">
        <v>8</v>
      </c>
      <c r="D43" s="452">
        <v>16492</v>
      </c>
      <c r="E43" s="377">
        <v>0</v>
      </c>
      <c r="F43" s="381">
        <f>60*C43*E43</f>
        <v>0</v>
      </c>
      <c r="G43" s="382">
        <f t="shared" si="4"/>
        <v>0</v>
      </c>
      <c r="H43" s="348">
        <f t="shared" si="6"/>
        <v>0</v>
      </c>
    </row>
    <row r="44" spans="1:8" s="383" customFormat="1" x14ac:dyDescent="0.2">
      <c r="A44" s="351"/>
      <c r="B44" s="351"/>
      <c r="C44" s="351"/>
      <c r="D44" s="384"/>
      <c r="E44" s="351"/>
      <c r="F44" s="351"/>
      <c r="G44" s="351"/>
    </row>
    <row r="45" spans="1:8" ht="20.25" x14ac:dyDescent="0.2">
      <c r="B45" s="348" t="s">
        <v>318</v>
      </c>
      <c r="C45" s="480">
        <f>SUM(G6:G43)</f>
        <v>0</v>
      </c>
      <c r="D45" s="480"/>
    </row>
    <row r="46" spans="1:8" ht="20.25" x14ac:dyDescent="0.2">
      <c r="B46" s="348" t="s">
        <v>319</v>
      </c>
      <c r="C46" s="481">
        <f>SUM(F6:F43)</f>
        <v>0</v>
      </c>
      <c r="D46" s="481"/>
    </row>
    <row r="47" spans="1:8" x14ac:dyDescent="0.2">
      <c r="B47" s="348" t="s">
        <v>357</v>
      </c>
      <c r="D47" s="355"/>
      <c r="H47" s="348">
        <f>SUM(H6:H46)</f>
        <v>0</v>
      </c>
    </row>
  </sheetData>
  <mergeCells count="2">
    <mergeCell ref="C45:D45"/>
    <mergeCell ref="C46:D46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1142BDAE55914984B4117339DB6B4F" ma:contentTypeVersion="13" ma:contentTypeDescription="Create a new document." ma:contentTypeScope="" ma:versionID="6bc53a7827ab020364e5e4717b1f622c">
  <xsd:schema xmlns:xsd="http://www.w3.org/2001/XMLSchema" xmlns:xs="http://www.w3.org/2001/XMLSchema" xmlns:p="http://schemas.microsoft.com/office/2006/metadata/properties" xmlns:ns3="0402525b-603e-4fbc-8450-c6b0bf92313a" xmlns:ns4="8027bc2b-8838-4835-980a-2b49287b5451" targetNamespace="http://schemas.microsoft.com/office/2006/metadata/properties" ma:root="true" ma:fieldsID="22c4426022a588d98d943dd0d17d6afd" ns3:_="" ns4:_="">
    <xsd:import namespace="0402525b-603e-4fbc-8450-c6b0bf92313a"/>
    <xsd:import namespace="8027bc2b-8838-4835-980a-2b49287b545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2525b-603e-4fbc-8450-c6b0bf9231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7bc2b-8838-4835-980a-2b49287b54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2FD93E-A0F9-477B-AAEB-62FA502F1FA8}">
  <ds:schemaRefs>
    <ds:schemaRef ds:uri="http://purl.org/dc/elements/1.1/"/>
    <ds:schemaRef ds:uri="http://schemas.microsoft.com/office/2006/metadata/properties"/>
    <ds:schemaRef ds:uri="0402525b-603e-4fbc-8450-c6b0bf92313a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8027bc2b-8838-4835-980a-2b49287b545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43F114C-ADC7-48CC-9ECC-79223AFDE5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2525b-603e-4fbc-8450-c6b0bf92313a"/>
    <ds:schemaRef ds:uri="8027bc2b-8838-4835-980a-2b49287b54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E0F1E6-3108-41C5-8C83-92B8DFB879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2023 CIAC Rates</vt:lpstr>
      <vt:lpstr>2023 OH Rates</vt:lpstr>
      <vt:lpstr>CIAC INPUT</vt:lpstr>
      <vt:lpstr>MOCK CIAC</vt:lpstr>
      <vt:lpstr>FULL LOADED COST</vt:lpstr>
      <vt:lpstr>CABLE</vt:lpstr>
      <vt:lpstr>CONDUIT</vt:lpstr>
      <vt:lpstr>EQUIPMENT</vt:lpstr>
      <vt:lpstr>'FULL LOADED COST'!Print_Area</vt:lpstr>
    </vt:vector>
  </TitlesOfParts>
  <Company>NSTAR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Linda-Jo</dc:creator>
  <cp:lastModifiedBy>Hickey, Michael</cp:lastModifiedBy>
  <cp:lastPrinted>2016-02-01T21:16:10Z</cp:lastPrinted>
  <dcterms:created xsi:type="dcterms:W3CDTF">2015-02-01T19:28:36Z</dcterms:created>
  <dcterms:modified xsi:type="dcterms:W3CDTF">2023-08-08T12:49:39Z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0x010100631142BDAE55914984B4117339DB6B4F</vt:lpwstr>
  </property>
</Properties>
</file>