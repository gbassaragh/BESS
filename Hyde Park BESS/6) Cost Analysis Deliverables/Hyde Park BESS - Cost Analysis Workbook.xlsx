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ayers" sheetId="2" state="visible" r:id="rId4"/>
    <sheet name="Unit Costs" sheetId="3" state="visible" r:id="rId5"/>
    <sheet name="Timeline" sheetId="4" state="visible" r:id="rId6"/>
    <sheet name="Sept 2026 Walk" sheetId="5" state="visible" r:id="rId7"/>
    <sheet name="2023 Indicative" sheetId="6" state="visible" r:id="rId8"/>
    <sheet name="Benchmarks" sheetId="7" state="visible" r:id="rId9"/>
    <sheet name="Cost Curve" sheetId="8" state="visible" r:id="rId10"/>
    <sheet name="Public Projects" sheetId="9" state="visible" r:id="rId11"/>
    <sheet name="2026$ Adjustment" sheetId="10" state="visible" r:id="rId12"/>
    <sheet name="Statistics" sheetId="11" state="visible" r:id="rId13"/>
    <sheet name="Line Items" sheetId="12" state="visible" r:id="rId14"/>
  </sheets>
  <definedNames>
    <definedName function="false" hidden="true" localSheetId="11" name="_xlnm._FilterDatabase" vbProcedure="false">'Line Items'!$A$1:$L$265</definedName>
    <definedName function="false" hidden="true" localSheetId="8" name="_xlnm._FilterDatabase" vbProcedure="false">'Public Projects'!$A$3:$S$47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4" authorId="0">
      <text>
        <r>
          <rPr>
            <sz val="10"/>
            <rFont val="Arial"/>
            <family val="2"/>
          </rPr>
          <t xml:space="preserve">Solution Selection Form, approved SDC 2/15/2024: 'Conceptual (-25%/+50%) Distribution Scope Cost Estimate: $4.793 million'. Partial funding of $2,085K approved MPAC 8/5/2024. Scope: 5,465 ft circuit extension, 3 manholes, 1,270 ft 6-5in duct bank, 16,395 ft 3-700 cable.</t>
        </r>
      </text>
    </comment>
    <comment ref="B26" authorId="0">
      <text>
        <r>
          <rPr>
            <sz val="10"/>
            <rFont val="Arial"/>
            <family val="2"/>
          </rPr>
          <t xml:space="preserve">Rev 3 note on seq 432: 'cover agreement dated 12/6/25 = $11,860,850 minus actual cost and downpayment $1,213,042.82, total = $10,647,808'. Line carries $11,778,062, i.e. 10.6% escalation on a price that Exhibit C fixes until Final Acceptance. The $246,000 labor portion of the SOV is not visible on a separate line.</t>
        </r>
      </text>
    </comment>
  </commentList>
</comments>
</file>

<file path=xl/sharedStrings.xml><?xml version="1.0" encoding="utf-8"?>
<sst xmlns="http://schemas.openxmlformats.org/spreadsheetml/2006/main" count="3031" uniqueCount="1323">
  <si>
    <t xml:space="preserve">Hyde Park BESS (Project 21334 / 24211) - Cost Analysis Workbook</t>
  </si>
  <si>
    <t xml:space="preserve">Purpose</t>
  </si>
  <si>
    <t xml:space="preserve">Traceable data source behind the Cost Analysis deck, Basis of Estimate and all-in cost whitepaper. Every number on a slide ties to a cell here.</t>
  </si>
  <si>
    <t xml:space="preserve">Prepared</t>
  </si>
  <si>
    <t xml:space="preserve">Eversource Cost Estimating CoE, 29 Sep 2026. Source of record: ESF - Hyde Park BESS Total Rev 3.xlsm (24 Sep 2026), Item and Overview tabs.</t>
  </si>
  <si>
    <t xml:space="preserve">Convention</t>
  </si>
  <si>
    <t xml:space="preserve">Blue font = input value keyed from a source document (editable). Black = formula. Navy header = section. Gold fill = headline metric.</t>
  </si>
  <si>
    <t xml:space="preserve">Tab: Layers</t>
  </si>
  <si>
    <t xml:space="preserve">Rev 3 line items rolled into 13 cost layers (A-M). Directs are as-estimated; the 'Loaded' column spreads Station 360 risk, contingency, indirects and AFUDC pro rata over direct layers so each layer carries its full share of the approval-level total.</t>
  </si>
  <si>
    <t xml:space="preserve">Tab: Unit Costs</t>
  </si>
  <si>
    <t xml:space="preserve">$/kW and $/kWh at each boundary: vendor contract only, battery system installed, station complete, all-in approval level, and all-in including the D-Line interconnection (24211).</t>
  </si>
  <si>
    <t xml:space="preserve">Tab: Timeline</t>
  </si>
  <si>
    <t xml:space="preserve">Every funding action, estimate and vendor price point from the 2021 IFR to Rev 3, with basis and in-service date drift.</t>
  </si>
  <si>
    <t xml:space="preserve">Tab: Sept 2026 Walk</t>
  </si>
  <si>
    <t xml:space="preserve">Rev 0 -&gt; Rev 1 -&gt; Rev 2 -&gt; Rev 3 variance walk from the ESF revisions and the 9/1-9/23/2026 email record.</t>
  </si>
  <si>
    <t xml:space="preserve">Tab: Benchmarks</t>
  </si>
  <si>
    <t xml:space="preserve">Published industry benchmarks with metric definition, dollar year and duration. Source quality tier: green = primary, yellow = secondary.</t>
  </si>
  <si>
    <t xml:space="preserve">Tab: 2023 Indicative</t>
  </si>
  <si>
    <t xml:space="preserve">July 2023 five-bidder indicative pricing (Site Two = Hyde Park 10 MW/20 MWh) and what each excluded.</t>
  </si>
  <si>
    <t xml:space="preserve">Tab: Line Items</t>
  </si>
  <si>
    <t xml:space="preserve">All 292 Rev 3 line items with the layer assignment used for the roll-up. Change a layer letter in column K and the Layers tab recalculates.</t>
  </si>
  <si>
    <t xml:space="preserve">Vintage / escalation</t>
  </si>
  <si>
    <t xml:space="preserve">Rev 3 carries $2,948,100 of escalation (ESF Overview). Battery line escalated at 3%/yr to 2027-28 delivery even though the Nomad price is fixed until Final Acceptance; see BOE section 'Escalation'.</t>
  </si>
  <si>
    <t xml:space="preserve">Accuracy</t>
  </si>
  <si>
    <t xml:space="preserve">Rev 3 is classed Conceptual (-25% / +50%) on the ESF. Sta 360 preliminary engineering is in progress (Sep 2026); IFC expected Aug 2027.</t>
  </si>
  <si>
    <t xml:space="preserve">Tab: Public Projects</t>
  </si>
  <si>
    <t xml:space="preserve">44 public project costs compiled 29 Sep 2026 (26 used in the regression; exclusions and reasons in column N). $/kWh, $/kW and duration are formulas.</t>
  </si>
  <si>
    <t xml:space="preserve">Tab: Statistics</t>
  </si>
  <si>
    <t xml:space="preserve">Reference-class, regression and Monte Carlo results as values, with the model parameters. See the Statistical Benchmarking Memo for method and limits.</t>
  </si>
  <si>
    <t xml:space="preserve">Cost Curve</t>
  </si>
  <si>
    <t xml:space="preserve">Industry installed-cost series 2015-2035 as published (EIA, BNEF, NREL), Hyde Park points, the 2-h / 10 MW adjustment, the escalation carried in Rev 3 and the common-dollar comparison (deck slides 10-11). Added 2 Oct 2026.</t>
  </si>
  <si>
    <t xml:space="preserve">2026$ Adjustment</t>
  </si>
  <si>
    <t xml:space="preserve">Dollar-year adjustment of the 13 reference-class comparables to 2026 under three battery indices (selector in B6), battery-share and escalation inputs, medians and Hyde Park percentiles; New York distribution-scale cohort (NineDot, Elevate, Soltage, NYSERDA averages, Con Edison interconnection). Deck slides 12-13. Added 2 Oct 2026.</t>
  </si>
  <si>
    <t xml:space="preserve">Cost layers - ESF Total Rev 3 (24 Sep 2026), Project 21334 (Sta 360 + Sta 496)</t>
  </si>
  <si>
    <t xml:space="preserve">Directs by layer are SUMIFS over the Line Items tab. Loaded = Station 360 direct layers x load factor (risk + contingency + indirects + AFUDC spread pro rata); Station 496 is carried whole as an interconnection cost.</t>
  </si>
  <si>
    <t xml:space="preserve">Layer</t>
  </si>
  <si>
    <t xml:space="preserve">Direct ($)</t>
  </si>
  <si>
    <t xml:space="preserve">% of total</t>
  </si>
  <si>
    <t xml:space="preserve">Loaded ($)</t>
  </si>
  <si>
    <t xml:space="preserve">% of loaded</t>
  </si>
  <si>
    <t xml:space="preserve">Cumulative loaded ($)</t>
  </si>
  <si>
    <t xml:space="preserve">What it is</t>
  </si>
  <si>
    <t xml:space="preserve">A. Battery supply contract (Nomad)</t>
  </si>
  <si>
    <t xml:space="preserve">Nomad fixed-price supply contract $12,106,850 (12 Voyager 3.0 LFP units, PCS, BMS, fire protection, 10-yr warranty, spares, remote support) as carried in Rev 3: $1,213,043 actual LNTP payments + $11,778,062 to-go (escalated).</t>
  </si>
  <si>
    <t xml:space="preserve">B. Battery installation &amp; integration (owner scope)</t>
  </si>
  <si>
    <t xml:space="preserve">Owner-scope work that exists only because of the batteries: 5,557 mh installation labor, 12 foundation pads, fire suppression, GSU-to-BESS conduit and 600 V cable.</t>
  </si>
  <si>
    <t xml:space="preserve">C. Battery balance-of-plant (GSUs, EMS/comms, aux power)</t>
  </si>
  <si>
    <t xml:space="preserve">Four 3 MVA 13.8 kV/480 V generator step-up transformers, site EMS/communications, AC/DC auxiliary power panels. Vendors often bundle these in a 'turnkey' quote; here they are owner-furnished.</t>
  </si>
  <si>
    <t xml:space="preserve">D. Station 360 13.8 kV switching &amp; interconnection facilities</t>
  </si>
  <si>
    <t xml:space="preserve">The new 13.8 kV switching station (Sta 360): four Siemens SDV7 1200 A breaker skids with relays/PTs/DC, disconnects, metering transclosures, station service transformer, riser poles, 15 kV cable, duct bank to feeder manholes, ground grid, lighting, control cable.</t>
  </si>
  <si>
    <t xml:space="preserve">E. Site development &amp; civil (former landfill site)</t>
  </si>
  <si>
    <t xml:space="preserve">Developing a 200 ft x 200 ft yard on a closed construction-debris landfill: clear and grub, 760 ft access road, 24+12 soil borings, 2,520 CY cut, imported fill, trap rock, 14 ft retaining wall, fence, mob/demob.</t>
  </si>
  <si>
    <t xml:space="preserve">F. Station 496 feeder protection upgrades (interconnection)</t>
  </si>
  <si>
    <t xml:space="preserve">Station 496 protection upgrades required to accept the BESS on four feeders: 20 SEL relays, transfer trip over dark fiber, RTU/SCADA points, removals. Carried at its full approval level incl. its own indirects/AFUDC/contingency.</t>
  </si>
  <si>
    <t xml:space="preserve">G. Testing &amp; commissioning</t>
  </si>
  <si>
    <t xml:space="preserve">Lead commissioning engineer, field test engineers, field SCADA and telecom commissioning.</t>
  </si>
  <si>
    <t xml:space="preserve">H. Owner soft costs (engineering, siting, environmental, outreach, PM, land)</t>
  </si>
  <si>
    <t xml:space="preserve">Engineering (internal and Leidos/VHB), Article 80 siting and legal, environmental permits (DEP post-closure use, SWPPP, Tier II), community outreach, project management, construction reps, land.</t>
  </si>
  <si>
    <t xml:space="preserve">I. Taxes, CWIP, builders-risk insurance</t>
  </si>
  <si>
    <t xml:space="preserve">Property tax, CWIP, sales and use tax on external material, builders all-risk insurance.</t>
  </si>
  <si>
    <t xml:space="preserve">J. Risk register</t>
  </si>
  <si>
    <t xml:space="preserve">Twelve enumerated risk items on Sta 360 (see BOE).</t>
  </si>
  <si>
    <t xml:space="preserve">K. Contingency</t>
  </si>
  <si>
    <t xml:space="preserve">General contingency on Sta 360.</t>
  </si>
  <si>
    <t xml:space="preserve">L. Indirects / overheads</t>
  </si>
  <si>
    <t xml:space="preserve">Corporate indirects: E&amp;S station overhead, general services, non-productive time, payroll benefits, AS&amp;E, MDEC, vehicles, lobby stock.</t>
  </si>
  <si>
    <t xml:space="preserve">M. AFUDC</t>
  </si>
  <si>
    <t xml:space="preserve">Allowance for funds used during construction, Sta 360.</t>
  </si>
  <si>
    <t xml:space="preserve">Total - Project 21334 approval level</t>
  </si>
  <si>
    <t xml:space="preserve">Station 360 direct layers A-E, G-I (sum)</t>
  </si>
  <si>
    <t xml:space="preserve">Load factor = (Sta 360 directs + J+K+L+M) / Sta 360 directs</t>
  </si>
  <si>
    <t xml:space="preserve">Check: loaded total less direct total (should be 0)</t>
  </si>
  <si>
    <t xml:space="preserve">Memo: D-Line interconnection, project 24211 (SSF Feb 2024 conceptual, not re-estimated)</t>
  </si>
  <si>
    <t xml:space="preserve">Memo: Nomad contract fixed price (Exhibit C, cover agreement dated 3/10/2026)</t>
  </si>
  <si>
    <t xml:space="preserve">Memo: escalation carried on the fixed-price battery line (Rev 3 line 432 less contract balance)</t>
  </si>
  <si>
    <t xml:space="preserve">Unit costs at each cost boundary (10 MW / 20 MWh, 2-hour)</t>
  </si>
  <si>
    <t xml:space="preserve">Nameplate MW</t>
  </si>
  <si>
    <t xml:space="preserve">Nameplate MWh</t>
  </si>
  <si>
    <t xml:space="preserve">Boundary</t>
  </si>
  <si>
    <t xml:space="preserve">Total ($)</t>
  </si>
  <si>
    <t xml:space="preserve">$/kW</t>
  </si>
  <si>
    <t xml:space="preserve">$/kWh</t>
  </si>
  <si>
    <t xml:space="preserve">Multiple of vendor contract</t>
  </si>
  <si>
    <t xml:space="preserve">Definition</t>
  </si>
  <si>
    <t xml:space="preserve">1. Vendor contract as quoted (Nomad fixed price)</t>
  </si>
  <si>
    <t xml:space="preserve">What the vendor calls 'the project cost': containers, batteries, PCS, BMS, fire protection, spares, 7-yr warranty extension, remote support, shipping, supervision, commissioning, training.</t>
  </si>
  <si>
    <t xml:space="preserve">2. Battery supply as carried in Rev 3 (contract + actuals + escalation) - Layer A</t>
  </si>
  <si>
    <t xml:space="preserve">Rev 3 line 432 + line 445.</t>
  </si>
  <si>
    <t xml:space="preserve">3. Battery system installed (Layers A+B+C, direct)</t>
  </si>
  <si>
    <t xml:space="preserve">Adds owner installation labor, pads, fire suppression, GSUs, EMS/comms, aux power. Closest analogue to a 'turnkey BESS' benchmark before soft costs.</t>
  </si>
  <si>
    <t xml:space="preserve">4. Station complete, direct (Layers A-E + G-I, no loaders)</t>
  </si>
  <si>
    <t xml:space="preserve">Adds the 13.8 kV switching station, landfill site development, testing, owner soft costs and taxes.</t>
  </si>
  <si>
    <t xml:space="preserve">5. Station 360 approval level (loaded)</t>
  </si>
  <si>
    <t xml:space="preserve">Adds risk, contingency, indirects and AFUDC. Equals ESF 'Hyde Park BESS - Sta. 360 - Rev 3' $49,994,200.</t>
  </si>
  <si>
    <t xml:space="preserve">6. Project 21334 approval level (Sta 360 + Sta 496)</t>
  </si>
  <si>
    <t xml:space="preserve">Adds the Station 496 feeder protection upgrades. Equals ESF Total Rev 3 $57,247,300.</t>
  </si>
  <si>
    <t xml:space="preserve">7. All-in including D-Line interconnection 24211 (memo)</t>
  </si>
  <si>
    <t xml:space="preserve">Adds the 2024 conceptual distribution circuit extension estimate. Not yet re-estimated; treat as indicative.</t>
  </si>
  <si>
    <t xml:space="preserve">Battery supply contract as share of project 21334 approval level</t>
  </si>
  <si>
    <t xml:space="preserve">Everything that is not the battery contract ($)</t>
  </si>
  <si>
    <t xml:space="preserve">Interconnection-driven cost, loaded: Layer D + Layer F ($)</t>
  </si>
  <si>
    <t xml:space="preserve">Interconnection-driven cost incl. D-Line memo ($)</t>
  </si>
  <si>
    <t xml:space="preserve">Cost and funding history, 2021 - 2026</t>
  </si>
  <si>
    <t xml:space="preserve">Date</t>
  </si>
  <si>
    <t xml:space="preserve">Event</t>
  </si>
  <si>
    <t xml:space="preserve">Value ($)</t>
  </si>
  <si>
    <t xml:space="preserve">Type</t>
  </si>
  <si>
    <t xml:space="preserve">Basis / source</t>
  </si>
  <si>
    <t xml:space="preserve">$/kWh at 20 MWh</t>
  </si>
  <si>
    <t xml:space="preserve">2021-06</t>
  </si>
  <si>
    <t xml:space="preserve">Initial Funding Request (IFR)</t>
  </si>
  <si>
    <t xml:space="preserve">funding</t>
  </si>
  <si>
    <t xml:space="preserve">IFR approved 6/11/2021; 15 MW/20 MWh concept; ISD Q3 2025</t>
  </si>
  <si>
    <t xml:space="preserve">2023-05</t>
  </si>
  <si>
    <t xml:space="preserve">IFR Rev 1</t>
  </si>
  <si>
    <t xml:space="preserve">Cumulative initial funding $300K + $200K</t>
  </si>
  <si>
    <t xml:space="preserve">2023-07</t>
  </si>
  <si>
    <t xml:space="preserve">Vendor indicative pricing, 5 bidders (Site Two, 10 MW/20 MWh)</t>
  </si>
  <si>
    <t xml:space="preserve">vendor</t>
  </si>
  <si>
    <t xml:space="preserve">Company 3 turnkey indicative price; range $9.59M-$18.22M across bidders</t>
  </si>
  <si>
    <t xml:space="preserve">2023-12</t>
  </si>
  <si>
    <t xml:space="preserve">E-23-373 conceptual estimate</t>
  </si>
  <si>
    <t xml:space="preserve">estimate</t>
  </si>
  <si>
    <t xml:space="preserve">Conceptual -25/+50%; ISD 4/23/2027; 2023 dollars escalated</t>
  </si>
  <si>
    <t xml:space="preserve">2024-02</t>
  </si>
  <si>
    <t xml:space="preserve">SSF preferred alternative (BESS + D-Line)</t>
  </si>
  <si>
    <t xml:space="preserve">$44.379M station + $4.793M distribution; SDC 2/15/2024</t>
  </si>
  <si>
    <t xml:space="preserve">2024-07</t>
  </si>
  <si>
    <t xml:space="preserve">Partial Funding Rev 1</t>
  </si>
  <si>
    <t xml:space="preserve">EPAC 7/10/2024</t>
  </si>
  <si>
    <t xml:space="preserve">2026-02</t>
  </si>
  <si>
    <t xml:space="preserve">Partial Funding Rev 2</t>
  </si>
  <si>
    <t xml:space="preserve">PowerPlan 2/18/2026; FF estimate still $43.926M</t>
  </si>
  <si>
    <t xml:space="preserve">2026-03</t>
  </si>
  <si>
    <t xml:space="preserve">Nomad cover agreement executed</t>
  </si>
  <si>
    <t xml:space="preserve">Fixed price, 12 Voyager units, 10-yr warranty; SOV dated 12/8/2025</t>
  </si>
  <si>
    <t xml:space="preserve">2026-06</t>
  </si>
  <si>
    <t xml:space="preserve">Partial Funding Rev 3</t>
  </si>
  <si>
    <t xml:space="preserve">EPAC 6/25/2026; FF estimate still $43.926M; ISD 12/28/2028</t>
  </si>
  <si>
    <t xml:space="preserve">2026-08</t>
  </si>
  <si>
    <t xml:space="preserve">Sta 360 + 496 estimate Rev 0</t>
  </si>
  <si>
    <t xml:space="preserve">ESF 8/26/2026; battery line carried at ~$6M</t>
  </si>
  <si>
    <t xml:space="preserve">2026-09-01</t>
  </si>
  <si>
    <t xml:space="preserve">Estimate Rev 1</t>
  </si>
  <si>
    <t xml:space="preserve">Battery material increased per project team</t>
  </si>
  <si>
    <t xml:space="preserve">2026-09-10</t>
  </si>
  <si>
    <t xml:space="preserve">Estimate Rev 2</t>
  </si>
  <si>
    <t xml:space="preserve">Battery line reset to cover agreement ($13.1M escalated) + $1.5M relays</t>
  </si>
  <si>
    <t xml:space="preserve">2026-09-24</t>
  </si>
  <si>
    <t xml:space="preserve">Estimate Rev 3 (current)</t>
  </si>
  <si>
    <t xml:space="preserve">Relays removed (-$1.5M), SSVT qty 3-&gt;1, engineering re-based to $501K + actuals</t>
  </si>
  <si>
    <t xml:space="preserve">In-service date drift</t>
  </si>
  <si>
    <t xml:space="preserve">As of</t>
  </si>
  <si>
    <t xml:space="preserve">Planned ISD</t>
  </si>
  <si>
    <t xml:space="preserve">Q3 2025</t>
  </si>
  <si>
    <t xml:space="preserve">Apr 2027</t>
  </si>
  <si>
    <t xml:space="preserve">Sep 2027</t>
  </si>
  <si>
    <t xml:space="preserve">2026-01</t>
  </si>
  <si>
    <t xml:space="preserve">Aug 2028</t>
  </si>
  <si>
    <t xml:space="preserve">Dec 2028</t>
  </si>
  <si>
    <t xml:space="preserve">September 2026 estimate revision walk (Project 21334 approval level)</t>
  </si>
  <si>
    <t xml:space="preserve">Step</t>
  </si>
  <si>
    <t xml:space="preserve">Approval level ($)</t>
  </si>
  <si>
    <t xml:space="preserve">Change ($)</t>
  </si>
  <si>
    <t xml:space="preserve">Driver (from ESF clarifications and 9/1-9/23/2026 email record)</t>
  </si>
  <si>
    <t xml:space="preserve">Rev 0</t>
  </si>
  <si>
    <t xml:space="preserve">2026-08-26</t>
  </si>
  <si>
    <t xml:space="preserve">Sta 360 built up from E-23-373 quantities and 7/28/2023 indicative pricing; battery material carried at about $6M (PM: 'change the battery cost (line 71) from 6 to 12.1M').</t>
  </si>
  <si>
    <t xml:space="preserve">Rev 1</t>
  </si>
  <si>
    <t xml:space="preserve">Per project team, increase battery material cost.</t>
  </si>
  <si>
    <t xml:space="preserve">Rev 2</t>
  </si>
  <si>
    <t xml:space="preserve">Battery line reset to Nomad cover agreement and escalated to $13,119,867; $1,545,014 'Relays, P&amp;C systems for batteries' carried from 2023 Company 1 pricing; 3 SSVTs; engineering hours from E-23-373; $609K LNTP actuals shown separately.</t>
  </si>
  <si>
    <t xml:space="preserve">Rev 3</t>
  </si>
  <si>
    <t xml:space="preserve">Relays deleted (-$1.5M, duplicated in $300K/breaker Siemens price per P&amp;C Engineering 9/22); SSVT quantity 3 to 1; engineering re-based to $501K to-go plus actuals (9/18); actuals updated to 9/23 ($5.52M); battery line = contract less $1,213,043 paid, escalated.</t>
  </si>
  <si>
    <t xml:space="preserve">Reference: full-funding placeholder carried in PF Rev 2 and Rev 3 PAFs</t>
  </si>
  <si>
    <t xml:space="preserve">Rev 3 vs. full-funding placeholder</t>
  </si>
  <si>
    <t xml:space="preserve">July 28, 2023 indicative pricing - Site Two (Hyde Park, 10 MW / 20 MWh), five bidders</t>
  </si>
  <si>
    <t xml:space="preserve">Bidder</t>
  </si>
  <si>
    <t xml:space="preserve">Total indicative price ($)</t>
  </si>
  <si>
    <t xml:space="preserve">Notes on scope / exclusions</t>
  </si>
  <si>
    <t xml:space="preserve">Company 1</t>
  </si>
  <si>
    <t xml:space="preserve">8 Hithium containers, 4 SMA 3950 PCS skids, switchgear $707K; excludes sound mitigation; prevailing wage and IRA compliance; 5-yr warranty; interconnection by Eversource.</t>
  </si>
  <si>
    <t xml:space="preserve">Company 2 (Opt 1)</t>
  </si>
  <si>
    <t xml:space="preserve">Assumes connection to substation bus (no switchgear); augmentation required year 7; no LTSA/extended warranty; 'Eversource would be responsible for interconnection cost'.</t>
  </si>
  <si>
    <t xml:space="preserve">Company 2 (Opt 2)</t>
  </si>
  <si>
    <t xml:space="preserve">As Option 1 with lower-cost enclosure option.</t>
  </si>
  <si>
    <t xml:space="preserve">Company 3</t>
  </si>
  <si>
    <t xml:space="preserve">Basis of the E-23-373 estimate. Battery enclosure $10.58M, PCS $0.83M, step-up transformers $0.63M, sound mitigation $0.47M, turnkey civil/installation $4.56M, spares/transport $0.59M.</t>
  </si>
  <si>
    <t xml:space="preserve">Company 4</t>
  </si>
  <si>
    <t xml:space="preserve">'Complete scope' line items; no step-up transformer; no builders risk; local permits only; no below-grade risk; non-union labor.</t>
  </si>
  <si>
    <t xml:space="preserve">Company 5</t>
  </si>
  <si>
    <t xml:space="preserve">Highest engineering/PM line ($3.15M) and installation $2.05M.</t>
  </si>
  <si>
    <t xml:space="preserve">Low</t>
  </si>
  <si>
    <t xml:space="preserve">High</t>
  </si>
  <si>
    <t xml:space="preserve">Median</t>
  </si>
  <si>
    <t xml:space="preserve">Every bidder listed interconnection, permitting beyond local, below-grade risk, sound walls, spares or long-term service as excluded or 'Eversource responsibility'. Source: BESS_Indicative_Pricing.xlsx (attachment to 9/9/2026 email).</t>
  </si>
  <si>
    <t xml:space="preserve">Published industry benchmarks (filled from research log; see whitepaper references)</t>
  </si>
  <si>
    <t xml:space="preserve">Source</t>
  </si>
  <si>
    <t xml:space="preserve">Year</t>
  </si>
  <si>
    <t xml:space="preserve">Metric</t>
  </si>
  <si>
    <t xml:space="preserve">Value</t>
  </si>
  <si>
    <t xml:space="preserve">Units</t>
  </si>
  <si>
    <t xml:space="preserve">Duration</t>
  </si>
  <si>
    <t xml:space="preserve">Dollar year</t>
  </si>
  <si>
    <t xml:space="preserve">What is included</t>
  </si>
  <si>
    <t xml:space="preserve">Confidence</t>
  </si>
  <si>
    <t xml:space="preserve">URL</t>
  </si>
  <si>
    <t xml:space="preserve">BloombergNEF battery pack price survey</t>
  </si>
  <si>
    <t xml:space="preserve">Pack price, stationary storage segment</t>
  </si>
  <si>
    <t xml:space="preserve">n/a</t>
  </si>
  <si>
    <t xml:space="preserve">2025 real</t>
  </si>
  <si>
    <t xml:space="preserve">Cells and pack hardware only, ex-works. No PCS, enclosure, BOS, installation or interconnection.</t>
  </si>
  <si>
    <t xml:space="preserve">Medium</t>
  </si>
  <si>
    <t xml:space="preserve">https://about.bnef.com/insights/clean-transport/lithium-ion-battery-pack-prices-fall-to-108-per-kilowatt-hour-despite-rising-metal-prices-bloombergnef/</t>
  </si>
  <si>
    <t xml:space="preserve">Pack price, all-segment volume-weighted average</t>
  </si>
  <si>
    <t xml:space="preserve">Cells and pack hardware only.</t>
  </si>
  <si>
    <t xml:space="preserve">Anza Renewables pricing insights</t>
  </si>
  <si>
    <t xml:space="preserve">Distribution-scale AC system price, delivered incl. tariffs, Q1 2026</t>
  </si>
  <si>
    <t xml:space="preserve">distribution-scale</t>
  </si>
  <si>
    <t xml:space="preserve">2026 nominal</t>
  </si>
  <si>
    <t xml:space="preserve">Equipment delivered (DC blocks + PCS). No EPC, civil, station or interconnection.</t>
  </si>
  <si>
    <t xml:space="preserve">https://www.anzarenewables.com/energy-storage-pricing-insights/</t>
  </si>
  <si>
    <t xml:space="preserve">BloombergNEF Energy Storage System Cost Survey</t>
  </si>
  <si>
    <t xml:space="preserve">Turnkey system price, United States</t>
  </si>
  <si>
    <t xml:space="preserve">4-h reference</t>
  </si>
  <si>
    <t xml:space="preserve">2025</t>
  </si>
  <si>
    <t xml:space="preserve">Racks/DC blocks, PCS, BOS, EMS, integration, installation and commissioning. Excludes grid connection, land, development and owner's costs (scope wording from prior-year summaries; verify in 2025 methodology).</t>
  </si>
  <si>
    <t xml:space="preserve">https://www.bnef.com/insights/38229</t>
  </si>
  <si>
    <t xml:space="preserve">2024</t>
  </si>
  <si>
    <t xml:space="preserve">As above.</t>
  </si>
  <si>
    <t xml:space="preserve">https://www.bnef.com/insights/35543</t>
  </si>
  <si>
    <t xml:space="preserve">Turnkey system price, global average (range $135-580)</t>
  </si>
  <si>
    <t xml:space="preserve">2023</t>
  </si>
  <si>
    <t xml:space="preserve">https://www.bnef.com/insights/33081</t>
  </si>
  <si>
    <t xml:space="preserve">NREL, Cole et al., Cost Projections for Utility-Scale Battery Storage: 2025 Update (NREL/TP-6A40-93281)</t>
  </si>
  <si>
    <t xml:space="preserve">Total installed cost, base year 2024, bottom-up model</t>
  </si>
  <si>
    <t xml:space="preserve">4-h, 60 MW</t>
  </si>
  <si>
    <t xml:space="preserve">2024 (verify)</t>
  </si>
  <si>
    <t xml:space="preserve">Pack, PCS, structural and electrical BOS, installation labor, EPC overhead, developer overhead, sales tax, permitting and an interconnection allowance, contingency, profit. Developer perspective; no utility indirects or AFUDC.</t>
  </si>
  <si>
    <t xml:space="preserve">https://docs.nrel.gov/docs/fy25osti/93281.pdf</t>
  </si>
  <si>
    <t xml:space="preserve">EIA / Sargent &amp; Lundy, Capital Cost and Performance Characteristics (AEO2025)</t>
  </si>
  <si>
    <t xml:space="preserve">Overnight capital cost, 150 MW / 600 MWh</t>
  </si>
  <si>
    <t xml:space="preserve">4-h, 150 MW</t>
  </si>
  <si>
    <t xml:space="preserve">EPC plus owner's costs (development, land, permitting, owner's engineering, spares, contingency). Overnight: excludes AFUDC. Interconnection limited to a tie to an assumed nearby substation. $1,744/kW.</t>
  </si>
  <si>
    <t xml:space="preserve">https://www.eia.gov/analysis/studies/powerplants/capitalcost/pdf/capital_cost_AEO2025.pdf</t>
  </si>
  <si>
    <t xml:space="preserve">LBNL, Utility-Scale Solar 2025 edition</t>
  </si>
  <si>
    <t xml:space="preserve">Empirical all-in battery capex, hybrid PV+storage plants installed 2024</t>
  </si>
  <si>
    <t xml:space="preserve">avg 3.3-h</t>
  </si>
  <si>
    <t xml:space="preserve">EIA-860 reported capitalized cost, battery share of hybrid plants.</t>
  </si>
  <si>
    <t xml:space="preserve">https://emp.lbl.gov/sites/default/files/2025-10/Utility%20Scale%20Solar%202025%20Edition%20Slides.pdf</t>
  </si>
  <si>
    <t xml:space="preserve">EIA Form 860, construction cost of generators installed in 2023</t>
  </si>
  <si>
    <t xml:space="preserve">Capacity-weighted average construction cost, battery storage (6,841 MW, $9.3B)</t>
  </si>
  <si>
    <t xml:space="preserve">mixed (not stated)</t>
  </si>
  <si>
    <t xml:space="preserve">2023 nominal</t>
  </si>
  <si>
    <t xml:space="preserve">Respondent-reported total capitalized construction cost.</t>
  </si>
  <si>
    <t xml:space="preserve">https://www.eia.gov/electricity/generatorcosts</t>
  </si>
  <si>
    <t xml:space="preserve">Wood Mackenzie / ACP, US Energy Storage Monitor</t>
  </si>
  <si>
    <t xml:space="preserve">Utility-scale system price, Q2 2026</t>
  </si>
  <si>
    <t xml:space="preserve">4-h implied</t>
  </si>
  <si>
    <t xml:space="preserve">2026</t>
  </si>
  <si>
    <t xml:space="preserve">Turnkey system incl. EPC; interconnection excluded (verify).</t>
  </si>
  <si>
    <t xml:space="preserve">https://cleanpower.org/resources/u-s-energy-storage-monitor/</t>
  </si>
  <si>
    <t xml:space="preserve">LBNL, Interconnection cost analysis in ISO-NE (Kemp et al.)</t>
  </si>
  <si>
    <t xml:space="preserve">Average interconnection cost, storage requests 2018-21</t>
  </si>
  <si>
    <t xml:space="preserve">nominal</t>
  </si>
  <si>
    <t xml:space="preserve">Point of interconnection plus network upgrades from ISO studies. Equals $115/kWh for a 10 MW / 20 MWh system.</t>
  </si>
  <si>
    <t xml:space="preserve">https://eta-publications.lbl.gov/sites/default/files/iso-ne_interconnection_costs_vfinal.pdf</t>
  </si>
  <si>
    <t xml:space="preserve">NV Energy, Reid Gardner BESS (Energy Vault EPC)</t>
  </si>
  <si>
    <t xml:space="preserve">Utility-owned 220 MW / 440 MWh, 2-h, at former coal site with existing switchyard, $257M</t>
  </si>
  <si>
    <t xml:space="preserve">2-h, 220 MW</t>
  </si>
  <si>
    <t xml:space="preserve">2022-23</t>
  </si>
  <si>
    <t xml:space="preserve">EPC construction cost using existing interconnection.</t>
  </si>
  <si>
    <t xml:space="preserve">https://en.wikipedia.org/wiki/Reid_Gardner_Battery_Energy_Storage_System</t>
  </si>
  <si>
    <t xml:space="preserve">Southern California Edison / Ameresco (CPUC approval Dec 2021)</t>
  </si>
  <si>
    <t xml:space="preserve">Utility-owned 537.5 MW / 2,150 MWh at three existing substations, $1.226B</t>
  </si>
  <si>
    <t xml:space="preserve">4-h</t>
  </si>
  <si>
    <t xml:space="preserve">2021</t>
  </si>
  <si>
    <t xml:space="preserve">EPC plus maintenance term; sited at existing substations; emergency-procurement timelines.</t>
  </si>
  <si>
    <t xml:space="preserve">https://www.cpuc.ca.gov/news-and-updates/all-news/cpuc-approves-energy-storage-contract-for-sce</t>
  </si>
  <si>
    <t xml:space="preserve">Hawaiian Electric, Waena BESS, Maui (PUC approval Dec 2023)</t>
  </si>
  <si>
    <t xml:space="preserve">Utility-owned 40 MW / 160 MWh Tesla Megapack, $82.1M approved (increase pending for tariffs)</t>
  </si>
  <si>
    <t xml:space="preserve">4-h, 40 MW</t>
  </si>
  <si>
    <t xml:space="preserve">Purchase and installation at utility-owned site.</t>
  </si>
  <si>
    <t xml:space="preserve">https://www.energy-storage.news/hawaiian-electric-requests-funds-with-tariffs-expected-to-drive-up-cost-of-tesla-bess/</t>
  </si>
  <si>
    <t xml:space="preserve">National Grid Massachusetts, 2018 rate case proposal</t>
  </si>
  <si>
    <t xml:space="preserve">Proposed utility-owned 14 MW / 56 MWh, $50M</t>
  </si>
  <si>
    <t xml:space="preserve">4-h, 14 MW</t>
  </si>
  <si>
    <t xml:space="preserve">2018 estimate</t>
  </si>
  <si>
    <t xml:space="preserve">Utility capital estimate; build status not confirmed.</t>
  </si>
  <si>
    <t xml:space="preserve">https://www.sec.gov/Archives/edgar/data/0001004315/000100431518000103/a6kannouncments16nov10de.htm</t>
  </si>
  <si>
    <t xml:space="preserve">Eversource Martha's Vineyard Phase 1 (D.P.U. 18-155, cancelled 2021)</t>
  </si>
  <si>
    <t xml:space="preserve">Utility estimate, 4.9 MW / 20 MWh, $15M</t>
  </si>
  <si>
    <t xml:space="preserve">4-h, 4.9 MW</t>
  </si>
  <si>
    <t xml:space="preserve">2018-19 estimate</t>
  </si>
  <si>
    <t xml:space="preserve">Utility capital estimate, indoor building at service center.</t>
  </si>
  <si>
    <t xml:space="preserve">https://www.mass.gov/info-details/utility-owned-large-scale-battery-energy-storage</t>
  </si>
  <si>
    <t xml:space="preserve">Eversource Outer Cape BESS, Provincetown (D.P.U. 17-05)</t>
  </si>
  <si>
    <t xml:space="preserve">Final cost $49M, 24.9 MW / 38 MWh, in service 2022</t>
  </si>
  <si>
    <t xml:space="preserve">1.5-h, 24.9 MW</t>
  </si>
  <si>
    <t xml:space="preserve">2019-22 nominal</t>
  </si>
  <si>
    <t xml:space="preserve">Full utility capital: batteries, PCS, site civil, microgrid islanding controls, interconnection, overheads. $1,968/kW.</t>
  </si>
  <si>
    <t xml:space="preserve">https://www.utilitydive.com/news/eversource-advances-cape-cod-battery-project-defers-13-mile-distribution-l/552171/</t>
  </si>
  <si>
    <t xml:space="preserve">Hyde Park boundaries for comparison ($/kWh, from Unit Costs tab)</t>
  </si>
  <si>
    <t xml:space="preserve">Nomad equipment only (12 units, PCS, BMS, fire)</t>
  </si>
  <si>
    <t xml:space="preserve">Vendor contract</t>
  </si>
  <si>
    <t xml:space="preserve">Battery installed (A+B+C)</t>
  </si>
  <si>
    <t xml:space="preserve">Station complete, direct</t>
  </si>
  <si>
    <t xml:space="preserve">Station 360 approval level</t>
  </si>
  <si>
    <t xml:space="preserve">Project 21334 approval level</t>
  </si>
  <si>
    <t xml:space="preserve">All-in incl. D-Line memo</t>
  </si>
  <si>
    <t xml:space="preserve">Retrieved 29 Sep 2026 from search-index excerpts of the cited pages; direct PDF access was blocked in the research environment. Figures tagged High appear in the primary source text; Medium are reported by a reputable secondary source quoting the primary. Verify against the PDFs before external use.</t>
  </si>
  <si>
    <t xml:space="preserve">ISO interconnection cost references (LBNL series; ISO-NE Transitional Cluster Study interim, Jun 2026)</t>
  </si>
  <si>
    <t xml:space="preserve">LBNL ISO-NE interconnection brief</t>
  </si>
  <si>
    <t xml:space="preserve">Storage median, studies 2018-21</t>
  </si>
  <si>
    <t xml:space="preserve">real (2022$ likely)</t>
  </si>
  <si>
    <t xml:space="preserve">POI + network upgrades from ISO studies; all-status storage mean ~ $230/kW</t>
  </si>
  <si>
    <t xml:space="preserve">https://emp.lbl.gov/publications/interconnection-cost-analysis-iso-new</t>
  </si>
  <si>
    <t xml:space="preserve">ISO-NE Transitional Cluster Study interim</t>
  </si>
  <si>
    <t xml:space="preserve">Average interconnection cost, 23 transmission-connected projects (~$3.2B / 4.8 GW)</t>
  </si>
  <si>
    <t xml:space="preserve">System network upgrades ~ $2.5B; WCMA &gt; $1,000/kW, SEMA ~ $177/kW; 21 of 26 requests are BESS</t>
  </si>
  <si>
    <t xml:space="preserve">High (totals) / Medium (zonal)</t>
  </si>
  <si>
    <t xml:space="preserve">https://www.mass.gov/doc/letter-to-iso-ne-on-transitional-cluster-study-interim-results-june-25-2026/download</t>
  </si>
  <si>
    <t xml:space="preserve">LBNL NYISO interconnection brief</t>
  </si>
  <si>
    <t xml:space="preserve">Storage, 1-50 MW requests (vs $32/kW above 250 MW)</t>
  </si>
  <si>
    <t xml:space="preserve">real</t>
  </si>
  <si>
    <t xml:space="preserve">Only ISO-level storage cost by size</t>
  </si>
  <si>
    <t xml:space="preserve">https://emp.lbl.gov/publications/interconnection-cost-analysis-nyiso</t>
  </si>
  <si>
    <t xml:space="preserve">LBNL PJM interconnection brief</t>
  </si>
  <si>
    <t xml:space="preserve">Storage mean, all statuses</t>
  </si>
  <si>
    <t xml:space="preserve">Median $63/kW; complete storage ~ $4/kW</t>
  </si>
  <si>
    <t xml:space="preserve">https://emp.lbl.gov/publications/interconnection-cost-analysis-pjm</t>
  </si>
  <si>
    <t xml:space="preserve">LBNL MISO interconnection brief</t>
  </si>
  <si>
    <t xml:space="preserve">Storage potential cost, 2018-21</t>
  </si>
  <si>
    <t xml:space="preserve">https://emp.lbl.gov/publications/generator-interconnection-cost</t>
  </si>
  <si>
    <t xml:space="preserve">NYSERDA State of Storage</t>
  </si>
  <si>
    <t xml:space="preserve">Bulk (&gt;5 MW) average installed cost</t>
  </si>
  <si>
    <t xml:space="preserve">2025 nominal</t>
  </si>
  <si>
    <t xml:space="preserve">Retail front-of-meter standalone $666/kWh</t>
  </si>
  <si>
    <t xml:space="preserve">https://www.nyserda.ny.gov/</t>
  </si>
  <si>
    <t xml:space="preserve">Modo Energy global capex survey</t>
  </si>
  <si>
    <t xml:space="preserve">Median 2-h system capex (4-h: $201/kWh)</t>
  </si>
  <si>
    <t xml:space="preserve">2-h</t>
  </si>
  <si>
    <t xml:space="preserve">Doubling duration cuts ~38%/MWh</t>
  </si>
  <si>
    <t xml:space="preserve">https://modoenergy.com/research/en/global-battery-capex-september-2026-research</t>
  </si>
  <si>
    <t xml:space="preserve">Battery installed-cost curve and escalation basis (deck slides 10-11)</t>
  </si>
  <si>
    <t xml:space="preserve">Series plotted as published. Direct access to eia.gov, bnef.com and energy-storage.news was blocked by the research proxy; values come from search-index excerpts of those pages and carry the confidence tag of the excerpt. Verify against the primary pages before external use.</t>
  </si>
  <si>
    <t xml:space="preserve">A. Industry series as published ($/kWh)</t>
  </si>
  <si>
    <t xml:space="preserve">Series</t>
  </si>
  <si>
    <t xml:space="preserve">Dollar basis</t>
  </si>
  <si>
    <t xml:space="preserve">Scope</t>
  </si>
  <si>
    <t xml:space="preserve">EIA reported all-in, utility-scale (EIA-860, nominal $/kWh)</t>
  </si>
  <si>
    <t xml:space="preserve">Nominal, capacity-weighted average energy-capacity cost of batteries installed in the year</t>
  </si>
  <si>
    <t xml:space="preserve">Respondent-reported total capitalized construction cost</t>
  </si>
  <si>
    <t xml:space="preserve">https://www.eia.gov/todayinenergy/detail.php?id=45596</t>
  </si>
  <si>
    <t xml:space="preserve">BNEF turnkey system, global avg, 4-h ($/kWh, real survey-year)</t>
  </si>
  <si>
    <t xml:space="preserve">Real USD of the survey year</t>
  </si>
  <si>
    <t xml:space="preserve">Racks, PCS, BOS, EMS, integration, installation, commissioning; excludes grid connection, land, development, owner's costs</t>
  </si>
  <si>
    <t xml:space="preserve">https://www.bnef.com/insights/30443 ; https://www.bnef.com/insights/33081 ; https://www.bnef.com/insights/35543 ; https://www.bnef.com/insights/38229</t>
  </si>
  <si>
    <t xml:space="preserve">BNEF turnkey system, United States, 4-h</t>
  </si>
  <si>
    <t xml:space="preserve">As above</t>
  </si>
  <si>
    <t xml:space="preserve">NREL bottom-up all-in, 4-h 60 MW (2024$), mid-case projection</t>
  </si>
  <si>
    <t xml:space="preserve">2024 dollars; 2028 point is a linear interpolation between the 2024 base and the 2035 mid case</t>
  </si>
  <si>
    <t xml:space="preserve">Pack, PCS, BOS, installation, EPC and developer overhead, sales tax, permitting and interconnection allowance, contingency, profit</t>
  </si>
  <si>
    <t xml:space="preserve">High (2024 and 2035 points); derived (2028)</t>
  </si>
  <si>
    <t xml:space="preserve">B. Hyde Park points ($/kWh at 20,000 kWh)</t>
  </si>
  <si>
    <t xml:space="preserve">Year (decimal)</t>
  </si>
  <si>
    <t xml:space="preserve">Point</t>
  </si>
  <si>
    <t xml:space="preserve">Basis</t>
  </si>
  <si>
    <t xml:space="preserve">2023 indicative bids, low (Company 2 Opt 2 $9,586,600)</t>
  </si>
  <si>
    <t xml:space="preserve">July 2023 indicative sheet</t>
  </si>
  <si>
    <t xml:space="preserve">2023 indicative bids, high (Company 3 $18,222,342)</t>
  </si>
  <si>
    <t xml:space="preserve">Nomad equipment only ($10,638,000)</t>
  </si>
  <si>
    <t xml:space="preserve">Cover agreement SOV</t>
  </si>
  <si>
    <t xml:space="preserve">Nomad contract ($12,106,850)</t>
  </si>
  <si>
    <t xml:space="preserve">Cover agreement Exhibit C</t>
  </si>
  <si>
    <t xml:space="preserve">Battery as carried in Rev 3, layer A (contract balance escalated + actuals)</t>
  </si>
  <si>
    <t xml:space="preserve">Rev 3 lines 432 + 445</t>
  </si>
  <si>
    <t xml:space="preserve">Battery installed, layers A+B+C</t>
  </si>
  <si>
    <t xml:space="preserve">Rev 3 layers A, B, C</t>
  </si>
  <si>
    <t xml:space="preserve">C. Adjusting a 4-h, 60-240 MWh index to 2-h, 20 MWh</t>
  </si>
  <si>
    <t xml:space="preserve">Input</t>
  </si>
  <si>
    <t xml:space="preserve">Note</t>
  </si>
  <si>
    <t xml:space="preserve">Duration factor, low</t>
  </si>
  <si>
    <t xml:space="preserve">NREL cost structure: pack $/kWh x hours + BOS $/kW; 2-h vs 4-h</t>
  </si>
  <si>
    <t xml:space="preserve">Duration factor, high</t>
  </si>
  <si>
    <t xml:space="preserve">as above</t>
  </si>
  <si>
    <t xml:space="preserve">Size elasticity</t>
  </si>
  <si>
    <t xml:space="preserve">Appendix B regression, ln(MWh) coefficient</t>
  </si>
  <si>
    <t xml:space="preserve">Reference MWh</t>
  </si>
  <si>
    <t xml:space="preserve">NREL 60 MW x 4 h</t>
  </si>
  <si>
    <t xml:space="preserve">Hyde Park MWh</t>
  </si>
  <si>
    <t xml:space="preserve">Size factor</t>
  </si>
  <si>
    <t xml:space="preserve">(20/240)^-0.173</t>
  </si>
  <si>
    <t xml:space="preserve">Combined factor, low</t>
  </si>
  <si>
    <t xml:space="preserve">Combined factor, high</t>
  </si>
  <si>
    <t xml:space="preserve">BNEF US turnkey 2025, adjusted low</t>
  </si>
  <si>
    <t xml:space="preserve">vs Nomad equipment $532</t>
  </si>
  <si>
    <t xml:space="preserve">BNEF US turnkey 2025, adjusted high</t>
  </si>
  <si>
    <t xml:space="preserve">NREL 2024 base $334 to 2028 at 3%/yr</t>
  </si>
  <si>
    <t xml:space="preserve">NREL 2028, adjusted low</t>
  </si>
  <si>
    <t xml:space="preserve">vs Hyde Park installed $833</t>
  </si>
  <si>
    <t xml:space="preserve">NREL 2028, adjusted high</t>
  </si>
  <si>
    <t xml:space="preserve">Escalation rate</t>
  </si>
  <si>
    <t xml:space="preserve">ESF template, approx.</t>
  </si>
  <si>
    <t xml:space="preserve">D. Escalation in Rev 3 (ESF Overview row 34, included in directs)</t>
  </si>
  <si>
    <t xml:space="preserve">Item</t>
  </si>
  <si>
    <t xml:space="preserve">$</t>
  </si>
  <si>
    <t xml:space="preserve">Escalation, Station 360</t>
  </si>
  <si>
    <t xml:space="preserve">ESF Sta 360 Rev 3 Overview</t>
  </si>
  <si>
    <t xml:space="preserve">Escalation, Station 496</t>
  </si>
  <si>
    <t xml:space="preserve">ESF Total Rev 3 Overview</t>
  </si>
  <si>
    <t xml:space="preserve">Escalation, project 21334</t>
  </si>
  <si>
    <t xml:space="preserve">ESF Overview shows $2,948,100 after rounding</t>
  </si>
  <si>
    <t xml:space="preserve">of which on the Nomad balance (fixed price)</t>
  </si>
  <si>
    <t xml:space="preserve">Rev 3 line 432 less contract balance</t>
  </si>
  <si>
    <t xml:space="preserve">of which on other scope</t>
  </si>
  <si>
    <t xml:space="preserve">Share of approval level</t>
  </si>
  <si>
    <t xml:space="preserve">Spend 2027-2028 (Schedule tab)</t>
  </si>
  <si>
    <t xml:space="preserve">ESF Schedule tab, 2027 + 2028 columns</t>
  </si>
  <si>
    <t xml:space="preserve">Escalation from a 12-month slip at the template rate</t>
  </si>
  <si>
    <t xml:space="preserve">before AFUDC, PM, indirects</t>
  </si>
  <si>
    <t xml:space="preserve">Non-battery material (Materials category less layer A)</t>
  </si>
  <si>
    <t xml:space="preserve">exposure to tariff / commodity moves above 3%</t>
  </si>
  <si>
    <t xml:space="preserve">E. Same comparison, same dollars ($/kWh)</t>
  </si>
  <si>
    <t xml:space="preserve">Nominal as carried</t>
  </si>
  <si>
    <t xml:space="preserve">Ex-escalation (2026$)</t>
  </si>
  <si>
    <t xml:space="preserve">Benchmark brought to 2028 at the template rate</t>
  </si>
  <si>
    <t xml:space="preserve">BNEF US turnkey 2025 -&gt; 2028</t>
  </si>
  <si>
    <t xml:space="preserve">Battery as carried (A)</t>
  </si>
  <si>
    <t xml:space="preserve">NREL 4-h 2024$ -&gt; 2028</t>
  </si>
  <si>
    <t xml:space="preserve">NREL 2028 adjusted to 2-h, 10 MW (low); high = adjusted high</t>
  </si>
  <si>
    <t xml:space="preserve">EIA/S&amp;L 2023$ -&gt; 2028</t>
  </si>
  <si>
    <t xml:space="preserve">Ex-escalation removes the Station 360 escalation from the direct boundaries; the B+C share is allocated pro rata to direct cost across Station 360 layers B to I and is approximate.</t>
  </si>
  <si>
    <t xml:space="preserve">Public project-level BESS costs (44 compiled; 26 used in the regression). Blue = keyed from source; $/kWh, $/kW and duration are formulas.</t>
  </si>
  <si>
    <t xml:space="preserve">Project</t>
  </si>
  <si>
    <t xml:space="preserve">Owner</t>
  </si>
  <si>
    <t xml:space="preserve">Owner type</t>
  </si>
  <si>
    <t xml:space="preserve">State</t>
  </si>
  <si>
    <t xml:space="preserve">ISO</t>
  </si>
  <si>
    <t xml:space="preserve">MW</t>
  </si>
  <si>
    <t xml:space="preserve">MWh</t>
  </si>
  <si>
    <t xml:space="preserve">COD year</t>
  </si>
  <si>
    <t xml:space="preserve">Cost ($)</t>
  </si>
  <si>
    <t xml:space="preserve">Cost basis</t>
  </si>
  <si>
    <t xml:space="preserve">Site type</t>
  </si>
  <si>
    <t xml:space="preserve">Excluded (reason)</t>
  </si>
  <si>
    <t xml:space="preserve">Duration (h)</t>
  </si>
  <si>
    <t xml:space="preserve">Source URL</t>
  </si>
  <si>
    <t xml:space="preserve">Notes</t>
  </si>
  <si>
    <t xml:space="preserve">In reference class? ($/kWh if yes)</t>
  </si>
  <si>
    <t xml:space="preserve">Outer Cape (Provincetown) BESS</t>
  </si>
  <si>
    <t xml:space="preserve">Eversource (NSTAR Electric)</t>
  </si>
  <si>
    <t xml:space="preserve">IOU</t>
  </si>
  <si>
    <t xml:space="preserve">MA</t>
  </si>
  <si>
    <t xml:space="preserve">ISO-NE</t>
  </si>
  <si>
    <t xml:space="preserve">final/actual (as reported)</t>
  </si>
  <si>
    <t xml:space="preserve">all-in incl. 8,000 sf building, fiber-optic control network and Provincetown loop circuitry (microgrid)</t>
  </si>
  <si>
    <t xml:space="preserve">existing municipal site (town transfer station), distribution-connected</t>
  </si>
  <si>
    <t xml:space="preserve">https://provincetownindependent.org/featured/2026/05/13/eversource-will-upgrade-exposed-poles-on-shore-road/</t>
  </si>
  <si>
    <t xml:space="preserve">DPU 17-05 (2017) approved budget range $35-45M; $49M final per Provincetown Independent and capecod.com reporting; cost includes non-battery microgrid/fiber scope</t>
  </si>
  <si>
    <t xml:space="preserve">Nantucket BESS</t>
  </si>
  <si>
    <t xml:space="preserve">National Grid (Massachusetts Electric)</t>
  </si>
  <si>
    <t xml:space="preserve">all-in incl. new 15 MW diesel generator and power control house</t>
  </si>
  <si>
    <t xml:space="preserve">existing utility site (Bunker Rd), distribution/island</t>
  </si>
  <si>
    <t xml:space="preserve">cost bundles 15 MW diesel generator and control house</t>
  </si>
  <si>
    <t xml:space="preserve">https://www.renewableenergyworld.com/energy-storage/battery/6-mw-48-mwh-battery-storage-system-unveiled-on-nantucket-island-in-massachusetts/</t>
  </si>
  <si>
    <t xml:space="preserve">Tesla Powerpack 8-hour; $81M includes generator - battery-only cost not disclosed; alternative was ~$200M third submarine cable</t>
  </si>
  <si>
    <t xml:space="preserve">Martha's Vineyard BESS Phase 1 (cancelled)</t>
  </si>
  <si>
    <t xml:space="preserve">estimate (DPU 18-155 filing)</t>
  </si>
  <si>
    <t xml:space="preserve">all-in utility capital estimate</t>
  </si>
  <si>
    <t xml:space="preserve">greenfield adjacent to Oak Bluffs substation</t>
  </si>
  <si>
    <t xml:space="preserve">https://www.microgridknowledge.com/distributed-energy/article/11429907/eversource-pushes-ahead-with-147-mw-battery-project-on-marthas-vineyard</t>
  </si>
  <si>
    <t xml:space="preserve">cod_year = DPU approval year (2019); Eversource cancelled project May 2021; never built</t>
  </si>
  <si>
    <t xml:space="preserve">Martha's Vineyard BESS Phase 2 (cancelled)</t>
  </si>
  <si>
    <t xml:space="preserve">cod_year = DPU approval year (2019); planned COD 2023; cancelled May 2021</t>
  </si>
  <si>
    <t xml:space="preserve">Sterling MLD Chocksett Road BESS</t>
  </si>
  <si>
    <t xml:space="preserve">Sterling Municipal Light Department</t>
  </si>
  <si>
    <t xml:space="preserve">muni/coop</t>
  </si>
  <si>
    <t xml:space="preserve">turnkey battery + installation (NEC Energy Solutions)</t>
  </si>
  <si>
    <t xml:space="preserve">existing substation</t>
  </si>
  <si>
    <t xml:space="preserve">https://www.cesa.org/resource-library/resource/project-overview-sterling-municipal-energy-storage-project/</t>
  </si>
  <si>
    <t xml:space="preserve">$1.4M MA DOER resiliency grant + $250k DOE grant; commissioned Dec 2016</t>
  </si>
  <si>
    <t xml:space="preserve">Pomona (Ladentown) BESS</t>
  </si>
  <si>
    <t xml:space="preserve">Orange &amp; Rockland Utilities (Con Edison)</t>
  </si>
  <si>
    <t xml:space="preserve">NY</t>
  </si>
  <si>
    <t xml:space="preserve">NYISO</t>
  </si>
  <si>
    <t xml:space="preserve">final/actual (utility press release)</t>
  </si>
  <si>
    <t xml:space="preserve">all-in utility-owned (developed/built by Key Capture Energy)</t>
  </si>
  <si>
    <t xml:space="preserve">existing substation (adjacent Ladentown substation, O&amp;R property)</t>
  </si>
  <si>
    <t xml:space="preserve">https://www.oru.com/en/about-us/media-center/news/2021/04-20/oru-key-capture-energy-begins-operations-at-orus-first-energy-storage-facility</t>
  </si>
  <si>
    <t xml:space="preserve">4-hour; first O&amp;R storage facility</t>
  </si>
  <si>
    <t xml:space="preserve">Salem Smart Power Center</t>
  </si>
  <si>
    <t xml:space="preserve">Portland General Electric</t>
  </si>
  <si>
    <t xml:space="preserve">OR</t>
  </si>
  <si>
    <t xml:space="preserve">non-ISO (WECC NW)</t>
  </si>
  <si>
    <t xml:space="preserve">final/actual (demonstration total)</t>
  </si>
  <si>
    <t xml:space="preserve">all-in demonstration incl. building, microgrid, smart-grid controls; DOE cost-share (PNW Smart Grid Demo)</t>
  </si>
  <si>
    <t xml:space="preserve">greenfield industrial site (SE Salem)</t>
  </si>
  <si>
    <t xml:space="preserve">2013 demonstration incl. building and smart-grid controls</t>
  </si>
  <si>
    <t xml:space="preserve">https://investors.portlandgeneral.com/news-releases/news-release-details/portland-general-electric-opens-salem-smart-power-center-along</t>
  </si>
  <si>
    <t xml:space="preserve">EnerDel Li-ion 5 MW/1.25 MWh; R&amp;D demo - not representative of commercial cost</t>
  </si>
  <si>
    <t xml:space="preserve">Waena BESS (Maui)</t>
  </si>
  <si>
    <t xml:space="preserve">Hawaiian Electric (Maui Electric)</t>
  </si>
  <si>
    <t xml:space="preserve">HI</t>
  </si>
  <si>
    <t xml:space="preserve">non-ISO (island)</t>
  </si>
  <si>
    <t xml:space="preserve">approved budget/estimate (HPUC Dec 2023)</t>
  </si>
  <si>
    <t xml:space="preserve">all-in purchase and installation; EPRM cost recovery</t>
  </si>
  <si>
    <t xml:space="preserve">greenfield on utility land adjacent Waena switchyard</t>
  </si>
  <si>
    <t xml:space="preserve">https://www.sec.gov/Archives/edgar/data/0000354707/000035470726000054/he-20260630.htm</t>
  </si>
  <si>
    <t xml:space="preserve">Original 2020 estimate $60M; July 2025 PUC allowed recovery up to +20% over estimate for tariff-driven cost changes; $27.2M incurred as of 6/30/2026; Tesla Megapack</t>
  </si>
  <si>
    <t xml:space="preserve">Arlington Microgrid</t>
  </si>
  <si>
    <t xml:space="preserve">Snohomish County PUD</t>
  </si>
  <si>
    <t xml:space="preserve">WA</t>
  </si>
  <si>
    <t xml:space="preserve">all-in microgrid incl. 500 kW solar, Clean Energy Center building, V2G, controls</t>
  </si>
  <si>
    <t xml:space="preserve">greenfield at PUD Arlington office site</t>
  </si>
  <si>
    <t xml:space="preserve">microgrid incl. solar, building, V2G</t>
  </si>
  <si>
    <t xml:space="preserve">https://www.snopud.com/community-environment/our-energy-future/projects/arlington-microgrid-project/</t>
  </si>
  <si>
    <t xml:space="preserve">$3.5M WA Clean Energy Fund grant; battery-only cost not separated</t>
  </si>
  <si>
    <t xml:space="preserve">Reid Gardner BESS</t>
  </si>
  <si>
    <t xml:space="preserve">NV Energy (Berkshire Hathaway Energy)</t>
  </si>
  <si>
    <t xml:space="preserve">NV</t>
  </si>
  <si>
    <t xml:space="preserve">non-ISO (WECC; EIM)</t>
  </si>
  <si>
    <t xml:space="preserve">all-in</t>
  </si>
  <si>
    <t xml:space="preserve">coal-site (retired Reid Gardner Generating Station)</t>
  </si>
  <si>
    <t xml:space="preserve">https://reviewjournal.com/business/energy/nv-energy-cuts-ribbon-on-257m-facility-meant-to-boost-solar-energy-3040299</t>
  </si>
  <si>
    <t xml:space="preserve">Energy Vault EPC; ~40% (~$100M) of cost offset by IRA tax credits; PUCN approved 2022</t>
  </si>
  <si>
    <t xml:space="preserve">Constable (Evergreen) BESS</t>
  </si>
  <si>
    <t xml:space="preserve">final/actual (Electric Utility Plant recorded incl. AFUDC, 10-K)</t>
  </si>
  <si>
    <t xml:space="preserve">rate-base capital incl. AFUDC (EPC by Mortenson)</t>
  </si>
  <si>
    <t xml:space="preserve">greenfield (Hillsboro)</t>
  </si>
  <si>
    <t xml:space="preserve">https://www.sec.gov/Archives/edgar/data/784977/000078497725000012/por-20241231.htm</t>
  </si>
  <si>
    <t xml:space="preserve">4-hour; COD Dec 2024</t>
  </si>
  <si>
    <t xml:space="preserve">Seaside BESS</t>
  </si>
  <si>
    <t xml:space="preserve">contract price (fixed-cost build-transfer agreement, excl. AFUDC)</t>
  </si>
  <si>
    <t xml:space="preserve">EPC/BTA turnkey excl. AFUDC</t>
  </si>
  <si>
    <t xml:space="preserve">greenfield (North Portland)</t>
  </si>
  <si>
    <t xml:space="preserve">Eolian BTA; OPUC Order 25-417 rate base $220M net of $125M ITC; COD July 2025</t>
  </si>
  <si>
    <t xml:space="preserve">Essex Solar + Storage</t>
  </si>
  <si>
    <t xml:space="preserve">Green Mountain Power</t>
  </si>
  <si>
    <t xml:space="preserve">VT</t>
  </si>
  <si>
    <t xml:space="preserve">estimate (development + interconnection)</t>
  </si>
  <si>
    <t xml:space="preserve">all-in incl. 4.9 MW solar (18,326 panels) and interconnection</t>
  </si>
  <si>
    <t xml:space="preserve">greenfield</t>
  </si>
  <si>
    <t xml:space="preserve">bundles 4.9 MW solar</t>
  </si>
  <si>
    <t xml:space="preserve">https://vtdigger.org/2022/09/29/green-mountain-power-expands-battery-storage-to-avoid-buying-energy-from-the-grid/</t>
  </si>
  <si>
    <t xml:space="preserve">Tesla Powerpack 2 MW/4-hour; cost includes solar - not separable</t>
  </si>
  <si>
    <t xml:space="preserve">Northern New York (Chateaugay) BESS</t>
  </si>
  <si>
    <t xml:space="preserve">New York Power Authority</t>
  </si>
  <si>
    <t xml:space="preserve">other (state power authority)</t>
  </si>
  <si>
    <t xml:space="preserve">approved budget (NYPA Trustees)</t>
  </si>
  <si>
    <t xml:space="preserve">existing substation (adjacent NYPA Willis substation)</t>
  </si>
  <si>
    <t xml:space="preserve">https://nypa.gov/news/press-releases/2023/20230825-utility</t>
  </si>
  <si>
    <t xml:space="preserve">1-hour system; initial $23.8M approval + $6M added</t>
  </si>
  <si>
    <t xml:space="preserve">Ozone Park BESS</t>
  </si>
  <si>
    <t xml:space="preserve">Con Edison</t>
  </si>
  <si>
    <t xml:space="preserve">estimate (utility spokesman: 'about $15 million')</t>
  </si>
  <si>
    <t xml:space="preserve">all-in facility</t>
  </si>
  <si>
    <t xml:space="preserve">utility property in Ozone Park, Queens (distribution)</t>
  </si>
  <si>
    <t xml:space="preserve">https://ny1.com/nyc/queens/news/2019/05/10/con-ed-creates-battery-farm-to-address-summer-strain-on-power-grid</t>
  </si>
  <si>
    <t xml:space="preserve">8-hour; some sources cite 2 MW; cost figure is an informal spokesman statement</t>
  </si>
  <si>
    <t xml:space="preserve">Hot Springs Microgrid</t>
  </si>
  <si>
    <t xml:space="preserve">Duke Energy Progress</t>
  </si>
  <si>
    <t xml:space="preserve">NC</t>
  </si>
  <si>
    <t xml:space="preserve">non-ISO (SERC)</t>
  </si>
  <si>
    <t xml:space="preserve">all-in microgrid incl. 2 MW(AC) solar and controls</t>
  </si>
  <si>
    <t xml:space="preserve">greenfield (town of Hot Springs)</t>
  </si>
  <si>
    <t xml:space="preserve">bundles 2 MW solar; MWh not confirmed</t>
  </si>
  <si>
    <t xml:space="preserve">https://www.theassemblync.com/business/hot-springs-microgrid-duke-energy/</t>
  </si>
  <si>
    <t xml:space="preserve">Battery cited as 4 MW/16 MWh in NCUC filings and 4.4 MW in Duke releases; MWh left blank (not confirmed in retrieved excerpts); 2017 announcement put Hot Springs + Asheville combined at ~$30M</t>
  </si>
  <si>
    <t xml:space="preserve">Virginia battery pilot portfolio (Scott Solar 10+2 MW, New Kent 2 MW, Hanover/Ashland 2 MW)</t>
  </si>
  <si>
    <t xml:space="preserve">Dominion Energy Virginia</t>
  </si>
  <si>
    <t xml:space="preserve">VA</t>
  </si>
  <si>
    <t xml:space="preserve">PJM</t>
  </si>
  <si>
    <t xml:space="preserve">estimate (SCC filing, 2019)</t>
  </si>
  <si>
    <t xml:space="preserve">all-in construction</t>
  </si>
  <si>
    <t xml:space="preserve">mixed: solar co-located (Scott Solar) and substation sites</t>
  </si>
  <si>
    <t xml:space="preserve">https://www.tdworld.com/distributed-energy-resources/energy-storage/article/20972946/dominion-energy-announces-battery-storage-pilot-projects</t>
  </si>
  <si>
    <t xml:space="preserve">Scott Solar units are 4-hour (48 MWh); MWh for 2 MW units not confirmed so total left blank; SCC approved Feb 2020; Scott Solar operational 2022</t>
  </si>
  <si>
    <t xml:space="preserve">Glacier BESS</t>
  </si>
  <si>
    <t xml:space="preserve">Puget Sound Energy</t>
  </si>
  <si>
    <t xml:space="preserve">final/actual (PSE $7.4M + $3.8M state grant)</t>
  </si>
  <si>
    <t xml:space="preserve">all-in demonstration</t>
  </si>
  <si>
    <t xml:space="preserve">existing substation (adjacent Glacier substation)</t>
  </si>
  <si>
    <t xml:space="preserve">https://www.pse.com/en/pages/grid-modernization/glacier-demo-project</t>
  </si>
  <si>
    <t xml:space="preserve">WA Dept of Commerce $3.8M Smart Grid grant; PNNL performance reports</t>
  </si>
  <si>
    <t xml:space="preserve">Chugach BESS (Southcentral Power Project site)</t>
  </si>
  <si>
    <t xml:space="preserve">Chugach Electric Association (75%) / Matanuska Electric Association (25%)</t>
  </si>
  <si>
    <t xml:space="preserve">AK</t>
  </si>
  <si>
    <t xml:space="preserve">non-ISO (Railbelt)</t>
  </si>
  <si>
    <t xml:space="preserve">existing generation site (adjacent SPP plant)</t>
  </si>
  <si>
    <t xml:space="preserve">https://www.chugachelectric.com/your-cooperative/news-community/news-releases/2024/10/7/battery-energy-storage-system-officially-commissioned</t>
  </si>
  <si>
    <t xml:space="preserve">24 Tesla Megapacks; ADN reported $63M in 2023, $65M at 2024 commissioning; may qualify for ITC</t>
  </si>
  <si>
    <t xml:space="preserve">Trenton Channel Energy Center BESS</t>
  </si>
  <si>
    <t xml:space="preserve">DTE Electric</t>
  </si>
  <si>
    <t xml:space="preserve">MI</t>
  </si>
  <si>
    <t xml:space="preserve">MISO</t>
  </si>
  <si>
    <t xml:space="preserve">approved estimate (MPSC, 2024)</t>
  </si>
  <si>
    <t xml:space="preserve">all-in incl. new substation and transmission tie</t>
  </si>
  <si>
    <t xml:space="preserve">coal-site (retired Trenton Channel plant)</t>
  </si>
  <si>
    <t xml:space="preserve">https://www.energy-storage.news/us-utility-dte-starts-220mw-880mwh-bess-project-at-michigan-coal-plant-site/</t>
  </si>
  <si>
    <t xml:space="preserve">Powin LFP; ~$140M IRA tax credits offset; planned COD 2026</t>
  </si>
  <si>
    <t xml:space="preserve">Roadrunner Reserve (Phase 1)</t>
  </si>
  <si>
    <t xml:space="preserve">Tucson Electric Power</t>
  </si>
  <si>
    <t xml:space="preserve">AZ</t>
  </si>
  <si>
    <t xml:space="preserve">non-ISO (WECC SW)</t>
  </si>
  <si>
    <t xml:space="preserve">estimate at announcement (2023)</t>
  </si>
  <si>
    <t xml:space="preserve">EPC turnkey (DEPCOM Power)</t>
  </si>
  <si>
    <t xml:space="preserve">greenfield (SE Tucson)</t>
  </si>
  <si>
    <t xml:space="preserve">https://tucson.com/news/local/business/article_95df9266-623a-11ee-8f58-8bdd862facf6.html</t>
  </si>
  <si>
    <t xml:space="preserve">TEP later described the first 200 MW as a '$350 million investment' (tep.com) - unclear whether $350M is updated Phase 1 cost or Phase 2; both reported</t>
  </si>
  <si>
    <t xml:space="preserve">Roadrunner Reserve 2 (Phase 2)</t>
  </si>
  <si>
    <t xml:space="preserve">estimate (utility statement)</t>
  </si>
  <si>
    <t xml:space="preserve">existing site expansion (adjacent Phase 1)</t>
  </si>
  <si>
    <t xml:space="preserve">https://www.tep.com/roadrunner/</t>
  </si>
  <si>
    <t xml:space="preserve">Online June 2026 per TEP; combined 400 MW / 1,600 MWh</t>
  </si>
  <si>
    <t xml:space="preserve">Minnesota utility-owned distribution battery program (200 MW)</t>
  </si>
  <si>
    <t xml:space="preserve">Xcel Energy (Northern States Power-MN)</t>
  </si>
  <si>
    <t xml:space="preserve">MN</t>
  </si>
  <si>
    <t xml:space="preserve">approved program budget (MPUC, 2026)</t>
  </si>
  <si>
    <t xml:space="preserve">rate-base program capital (multiple distribution sites)</t>
  </si>
  <si>
    <t xml:space="preserve">distribution substations (various)</t>
  </si>
  <si>
    <t xml:space="preserve">program budget, MWh not stated</t>
  </si>
  <si>
    <t xml:space="preserve">https://www.utilitydive.com/news/minnesota-approves-xcels-controversial-utility-owned-virtual-power-plant/816673/</t>
  </si>
  <si>
    <t xml:space="preserve">Programmatic, not a single project; PUC approved 200 MW with interim assessment at 50 MW; duration not confirmed in retrieved excerpt</t>
  </si>
  <si>
    <t xml:space="preserve">Harding Street BESS</t>
  </si>
  <si>
    <t xml:space="preserve">Indianapolis Power &amp; Light (AES Indiana)</t>
  </si>
  <si>
    <t xml:space="preserve">IN</t>
  </si>
  <si>
    <t xml:space="preserve">estimate at announcement (2015)</t>
  </si>
  <si>
    <t xml:space="preserve">existing generation site (Harding Street station)</t>
  </si>
  <si>
    <t xml:space="preserve">https://www.utilitydive.com/news/indianapolis-power-light-to-invest-25m-in-storage-facility/399502/</t>
  </si>
  <si>
    <t xml:space="preserve">First MISO grid battery; primary frequency response; placed in rate base</t>
  </si>
  <si>
    <t xml:space="preserve">Kingsbery Community Solar + Storage</t>
  </si>
  <si>
    <t xml:space="preserve">Austin Energy</t>
  </si>
  <si>
    <t xml:space="preserve">TX</t>
  </si>
  <si>
    <t xml:space="preserve">ERCOT</t>
  </si>
  <si>
    <t xml:space="preserve">all-in battery incl. install at community solar site</t>
  </si>
  <si>
    <t xml:space="preserve">existing substation (Kingsbery) with community solar</t>
  </si>
  <si>
    <t xml:space="preserve">https://www.statesman.com/story/news/2016/09/04/austin-energy-poised-to-test-its-first-energy-storage-system/9995279007/</t>
  </si>
  <si>
    <t xml:space="preserve">$1M TCEQ grant; Tesla battery (Younicos integrator)</t>
  </si>
  <si>
    <t xml:space="preserve">Nova Scotia BESS portfolio (Bridgewater, Waverley, White Rock; 3 x 50 MW) [CANADA]</t>
  </si>
  <si>
    <t xml:space="preserve">Nova Scotia Power (Emera) with Wskijnu'k Mtmo'taqnuow Agency</t>
  </si>
  <si>
    <t xml:space="preserve">NS (Canada)</t>
  </si>
  <si>
    <t xml:space="preserve">non-ISO (NS Power)</t>
  </si>
  <si>
    <t xml:space="preserve">approved budget (NSUARB) incl. AFUDC</t>
  </si>
  <si>
    <t xml:space="preserve">rate-base capital incl. AFUDC</t>
  </si>
  <si>
    <t xml:space="preserve">greenfield (3 sites)</t>
  </si>
  <si>
    <t xml:space="preserve">https://www.cbc.ca/news/canada/nova-scotia/nsp-battery-storage-system-approved-1.7235197</t>
  </si>
  <si>
    <t xml:space="preserve">Reported C$354M incl AFUDC; converted at ~0.73 USD/CAD (approximate); C$109M NRCan grant + C$138.2M CIB loan; 4-hour</t>
  </si>
  <si>
    <t xml:space="preserve">Guam ESS (Agana 24 MW/6 MWh + Talofofo 16 MW/16 MWh)</t>
  </si>
  <si>
    <t xml:space="preserve">Guam Power Authority</t>
  </si>
  <si>
    <t xml:space="preserve">GU</t>
  </si>
  <si>
    <t xml:space="preserve">contract price (turnkey, 2017)</t>
  </si>
  <si>
    <t xml:space="preserve">EPC turnkey (LG CNS)</t>
  </si>
  <si>
    <t xml:space="preserve">existing substations</t>
  </si>
  <si>
    <t xml:space="preserve">https://www.utilitydive.com/news/lg-subsidiary-will-install-40-mw-of-batteries-on-guam/444490/</t>
  </si>
  <si>
    <t xml:space="preserve">Two systems under one $43M contract; 12-month delivery from 2017; reported operating by 2021; COD year not confirmed in excerpts</t>
  </si>
  <si>
    <t xml:space="preserve">Fairhaven BESS</t>
  </si>
  <si>
    <t xml:space="preserve">Baltimore Gas &amp; Electric (Exelon)</t>
  </si>
  <si>
    <t xml:space="preserve">MD</t>
  </si>
  <si>
    <t xml:space="preserve">final/actual (reported to MD PSC)</t>
  </si>
  <si>
    <t xml:space="preserve">all-in utility-owned</t>
  </si>
  <si>
    <t xml:space="preserve">existing substation (Fairhaven)</t>
  </si>
  <si>
    <t xml:space="preserve">https://psc.maryland.gov/wp-content/uploads/Energy-Storage-Pilot-Program-Interim-Report.pdf</t>
  </si>
  <si>
    <t xml:space="preserve">Initial estimate $9,841,000; actual $16,161,336; MWh cited as 7.1 (proposal) and 9.74 (interim report); PJM frequency regulation + winter peak</t>
  </si>
  <si>
    <t xml:space="preserve">Regina BESS [CANADA]</t>
  </si>
  <si>
    <t xml:space="preserve">SaskPower</t>
  </si>
  <si>
    <t xml:space="preserve">other (crown utility)</t>
  </si>
  <si>
    <t xml:space="preserve">SK (Canada)</t>
  </si>
  <si>
    <t xml:space="preserve">non-ISO (SaskPower)</t>
  </si>
  <si>
    <t xml:space="preserve">greenfield (Regina)</t>
  </si>
  <si>
    <t xml:space="preserve">https://www.cbc.ca/news/canada/saskatchewan/saskpower-battery-energy-storage-1.7253756</t>
  </si>
  <si>
    <t xml:space="preserve">Reported C$34M (initial estimate C$26M); converted at ~0.74 USD/CAD; federal contribution C$13.1M; MWh not confirmed in retrieved excerpt</t>
  </si>
  <si>
    <t xml:space="preserve">Stafford Hill Solar + Storage (Rutland)</t>
  </si>
  <si>
    <t xml:space="preserve">final/actual (storage component)</t>
  </si>
  <si>
    <t xml:space="preserve">battery + inverters (storage share of $10M project)</t>
  </si>
  <si>
    <t xml:space="preserve">greenfield (capped landfill) with 2.5 MW solar</t>
  </si>
  <si>
    <t xml:space="preserve">https://www.cleanegroup.org/initiatives/technical-assistance-fund/featured-installations/stafford-hill/</t>
  </si>
  <si>
    <t xml:space="preserve">Mixed chemistry: 2 MW/1 MWh Li-ion + 2 MW/2.4 MWh advanced lead-acid; solar portion ~$5.77M</t>
  </si>
  <si>
    <t xml:space="preserve">Westside Canal BESS Phase 2a</t>
  </si>
  <si>
    <t xml:space="preserve">San Diego Gas &amp; Electric (Sempra)</t>
  </si>
  <si>
    <t xml:space="preserve">CA</t>
  </si>
  <si>
    <t xml:space="preserve">CAISO</t>
  </si>
  <si>
    <t xml:space="preserve">approved estimate (CPUC)</t>
  </si>
  <si>
    <t xml:space="preserve">existing site (adjacent Westside Canal Phase 1, Imperial Valley)</t>
  </si>
  <si>
    <t xml:space="preserve">https://www.sempra.com/newsroom/press-releases/sdge-expands-energy-storage-capabilities-enhance-grid-resiliency-and</t>
  </si>
  <si>
    <t xml:space="preserve">COD Dec 2024; duration/MWh not confirmed in retrieved excerpt (SDG&amp;E portfolio is predominantly 4-hour)</t>
  </si>
  <si>
    <t xml:space="preserve">Westside Canal BESS Phase 2b (expansion)</t>
  </si>
  <si>
    <t xml:space="preserve">approved estimate (CPUC, Mar 2025)</t>
  </si>
  <si>
    <t xml:space="preserve">existing site expansion (Imperial Valley)</t>
  </si>
  <si>
    <t xml:space="preserve">Adds 100 MW to existing 131 MW facility; projected fully operational June 2025; MWh not confirmed</t>
  </si>
  <si>
    <t xml:space="preserve">Smarter Network Storage (Leighton Buzzard) [UK]</t>
  </si>
  <si>
    <t xml:space="preserve">UK Power Networks</t>
  </si>
  <si>
    <t xml:space="preserve">IOU (regulated DNO)</t>
  </si>
  <si>
    <t xml:space="preserve">Bedfordshire (UK)</t>
  </si>
  <si>
    <t xml:space="preserve">GB (National Grid ESO)</t>
  </si>
  <si>
    <t xml:space="preserve">final (project budget)</t>
  </si>
  <si>
    <t xml:space="preserve">all-in demonstration incl. trials/R&amp;D (Low Carbon Networks Fund)</t>
  </si>
  <si>
    <t xml:space="preserve">existing primary substation</t>
  </si>
  <si>
    <t xml:space="preserve">R&amp;D demonstration incl. trials</t>
  </si>
  <si>
    <t xml:space="preserve">https://innovation.ukpowernetworks.co.uk/projects/smarter-network-storage-sns</t>
  </si>
  <si>
    <t xml:space="preserve">Reported GBP 18.7M; converted at ~1.55 USD/GBP (2014); Samsung SDI/S&amp;C/Younicos</t>
  </si>
  <si>
    <t xml:space="preserve">Dalrymple ESCRI BESS [AUSTRALIA]</t>
  </si>
  <si>
    <t xml:space="preserve">ElectraNet (transmission network service provider)</t>
  </si>
  <si>
    <t xml:space="preserve">IOU (regulated TNSP)</t>
  </si>
  <si>
    <t xml:space="preserve">SA (Australia)</t>
  </si>
  <si>
    <t xml:space="preserve">NEM</t>
  </si>
  <si>
    <t xml:space="preserve">existing substation (Dalrymple)</t>
  </si>
  <si>
    <t xml:space="preserve">https://arena.gov.au/news/grid-scale-escri-battery-charges-up-in-south-australia/</t>
  </si>
  <si>
    <t xml:space="preserve">Reported A$30M; converted at ~0.74 USD/AUD (2018); A$12M ARENA grant later repaid; operated by AGL under lease</t>
  </si>
  <si>
    <t xml:space="preserve">Oneida Energy Storage [CANADA]</t>
  </si>
  <si>
    <t xml:space="preserve">Northland Power / Six Nations of the Grand River / NRStor / Aecon</t>
  </si>
  <si>
    <t xml:space="preserve">IPP</t>
  </si>
  <si>
    <t xml:space="preserve">ON (Canada)</t>
  </si>
  <si>
    <t xml:space="preserve">IESO</t>
  </si>
  <si>
    <t xml:space="preserve">final/actual (reported ~C$700M vs C$800M budget)</t>
  </si>
  <si>
    <t xml:space="preserve">greenfield (Haldimand County)</t>
  </si>
  <si>
    <t xml:space="preserve">https://www.northlandpower.com/en/news/press-release/northland-power-announces-commercial-operations-at-oneida-energy-storage-project-canadas-largest-bat.aspx</t>
  </si>
  <si>
    <t xml:space="preserve">Converted at ~0.73 USD/CAD; CIB loan; IESO capacity contract; COD May 2025</t>
  </si>
  <si>
    <t xml:space="preserve">SwRI Solar + Storage (5 MW PV + 10 MW BESS)</t>
  </si>
  <si>
    <t xml:space="preserve">CPS Energy</t>
  </si>
  <si>
    <t xml:space="preserve">approved budget (CPS Board)</t>
  </si>
  <si>
    <t xml:space="preserve">all-in incl. 5 MW solar</t>
  </si>
  <si>
    <t xml:space="preserve">greenfield (SwRI land, San Antonio)</t>
  </si>
  <si>
    <t xml:space="preserve">bundles 5 MW solar</t>
  </si>
  <si>
    <t xml:space="preserve">https://www.powermag.com/press-releases/cps-energy-launches-solar-energy-and-battery-storage-project/</t>
  </si>
  <si>
    <t xml:space="preserve">$3M TCEQ NTIG grant; cost includes solar - not separable</t>
  </si>
  <si>
    <t xml:space="preserve">SCE substation BESS portfolio (Springvale 225 MW, Hinson 200 MW, Etiwanda 112.5 MW)</t>
  </si>
  <si>
    <t xml:space="preserve">Southern California Edison</t>
  </si>
  <si>
    <t xml:space="preserve">contract price (EPCM contract, CPUC-authorized Dec 2021)</t>
  </si>
  <si>
    <t xml:space="preserve">EPC + maintenance (Ameresco EPCM)</t>
  </si>
  <si>
    <t xml:space="preserve">4-hour; emergency reliability procurement under 2021 Governor's proclamation; aggregate of three sites</t>
  </si>
  <si>
    <t xml:space="preserve">Whitehorse Grid-Scale BESS [CANADA]</t>
  </si>
  <si>
    <t xml:space="preserve">Yukon Energy</t>
  </si>
  <si>
    <t xml:space="preserve">YT (Canada)</t>
  </si>
  <si>
    <t xml:space="preserve">non-ISO (Yukon isolated grid)</t>
  </si>
  <si>
    <t xml:space="preserve">estimate (2020$, +/-30%, Yukon Utilities Board application)</t>
  </si>
  <si>
    <t xml:space="preserve">greenfield (Whitehorse)</t>
  </si>
  <si>
    <t xml:space="preserve">https://yukonenergy.ca/energy-in-yukon/projects-facilities/battery-storage</t>
  </si>
  <si>
    <t xml:space="preserve">Reported C$31.7M; converted at ~0.745 USD/CAD; C$16.5M federal grant; SunGrid Solutions EPC; COD not confirmed in retrieved excerpts (planned 2023)</t>
  </si>
  <si>
    <t xml:space="preserve">Rock Hill (Asheville) substation BESS</t>
  </si>
  <si>
    <t xml:space="preserve">estimate (upper bound: 'less than $15 million')</t>
  </si>
  <si>
    <t xml:space="preserve">existing substation (Rock Hill, Sweeten Creek Rd)</t>
  </si>
  <si>
    <t xml:space="preserve">https://news.duke-energy.com/releases/north-carolinas-largest-battery-system-now-operating-at-duke-energy-substation</t>
  </si>
  <si>
    <t xml:space="preserve">Cost is an upper bound; MWh not confirmed; 2017 announcement: Hot Springs + Asheville ~$30M combined</t>
  </si>
  <si>
    <t xml:space="preserve">Morro Bay BESS (proposed, not built)</t>
  </si>
  <si>
    <t xml:space="preserve">Vistra</t>
  </si>
  <si>
    <t xml:space="preserve">estimate ($500-600M, developer statement)</t>
  </si>
  <si>
    <t xml:space="preserve">existing retired gas plant site (Morro Bay)</t>
  </si>
  <si>
    <t xml:space="preserve">proposed, no COD, developer statement</t>
  </si>
  <si>
    <t xml:space="preserve">https://esterobaynews.com/featured-stories/vistra-proposes-worlds-biggest-battery-storage-facility/</t>
  </si>
  <si>
    <t xml:space="preserve">Midpoint of $500-600M range; local approval not obtained; project status uncertain/reportedly shelved; cod_year blank</t>
  </si>
  <si>
    <t xml:space="preserve">Kwinana BESS Stage 1 [AUSTRALIA]</t>
  </si>
  <si>
    <t xml:space="preserve">Synergy (WA state-owned utility)</t>
  </si>
  <si>
    <t xml:space="preserve">other (state-owned utility)</t>
  </si>
  <si>
    <t xml:space="preserve">WA (Australia)</t>
  </si>
  <si>
    <t xml:space="preserve">SWIS/WEM</t>
  </si>
  <si>
    <t xml:space="preserve">final (as reported)</t>
  </si>
  <si>
    <t xml:space="preserve">coal-site (decommissioned Kwinana Power Station)</t>
  </si>
  <si>
    <t xml:space="preserve">https://www.pv-magazine-australia.com/2023/05/15/wa-plans-bigger-batteries-as-200-kwinana-system-put-to-test/</t>
  </si>
  <si>
    <t xml:space="preserve">Reported A$155M (USD 103.5M as stated by source); state/federal funded</t>
  </si>
  <si>
    <t xml:space="preserve">WindCharger [CANADA]</t>
  </si>
  <si>
    <t xml:space="preserve">TransAlta Renewables</t>
  </si>
  <si>
    <t xml:space="preserve">AB (Canada)</t>
  </si>
  <si>
    <t xml:space="preserve">AESO</t>
  </si>
  <si>
    <t xml:space="preserve">final/actual (total capital cost)</t>
  </si>
  <si>
    <t xml:space="preserve">existing wind farm site (Summerview II)</t>
  </si>
  <si>
    <t xml:space="preserve">https://renewablesnow.com/news/transalta-renewables-10-mw-wind-powered-battery-reaches-cod-in-alberta-717754/</t>
  </si>
  <si>
    <t xml:space="preserve">Reported C$14.5M (USD 11M as stated by source); ~50% ERA grant; Tesla Megapack</t>
  </si>
  <si>
    <t xml:space="preserve">Weld Energy Storage (for Platte River Power Authority)</t>
  </si>
  <si>
    <t xml:space="preserve">Weld Energy Storage LLC (NextEra Energy Resources)</t>
  </si>
  <si>
    <t xml:space="preserve">CO</t>
  </si>
  <si>
    <t xml:space="preserve">non-ISO (WECC)</t>
  </si>
  <si>
    <t xml:space="preserve">estimate (reported project cost)</t>
  </si>
  <si>
    <t xml:space="preserve">greenfield (Weld County)</t>
  </si>
  <si>
    <t xml:space="preserve">https://coloradobiz.com/platte-river-energy-storage-weld-county-battery-project/</t>
  </si>
  <si>
    <t xml:space="preserve">IPP-owned under long-term storage agreement with Platte River; MW not confirmed in retrieved excerpt; planned COD late 2026</t>
  </si>
  <si>
    <t xml:space="preserve">Glenarm BESS (for Pasadena Water &amp; Power)</t>
  </si>
  <si>
    <t xml:space="preserve">Glenarm BESS LLC (EPC Energy SPE)</t>
  </si>
  <si>
    <t xml:space="preserve">contract price (15-year services contract value)</t>
  </si>
  <si>
    <t xml:space="preserve">contract value - not a construction cost</t>
  </si>
  <si>
    <t xml:space="preserve">existing gas plant site (Glenarm Power Plant)</t>
  </si>
  <si>
    <t xml:space="preserve">15-year contract value, not capex</t>
  </si>
  <si>
    <t xml:space="preserve">https://pasadenanow.com/main/city-committee-unanimously-approves-100-million-long-term-contracts-for-renewable-energy-battery-energy-storage</t>
  </si>
  <si>
    <t xml:space="preserve">$9.6M CEC DEBA grant to PWP; 4-hour; planned COD 2027; treat as contract value not capex</t>
  </si>
  <si>
    <t xml:space="preserve">Reference class (utility-owned, &lt;=100 MWh, not excluded): median $/kWh</t>
  </si>
  <si>
    <t xml:space="preserve">Column T flags the reference class (utility-owned, &lt;= 100 MWh, not excluded); the median and count above are live formulas. The Statistics tab carries the Python run values as of 29 Sep 2026.</t>
  </si>
  <si>
    <t xml:space="preserve">Dollar-year adjustment of the public comparables to 2026 (deck slides 12-13)</t>
  </si>
  <si>
    <t xml:space="preserve">cost_2026 = cost_nominal x [ s x I(2026)/I(y) + (1 - s) x (1 + g)^(2026 - y) ]   s = battery share of the comparable, I = battery index, g = non-battery construction escalation. Blue = inputs.</t>
  </si>
  <si>
    <t xml:space="preserve">Battery share s</t>
  </si>
  <si>
    <t xml:space="preserve">Construction escalation g</t>
  </si>
  <si>
    <t xml:space="preserve">Index selector (1 installed, 2 pack, 3 LCOS)</t>
  </si>
  <si>
    <t xml:space="preserve">A. Battery indices as published ($/kWh; LCOS $/MWh)</t>
  </si>
  <si>
    <t xml:space="preserve">Installed all-in (EIA-860, LBNL)</t>
  </si>
  <si>
    <t xml:space="preserve">BNEF pack (real)</t>
  </si>
  <si>
    <t xml:space="preserve">Lazard LCOS midpoint</t>
  </si>
  <si>
    <t xml:space="preserve">published</t>
  </si>
  <si>
    <t xml:space="preserve">Sources: EIA Today in Energy #45596 (2015-18); LBNL Utility-Scale Solar 2025 (2024); BNEF Lithium-Ion Battery Price Survey 2015-2025; Lazard LCOS v5.0, v6.0, LCOE+ 2024-2026 (unsubsidized 100 MW / 4-h range midpoints). Black values are linear interpolations; LCOS and installed held flat outside their published span.</t>
  </si>
  <si>
    <t xml:space="preserve">B. Reference class (13 utility-owned comparables, &lt;= 100 MWh)</t>
  </si>
  <si>
    <t xml:space="preserve">Nominal $/kWh</t>
  </si>
  <si>
    <t xml:space="preserve">Index at COD</t>
  </si>
  <si>
    <t xml:space="preserve">Index 2026</t>
  </si>
  <si>
    <t xml:space="preserve">Factor</t>
  </si>
  <si>
    <t xml:space="preserve">2026$ $/kWh</t>
  </si>
  <si>
    <t xml:space="preserve">Naive (whole cost deflated)</t>
  </si>
  <si>
    <t xml:space="preserve">Hyde Park installed $833, percentile</t>
  </si>
  <si>
    <t xml:space="preserve">Hyde Park station complete direct $1,483, percentile</t>
  </si>
  <si>
    <t xml:space="preserve">Hyde Park approval $2,862, percentile</t>
  </si>
  <si>
    <t xml:space="preserve">C. New York distribution-scale cohort (not in the regression; nominal dollars of the year shown)</t>
  </si>
  <si>
    <t xml:space="preserve">Cost $</t>
  </si>
  <si>
    <t xml:space="preserve">Hours</t>
  </si>
  <si>
    <t xml:space="preserve">NineDot Arthur Kill Road (two 4.9 MW systems)</t>
  </si>
  <si>
    <t xml:space="preserve">NineDot Energy</t>
  </si>
  <si>
    <t xml:space="preserve">NYCIDA project budget (inducement resolution, Apr 2024)</t>
  </si>
  <si>
    <t xml:space="preserve">https://edc.nyc/sites/default/files/2025-03/GB%20Arthur%20Kill%20Storage%20LLC%20-%20Inducement%20and%20Authorizing%20Resolution%20April%202024.pdf</t>
  </si>
  <si>
    <t xml:space="preserve">Elevate Renewables, 4401 Victory Blvd, Staten Island</t>
  </si>
  <si>
    <t xml:space="preserve">Elevate Renewables (ArcLight)</t>
  </si>
  <si>
    <t xml:space="preserve">NYCIDA total project cost (public hearing notice, Apr 2024)</t>
  </si>
  <si>
    <t xml:space="preserve">https://edc.nyc/sites/default/files/2024-03/IDA-Public-Hearing-Notice-April-18-2024.pdf</t>
  </si>
  <si>
    <t xml:space="preserve">Soltage Brigis 1A, Maspeth, Queens</t>
  </si>
  <si>
    <t xml:space="preserve">Soltage</t>
  </si>
  <si>
    <t xml:space="preserve">NYCIDA total project cost (public hearing notice, Mar 2024); 4-h duration assumed (MWh not stated)</t>
  </si>
  <si>
    <t xml:space="preserve">Medium (cost High; duration assumed)</t>
  </si>
  <si>
    <t xml:space="preserve">https://edc.nyc/sites/default/files/2024-02/IDA-Public-Hearing-Notice-March-7-2024-Public-Hearing.pdf</t>
  </si>
  <si>
    <t xml:space="preserve">NineDot 28-project NYC portfolio (financing proxy)</t>
  </si>
  <si>
    <t xml:space="preserve">Natixis construction/term loan + tax-credit bridge + LC facility, Feb 2026; a floor on total cost, not the cost itself</t>
  </si>
  <si>
    <t xml:space="preserve">Low-Medium (financing, not capex)</t>
  </si>
  <si>
    <t xml:space="preserve">https://www.prnewswire.com/news-releases/natixis-corporate--investment-banking-acts-as-sole-lead-arranger-and-bookrunner-for-ninedot-energy-in-431-million-financing-of-28-battery-energy-storage-systems-portfolio-in-new-york-city-302681842.html</t>
  </si>
  <si>
    <t xml:space="preserve">NYSERDA retail (&lt;= 5 MW) average total installed cost, 2022-23 installs</t>
  </si>
  <si>
    <t xml:space="preserve">NYSERDA program average</t>
  </si>
  <si>
    <t xml:space="preserve">New York's 6 GW Energy Storage Roadmap, NYSERDA/DPS, Dec 2022</t>
  </si>
  <si>
    <t xml:space="preserve">https://www.nyserda.ny.gov/-/media/Project/Nyserda/Files/Programs/Energy-Storage/ny-6-gw-energy-storage-roadmap.pdf</t>
  </si>
  <si>
    <t xml:space="preserve">NYSERDA retail (&lt;= 5 MW) average total installed cost, 2020-21 installs</t>
  </si>
  <si>
    <t xml:space="preserve">Con Edison two-part test (CESIR), NY-BEST / NYSEIA filing 11 Mar 2026, Case 24-E-0621</t>
  </si>
  <si>
    <t xml:space="preserve">average interconnection upgrade cost per project across 34 projects after the test; about $4,400/kW</t>
  </si>
  <si>
    <t xml:space="preserve">https://www.utilitydive.com/news/battery-developers-local-officials-ask-new-york-to-roll-back-con-edison-be/815115/</t>
  </si>
  <si>
    <t xml:space="preserve">New York distribution-connected cohort assembled after a review comment that many more projects have been built in New York (NineDot Energy and others). Values from search-index excerpts of the cited documents; edc.nyc, nyserda.ny.gov, canarymedia.com and mgrid.org were blocked by the research proxy.</t>
  </si>
  <si>
    <t xml:space="preserve">Statistical evaluation results (values from stats_model.py and mc_model.py, 29 Sep 2026)</t>
  </si>
  <si>
    <t xml:space="preserve">Reference class: utility-owned, &lt;=100 MWh</t>
  </si>
  <si>
    <t xml:space="preserve">n</t>
  </si>
  <si>
    <t xml:space="preserve">Median $/kWh</t>
  </si>
  <si>
    <t xml:space="preserve">Q25 $/kWh</t>
  </si>
  <si>
    <t xml:space="preserve">Q75 $/kWh</t>
  </si>
  <si>
    <t xml:space="preserve">Min $/kWh</t>
  </si>
  <si>
    <t xml:space="preserve">Max $/kWh</t>
  </si>
  <si>
    <t xml:space="preserve">Hyde Park percentile in class: Vendor contract $605</t>
  </si>
  <si>
    <t xml:space="preserve">Hyde Park percentile in class: Battery installed $833</t>
  </si>
  <si>
    <t xml:space="preserve">Hyde Park percentile in class: Station complete, direct $1,483</t>
  </si>
  <si>
    <t xml:space="preserve">Hyde Park percentile in class: Approval level $2,862</t>
  </si>
  <si>
    <t xml:space="preserve">Regression: ln($/kWh) ~ ln(MWh) + ln(duration) + year (OLS, HC1 errors)</t>
  </si>
  <si>
    <t xml:space="preserve">R-squared</t>
  </si>
  <si>
    <t xml:space="preserve">Adjusted R-squared</t>
  </si>
  <si>
    <t xml:space="preserve">Residual SD (log)</t>
  </si>
  <si>
    <t xml:space="preserve">Intercept: coefficient</t>
  </si>
  <si>
    <t xml:space="preserve">SE 0.252, p = 0.000</t>
  </si>
  <si>
    <t xml:space="preserve">Size elasticity (ln MWh): coefficient</t>
  </si>
  <si>
    <t xml:space="preserve">SE 0.069, p = 0.012</t>
  </si>
  <si>
    <t xml:space="preserve">Duration elasticity (ln hours): coefficient</t>
  </si>
  <si>
    <t xml:space="preserve">SE 0.122, p = 0.016</t>
  </si>
  <si>
    <t xml:space="preserve">Year (per year after 2020): coefficient</t>
  </si>
  <si>
    <t xml:space="preserve">SE 0.036, p = 0.678</t>
  </si>
  <si>
    <t xml:space="preserve">Prediction for 20 MWh, 2-h, 2028: P50 $/kWh</t>
  </si>
  <si>
    <t xml:space="preserve">80% prediction interval, low</t>
  </si>
  <si>
    <t xml:space="preserve">80% prediction interval, high</t>
  </si>
  <si>
    <t xml:space="preserve">Hyde Park percentile of predictive distribution: Vendor contract</t>
  </si>
  <si>
    <t xml:space="preserve">Hyde Park percentile of predictive distribution: Battery installed</t>
  </si>
  <si>
    <t xml:space="preserve">Hyde Park percentile of predictive distribution: Station complete, direct</t>
  </si>
  <si>
    <t xml:space="preserve">Hyde Park percentile of predictive distribution: Approval level</t>
  </si>
  <si>
    <t xml:space="preserve">Monte Carlo on cost layers (20,000 trials; risk register and contingency not added on top)</t>
  </si>
  <si>
    <t xml:space="preserve">Base ranges: P10 total ($)</t>
  </si>
  <si>
    <t xml:space="preserve">Base ranges: P50 total ($)</t>
  </si>
  <si>
    <t xml:space="preserve">Base ranges: P80 total ($)</t>
  </si>
  <si>
    <t xml:space="preserve">Base ranges: P90 total ($)</t>
  </si>
  <si>
    <t xml:space="preserve">Base ranges: reserve to reach P80 above deterministic base ($)</t>
  </si>
  <si>
    <t xml:space="preserve">carried risk + contingency = $7,583,517</t>
  </si>
  <si>
    <t xml:space="preserve">Base ranges: probability total exceeds $57.2M approval level</t>
  </si>
  <si>
    <t xml:space="preserve">Base ranges: battery contract share, P50</t>
  </si>
  <si>
    <t xml:space="preserve">Wide (Class 5-like) ranges: P10 total ($)</t>
  </si>
  <si>
    <t xml:space="preserve">Wide (Class 5-like) ranges: P50 total ($)</t>
  </si>
  <si>
    <t xml:space="preserve">Wide (Class 5-like) ranges: P80 total ($)</t>
  </si>
  <si>
    <t xml:space="preserve">Wide (Class 5-like) ranges: P90 total ($)</t>
  </si>
  <si>
    <t xml:space="preserve">Wide (Class 5-like) ranges: reserve to reach P80 above deterministic base ($)</t>
  </si>
  <si>
    <t xml:space="preserve">Wide (Class 5-like) ranges: probability total exceeds $57.2M approval level</t>
  </si>
  <si>
    <t xml:space="preserve">Wide (Class 5-like) ranges: battery contract share, P50</t>
  </si>
  <si>
    <t xml:space="preserve">Layer standard deviation, $ (base / wide)</t>
  </si>
  <si>
    <t xml:space="preserve">Layer A</t>
  </si>
  <si>
    <t xml:space="preserve">wide: 239,415</t>
  </si>
  <si>
    <t xml:space="preserve">Layer B</t>
  </si>
  <si>
    <t xml:space="preserve">wide: 465,344</t>
  </si>
  <si>
    <t xml:space="preserve">Layer C</t>
  </si>
  <si>
    <t xml:space="preserve">wide: 238,386</t>
  </si>
  <si>
    <t xml:space="preserve">Layer D</t>
  </si>
  <si>
    <t xml:space="preserve">wide: 617,589</t>
  </si>
  <si>
    <t xml:space="preserve">Layer E</t>
  </si>
  <si>
    <t xml:space="preserve">wide: 1,311,665</t>
  </si>
  <si>
    <t xml:space="preserve">Layer F</t>
  </si>
  <si>
    <t xml:space="preserve">wide: 1,076,023</t>
  </si>
  <si>
    <t xml:space="preserve">Layer G</t>
  </si>
  <si>
    <t xml:space="preserve">wide: 217,468</t>
  </si>
  <si>
    <t xml:space="preserve">Layer H</t>
  </si>
  <si>
    <t xml:space="preserve">wide: 742,591</t>
  </si>
  <si>
    <t xml:space="preserve">Layer I</t>
  </si>
  <si>
    <t xml:space="preserve">wide: 58,740</t>
  </si>
  <si>
    <t xml:space="preserve">Estimate</t>
  </si>
  <si>
    <t xml:space="preserve">CBS1</t>
  </si>
  <si>
    <t xml:space="preserve">CBS4</t>
  </si>
  <si>
    <t xml:space="preserve">Seq</t>
  </si>
  <si>
    <t xml:space="preserve">Description</t>
  </si>
  <si>
    <t xml:space="preserve">Qty</t>
  </si>
  <si>
    <t xml:space="preserve">Unit</t>
  </si>
  <si>
    <t xml:space="preserve">Direct Cost ($)</t>
  </si>
  <si>
    <t xml:space="preserve">Manhours</t>
  </si>
  <si>
    <t xml:space="preserve">Layer code</t>
  </si>
  <si>
    <t xml:space="preserve">Hyde Park BESS - Sta. 496 - Rev 2</t>
  </si>
  <si>
    <t xml:space="preserve">03</t>
  </si>
  <si>
    <t xml:space="preserve">03.01.00.00</t>
  </si>
  <si>
    <t xml:space="preserve">SCS, Internal, Traditional</t>
  </si>
  <si>
    <t xml:space="preserve">ls</t>
  </si>
  <si>
    <t xml:space="preserve">03.02.00.00</t>
  </si>
  <si>
    <t xml:space="preserve">SCS, External, Traditional</t>
  </si>
  <si>
    <t xml:space="preserve">04</t>
  </si>
  <si>
    <t xml:space="preserve">04.01.00.00</t>
  </si>
  <si>
    <t xml:space="preserve">Siting, Internal, Application</t>
  </si>
  <si>
    <t xml:space="preserve">04.02.00.00</t>
  </si>
  <si>
    <t xml:space="preserve">Siting, External, Application</t>
  </si>
  <si>
    <t xml:space="preserve">05</t>
  </si>
  <si>
    <t xml:space="preserve">05.02.01.00</t>
  </si>
  <si>
    <t xml:space="preserve">Engr. Station - Eversource</t>
  </si>
  <si>
    <t xml:space="preserve">mh</t>
  </si>
  <si>
    <t xml:space="preserve">05.02.02.00</t>
  </si>
  <si>
    <t xml:space="preserve">Engr. Station - Contractor</t>
  </si>
  <si>
    <t xml:space="preserve">05.04.01.00</t>
  </si>
  <si>
    <t xml:space="preserve">Engr. P&amp;C - Eversource</t>
  </si>
  <si>
    <t xml:space="preserve">05.04.02.00</t>
  </si>
  <si>
    <t xml:space="preserve">Engr. P&amp;C - Contractor</t>
  </si>
  <si>
    <t xml:space="preserve">05.07.01.00</t>
  </si>
  <si>
    <t xml:space="preserve">Engr. SS Drafting/Project Services - Eversource</t>
  </si>
  <si>
    <t xml:space="preserve">06</t>
  </si>
  <si>
    <t xml:space="preserve">06.04.02.00</t>
  </si>
  <si>
    <t xml:space="preserve">Miscellaneous Cabinet/ Devices Panel Plate Repacments, (Furnish)</t>
  </si>
  <si>
    <t xml:space="preserve">ea</t>
  </si>
  <si>
    <t xml:space="preserve">Relays AAB FT-1 9R Test Device, (Furnish)</t>
  </si>
  <si>
    <t xml:space="preserve">Relays SEL-351S (Transformer and Feeder Protection), (Furnish)</t>
  </si>
  <si>
    <t xml:space="preserve">Relays SEL-735 (Transformer Protection), (Furnish)</t>
  </si>
  <si>
    <t xml:space="preserve">Relays SEL-751 (Transformer and Feeder Protection), (Furnish)</t>
  </si>
  <si>
    <t xml:space="preserve">06.04.03.00</t>
  </si>
  <si>
    <t xml:space="preserve">Insulated Control Cable Cable, Control, #12 SIS Switchbourd cable , (Furnish)</t>
  </si>
  <si>
    <t xml:space="preserve">lf</t>
  </si>
  <si>
    <t xml:space="preserve">Insulated Control Cable Cable, Control, #14 SIS Switchbourd cable , (Furnish)</t>
  </si>
  <si>
    <t xml:space="preserve">Insulated Control Cable Cable, Control, Lug, Termination #12-10 AWG , (Furnish)</t>
  </si>
  <si>
    <t xml:space="preserve">Insulated Control Cable Cable, Control, Lug, Termination #18-14 AWG, (Furnish)</t>
  </si>
  <si>
    <t xml:space="preserve">Insulated Control Cable Cable, Control, User Defined, (Furnish)</t>
  </si>
  <si>
    <t xml:space="preserve">Length per Estimator</t>
  </si>
  <si>
    <t xml:space="preserve">07</t>
  </si>
  <si>
    <t xml:space="preserve">07.01.02.01</t>
  </si>
  <si>
    <t xml:space="preserve">Switching &amp; Tagging (Internal labor)</t>
  </si>
  <si>
    <t xml:space="preserve">20 ops x 8 hrs/ops x 2 switchers</t>
  </si>
  <si>
    <t xml:space="preserve">07.01.04.00</t>
  </si>
  <si>
    <t xml:space="preserve">Demobilization</t>
  </si>
  <si>
    <t xml:space="preserve">Mobilization</t>
  </si>
  <si>
    <t xml:space="preserve">07.03.02.12</t>
  </si>
  <si>
    <t xml:space="preserve">Insulated Control Cable Cable, Control, #12 SIS Switchbourd cable , (Install)</t>
  </si>
  <si>
    <t xml:space="preserve">Insulated Control Cable Cable, Control, #14 SIS Switchbourd cable , (Install)</t>
  </si>
  <si>
    <t xml:space="preserve">Insulated Control Cable Cable, Control, Lug, Termination #12-10 AWG , (Install)</t>
  </si>
  <si>
    <t xml:space="preserve">Insulated Control Cable Cable, Control, Lug, Termination #18-14 AWG, (Install)</t>
  </si>
  <si>
    <t xml:space="preserve">Insulated Control Cable Cable, Control, User Defined, (Install)</t>
  </si>
  <si>
    <t xml:space="preserve">07.03.03.02</t>
  </si>
  <si>
    <t xml:space="preserve">Miscellaneous Cabinet/ Devices Panel Plate Repacments, (Install)</t>
  </si>
  <si>
    <t xml:space="preserve">Relays AAB FT-1 9R Test Device, (Install)</t>
  </si>
  <si>
    <t xml:space="preserve">Relays SEL-351S (Transformer and Feeder Protection), (Install)</t>
  </si>
  <si>
    <t xml:space="preserve">Relays SEL-735 (Transformer Protection), (Install)</t>
  </si>
  <si>
    <t xml:space="preserve">Relays SEL-751 (Transformer and Feeder Protection), (Install)</t>
  </si>
  <si>
    <t xml:space="preserve">08</t>
  </si>
  <si>
    <t xml:space="preserve">08.01.02.00</t>
  </si>
  <si>
    <t xml:space="preserve">Lead Commissioning Engr. (LCE), Contractor</t>
  </si>
  <si>
    <t xml:space="preserve">50% mhrs of Field Test Engr.</t>
  </si>
  <si>
    <t xml:space="preserve">08.02.02.00</t>
  </si>
  <si>
    <t xml:space="preserve">Field Test Engr., Contractor</t>
  </si>
  <si>
    <t xml:space="preserve">SEL-751 8 reloays x 300 mhrs per RRA = 2,400 mhrs
SEL-735 4 reloays x 300 mhrs per RRA = 1,200 mhrs
SEL-351S 8 reloays x 420 mhrs per RRA = 3,360 mhrs
Total = 6,920 mhrs x 75% efficiency = 5,200 mhrs</t>
  </si>
  <si>
    <t xml:space="preserve">09</t>
  </si>
  <si>
    <t xml:space="preserve">09.01.02.00</t>
  </si>
  <si>
    <t xml:space="preserve">Project Manager, Contractor</t>
  </si>
  <si>
    <t xml:space="preserve">4 mns x 4.3 wks/mn x 8 mhrs/wk
</t>
  </si>
  <si>
    <t xml:space="preserve">09.03.01.00</t>
  </si>
  <si>
    <t xml:space="preserve">Purchasing, Eversource</t>
  </si>
  <si>
    <t xml:space="preserve">09.04.01.00</t>
  </si>
  <si>
    <t xml:space="preserve">System Planning, Eversource</t>
  </si>
  <si>
    <t xml:space="preserve">09.08.01.00</t>
  </si>
  <si>
    <t xml:space="preserve">Estimating, Eversource</t>
  </si>
  <si>
    <t xml:space="preserve">09.09.01.00</t>
  </si>
  <si>
    <t xml:space="preserve">Project Controls, Project Performance, Eversource</t>
  </si>
  <si>
    <t xml:space="preserve">Project Controls, Scheduling, Eversource</t>
  </si>
  <si>
    <t xml:space="preserve">09.10.01.00</t>
  </si>
  <si>
    <t xml:space="preserve">Asset Management, Eversource</t>
  </si>
  <si>
    <t xml:space="preserve">09.11.01.00</t>
  </si>
  <si>
    <t xml:space="preserve">Construction Manager (CR), Eversource</t>
  </si>
  <si>
    <t xml:space="preserve">2mns x 4.3wks/mn x 40 mhrs/wk</t>
  </si>
  <si>
    <t xml:space="preserve">10</t>
  </si>
  <si>
    <t xml:space="preserve">10.01.00.00</t>
  </si>
  <si>
    <t xml:space="preserve">Removals - Station - ABB-REF610 Relays (Labor)</t>
  </si>
  <si>
    <t xml:space="preserve">10% of install (320 mhrs)</t>
  </si>
  <si>
    <t xml:space="preserve">Removals - Station - SEL-551 Relays (Labor)</t>
  </si>
  <si>
    <t xml:space="preserve">Removals - Station - Test Switches (Labor)</t>
  </si>
  <si>
    <t xml:space="preserve">50% of install (2.5 mhrs)</t>
  </si>
  <si>
    <t xml:space="preserve">Removals - Station - Wiring (Labor)</t>
  </si>
  <si>
    <t xml:space="preserve">2 elec x 1 wk x 40 mhrs/wk</t>
  </si>
  <si>
    <t xml:space="preserve">11</t>
  </si>
  <si>
    <t xml:space="preserve">11.00.00.03</t>
  </si>
  <si>
    <t xml:space="preserve">CWIPDistribution</t>
  </si>
  <si>
    <t xml:space="preserve">12</t>
  </si>
  <si>
    <t xml:space="preserve">12.07.00.00</t>
  </si>
  <si>
    <t xml:space="preserve">Risk - Construction - Design / Scope changes</t>
  </si>
  <si>
    <t xml:space="preserve">Change orders, increase labor and materials costs.
</t>
  </si>
  <si>
    <t xml:space="preserve">Risk - Construction - Labor costs impact</t>
  </si>
  <si>
    <t xml:space="preserve">Salaries increase yearly or a labor shortage of qualified personnel.  Possible overtime.
</t>
  </si>
  <si>
    <t xml:space="preserve">Risk - Construction - Mat'l costs impact</t>
  </si>
  <si>
    <t xml:space="preserve">Material costs increase especially precious metals and possible tariffs.</t>
  </si>
  <si>
    <t xml:space="preserve">Risk - Construction - Weather delays imact</t>
  </si>
  <si>
    <t xml:space="preserve">Delay in schedule due to adverse weather.
</t>
  </si>
  <si>
    <t xml:space="preserve">13</t>
  </si>
  <si>
    <t xml:space="preserve">13.01.00.00</t>
  </si>
  <si>
    <t xml:space="preserve">Indirect - Non-Productive Basis</t>
  </si>
  <si>
    <t xml:space="preserve">13.02.00.00</t>
  </si>
  <si>
    <t xml:space="preserve">Indirect - Payroll Benefit Basis</t>
  </si>
  <si>
    <t xml:space="preserve">13.03.00.00</t>
  </si>
  <si>
    <t xml:space="preserve">Indirect - Gen Svc Co OH Basis</t>
  </si>
  <si>
    <t xml:space="preserve">13.05.00.00</t>
  </si>
  <si>
    <t xml:space="preserve">Indirect - E&amp;S Station Basis</t>
  </si>
  <si>
    <t xml:space="preserve">13.06.00.00</t>
  </si>
  <si>
    <t xml:space="preserve">Indirect - AS &amp; E Basis</t>
  </si>
  <si>
    <t xml:space="preserve">13.08.00.00</t>
  </si>
  <si>
    <t xml:space="preserve">Indirect - Lobby Stock Basis</t>
  </si>
  <si>
    <t xml:space="preserve">13.09.00.00</t>
  </si>
  <si>
    <t xml:space="preserve">Indirect - MDEC Basis</t>
  </si>
  <si>
    <t xml:space="preserve">13.10.00.00</t>
  </si>
  <si>
    <t xml:space="preserve">Indirect - Vehicles OH Basis</t>
  </si>
  <si>
    <t xml:space="preserve">14</t>
  </si>
  <si>
    <t xml:space="preserve">14.01.00.00</t>
  </si>
  <si>
    <t xml:space="preserve">AFUDC</t>
  </si>
  <si>
    <t xml:space="preserve">15</t>
  </si>
  <si>
    <t xml:space="preserve">15.15.00.00</t>
  </si>
  <si>
    <t xml:space="preserve">Contingency - General</t>
  </si>
  <si>
    <t xml:space="preserve">Hyde Park BESS - Sta. 360 - Rev 3</t>
  </si>
  <si>
    <t xml:space="preserve">01</t>
  </si>
  <si>
    <t xml:space="preserve">01.04.00.00</t>
  </si>
  <si>
    <t xml:space="preserve">Contractor ROW, Easment Costs</t>
  </si>
  <si>
    <t xml:space="preserve">Actual Costs to 9/23/26</t>
  </si>
  <si>
    <t xml:space="preserve">Land Costs</t>
  </si>
  <si>
    <t xml:space="preserve">02</t>
  </si>
  <si>
    <t xml:space="preserve">02.01.00.00</t>
  </si>
  <si>
    <t xml:space="preserve">Enviromental, Eversource</t>
  </si>
  <si>
    <t xml:space="preserve">Mhrs from E-23-373 estimate</t>
  </si>
  <si>
    <t xml:space="preserve">02.02.00.00</t>
  </si>
  <si>
    <t xml:space="preserve">City/Municipal Permits (Zoning, Building, etc.)</t>
  </si>
  <si>
    <t xml:space="preserve">Zoning relief and permits.  City of Boston Article 80 &amp; zoning variance.</t>
  </si>
  <si>
    <t xml:space="preserve">DEP Listed Site - Wast Management</t>
  </si>
  <si>
    <t xml:space="preserve">Permit needed for authorization to construct on closed landfill facility.</t>
  </si>
  <si>
    <t xml:space="preserve">eNOI, EPA 2022, Submittal</t>
  </si>
  <si>
    <t xml:space="preserve">Disturb greater than 1 acre of land.</t>
  </si>
  <si>
    <t xml:space="preserve">Environmental, Contractor</t>
  </si>
  <si>
    <t xml:space="preserve">Mass DEP</t>
  </si>
  <si>
    <t xml:space="preserve">Tier II reporting for batteries.</t>
  </si>
  <si>
    <t xml:space="preserve">Soil Sampling/Disposal</t>
  </si>
  <si>
    <t xml:space="preserve">Samples plus soil management plan needed.</t>
  </si>
  <si>
    <t xml:space="preserve">Storm Water Pollution Prevention Plan (SWPPP)</t>
  </si>
  <si>
    <t xml:space="preserve">Develop plan and inspections are required.</t>
  </si>
  <si>
    <t xml:space="preserve">02.03.01.00</t>
  </si>
  <si>
    <t xml:space="preserve">Legal, Environmental, Eversource</t>
  </si>
  <si>
    <t xml:space="preserve">02.05.00.00</t>
  </si>
  <si>
    <t xml:space="preserve">Fees - Environmental Permits - Contractor</t>
  </si>
  <si>
    <t xml:space="preserve">Project Services (Outreach), Eversource (Actuals input)</t>
  </si>
  <si>
    <t xml:space="preserve">Project Services (Outreach), Eversource (Manual input)</t>
  </si>
  <si>
    <t xml:space="preserve">Project Services (Outreach), Contractor (Actuals input)</t>
  </si>
  <si>
    <t xml:space="preserve">Project Services (Outreach), Contractor (Manual input)</t>
  </si>
  <si>
    <t xml:space="preserve">Siting, Eversource (Actuals input)</t>
  </si>
  <si>
    <t xml:space="preserve">Siting, Eversource (Manual input)</t>
  </si>
  <si>
    <t xml:space="preserve">Neighborhood is concerned about losing land and visual concerns near shopping plaza.  Screening/buffering likely for abutting residential neighborhood.
Increase traffic concerns.</t>
  </si>
  <si>
    <t xml:space="preserve">Siting, Contractor (Actuals input)</t>
  </si>
  <si>
    <t xml:space="preserve">05.01.01.00</t>
  </si>
  <si>
    <t xml:space="preserve">Engr. Civil - Eversource - station</t>
  </si>
  <si>
    <t xml:space="preserve">Costs per email dated 9/18/26, Eng. Costs total $501,000</t>
  </si>
  <si>
    <t xml:space="preserve">05.01.02.00</t>
  </si>
  <si>
    <t xml:space="preserve">Engr. Civil - Contractor - station</t>
  </si>
  <si>
    <t xml:space="preserve">05.03.01.00</t>
  </si>
  <si>
    <t xml:space="preserve">Engr. Lines D AG - Eversource</t>
  </si>
  <si>
    <t xml:space="preserve">05.05.01.00</t>
  </si>
  <si>
    <t xml:space="preserve">Engr. SCADA - Eversource</t>
  </si>
  <si>
    <t xml:space="preserve">05.05.02.00</t>
  </si>
  <si>
    <t xml:space="preserve">Engr. SCADA - Contractor</t>
  </si>
  <si>
    <t xml:space="preserve">Mhrs from E-23-373 estimate
SCADA Settings and layout</t>
  </si>
  <si>
    <t xml:space="preserve">05.06.01.00</t>
  </si>
  <si>
    <t xml:space="preserve">Engr. Telecom - Eversource</t>
  </si>
  <si>
    <t xml:space="preserve">05.06.02.00</t>
  </si>
  <si>
    <t xml:space="preserve">Engr. Telecom - Contractor</t>
  </si>
  <si>
    <t xml:space="preserve">06.02.01.00</t>
  </si>
  <si>
    <t xml:space="preserve">38kV Circuit Breakers SIEMENS SD7-1200 Amps, 15kV, (Furnish)</t>
  </si>
  <si>
    <t xml:space="preserve">Per project team - breaker cost includes, relays, cabinets, DC battery, PTs, hook type switches and skid.
Cost per breaker is $300K per project team.</t>
  </si>
  <si>
    <t xml:space="preserve">06.02.05.00</t>
  </si>
  <si>
    <t xml:space="preserve">Station Service Transformers, Three-Phase, 1,500 kVA, 13.8kV-480V, Pad Mount, (Furnish)</t>
  </si>
  <si>
    <t xml:space="preserve">Maximo #534534, change quantity to one per email dated 9/16/26</t>
  </si>
  <si>
    <t xml:space="preserve">Transformer, 13.8kV - 480V, Generator Step-Up (GSU), 3 MVA, Pad Mount, (Furnish)</t>
  </si>
  <si>
    <t xml:space="preserve">Cost $882,302 Bidder lists dated 7/28/23.
Add 3% per year inflation = $964,116/4 es = $241,029
</t>
  </si>
  <si>
    <t xml:space="preserve">06.02.08.00</t>
  </si>
  <si>
    <t xml:space="preserve">Power Cable 3 Phase 15kV EPR Triplex (Furnish)</t>
  </si>
  <si>
    <t xml:space="preserve">Per Estimator - 500LF for each of the SSVT</t>
  </si>
  <si>
    <t xml:space="preserve">Power Cable 3 Phase 15kV EPR Triplex (Furnish) - 250 MCM</t>
  </si>
  <si>
    <t xml:space="preserve">Riser Structure to GSU</t>
  </si>
  <si>
    <t xml:space="preserve">Power Cable, 15 kV Elbow Connectors (Furnish)</t>
  </si>
  <si>
    <t xml:space="preserve">for pad mount SSVT (3) plus (4 metering transclosure x 6 ea.) = 27
</t>
  </si>
  <si>
    <t xml:space="preserve">Power Cable, 250 MCM, 15kV, Terminations (Furnish)</t>
  </si>
  <si>
    <t xml:space="preserve">12 runs x 6 terminations/run 
cost on line</t>
  </si>
  <si>
    <t xml:space="preserve">Power Cable, 600V, 4/O Cable, 1-Conductor, Insulated, (Furnish) - CU</t>
  </si>
  <si>
    <t xml:space="preserve">GSU to BESS cost on line</t>
  </si>
  <si>
    <t xml:space="preserve">Power Cable, 600V, 4/O Cable, Insulated, (Furnish) Length per Estimator 4 cond. AL</t>
  </si>
  <si>
    <t xml:space="preserve">SSVT -1500 kVA Pad Trans and one Dry Type - cost on line Wake Forest Aluminum</t>
  </si>
  <si>
    <t xml:space="preserve">06.02.09.00</t>
  </si>
  <si>
    <t xml:space="preserve">Switch, Disconnect, 14.4kV, 3 pole/single throw, 1200 amp (includes Insulators and Manual Operating Mechanism), (Furnish)</t>
  </si>
  <si>
    <t xml:space="preserve">Located on breaker skid</t>
  </si>
  <si>
    <t xml:space="preserve">06.02.99.00</t>
  </si>
  <si>
    <t xml:space="preserve">AC/ DC Distribution Panels, Aux. Power Systems,  (Furnish)</t>
  </si>
  <si>
    <t xml:space="preserve">Cost $56,030, Bidder lists dated 7/28/23.
Add 3% per year inflation = $61,225
</t>
  </si>
  <si>
    <t xml:space="preserve">Automatic Transfer Switch, 400 amps, 3 Phase, (Furnish)</t>
  </si>
  <si>
    <t xml:space="preserve">Fuse Cutouts, 15 KV, 1 Phase, (Furnish)</t>
  </si>
  <si>
    <t xml:space="preserve">Cost on line - Per estimator for three SSVTs (9) and PTs (24)
Total 33.</t>
  </si>
  <si>
    <t xml:space="preserve">Insulators - 15kV, Dead-End Insulators, (Furnish)</t>
  </si>
  <si>
    <t xml:space="preserve">OH cable from breaker to wood pole</t>
  </si>
  <si>
    <t xml:space="preserve">Misc. Eqt &amp; Construction, Material (Furnish)</t>
  </si>
  <si>
    <t xml:space="preserve">Wood Poles Distribution  Wood Poles - 45ft, (Furnish)</t>
  </si>
  <si>
    <t xml:space="preserve">06.03.02.00</t>
  </si>
  <si>
    <t xml:space="preserve">Cable Single Phase/Bare Cable 556 mcm ACSR, (26/7) Dove, (Furnish)</t>
  </si>
  <si>
    <t xml:space="preserve">25' x 6 conductors x 2 - OH cable from breaker to wood pole on each side of the breaker</t>
  </si>
  <si>
    <t xml:space="preserve">Outdoor Metering Transclosure, , (Furnish)</t>
  </si>
  <si>
    <t xml:space="preserve">06.06.00.00</t>
  </si>
  <si>
    <t xml:space="preserve">Communications, User Defined, (Furnish)</t>
  </si>
  <si>
    <t xml:space="preserve">Cost $217,733, Bidder lists dated 7/28/23.
Add 3% per year inflation = $237,922
</t>
  </si>
  <si>
    <t xml:space="preserve">06.08.00.00</t>
  </si>
  <si>
    <t xml:space="preserve">4" Galvanized Rigid Conduit (Furnish)</t>
  </si>
  <si>
    <t xml:space="preserve">40LF x 12 runs - GSU to Batteries</t>
  </si>
  <si>
    <t xml:space="preserve">4" GRC 90 Degree Elbow - 36" Sweep (Furnish)</t>
  </si>
  <si>
    <t xml:space="preserve">12 runs x 2 sweeps - GSU to Batteries.</t>
  </si>
  <si>
    <t xml:space="preserve">Batteries, Nomad Batteries Voyager Eagle LFP BESS System , (Furnish)</t>
  </si>
  <si>
    <t xml:space="preserve">See cover agreement dated 12/6/25 =.$11,860,850 minus actual cost and downpayment $1,213,042.82
total = $10,647,808</t>
  </si>
  <si>
    <t xml:space="preserve">06.08.01.00</t>
  </si>
  <si>
    <t xml:space="preserve">Grounding Systems, Cable, UG, 4/0 copper, bare, (Furnish)</t>
  </si>
  <si>
    <t xml:space="preserve">200'x200'
Cost $123,768 Bidder lists dated 7/28/23.
Add 3% per year inflation = $135,244 all ground grid material
</t>
  </si>
  <si>
    <t xml:space="preserve">Grounding Systems, Grounding, Conn, Compression, Ground 2-4/0, (Furnish)</t>
  </si>
  <si>
    <t xml:space="preserve">Grounding Systems, Grounding, Connector, Compression, Ground, C-Tap. , (Furnish)</t>
  </si>
  <si>
    <t xml:space="preserve">Grounding Systems, Grounding, Connector, Compression, Ground, L-Tap. 4/0 cable to 5/8" Rod, (Furnish)</t>
  </si>
  <si>
    <t xml:space="preserve">Grounding Systems, Grounding, Ground Rods "5/8 X 8 FT, (Furnish)</t>
  </si>
  <si>
    <t xml:space="preserve">20' spacing</t>
  </si>
  <si>
    <t xml:space="preserve">Grounding Systems, Transformers and Grid, (Furnish)</t>
  </si>
  <si>
    <t xml:space="preserve">Cost $123,768 Bidder lists dated 7/28/23.
Add 3% per year inflation = $135,244
Minus material only $30,244 of 200'x200' grid
total $105,800
</t>
  </si>
  <si>
    <t xml:space="preserve">07.01.01.00</t>
  </si>
  <si>
    <t xml:space="preserve">Fire Suppression (Install)</t>
  </si>
  <si>
    <t xml:space="preserve">Fire Suppresssion (Furnish)</t>
  </si>
  <si>
    <t xml:space="preserve">Cost $68,640 Bidder lists dated 7/28/23.
Add 3% per year inflation = $75,004.78
</t>
  </si>
  <si>
    <t xml:space="preserve">Roads, Paving - Gravel Driveway - 20 ft. wide, (Furnish)</t>
  </si>
  <si>
    <t xml:space="preserve">20'Wx760'</t>
  </si>
  <si>
    <t xml:space="preserve">Roads, Paving - Gravel Driveway - 20 ft. wide, (Install)</t>
  </si>
  <si>
    <t xml:space="preserve">Soil Borings, (Furnish) - Access Rd,.</t>
  </si>
  <si>
    <t xml:space="preserve">Per Constructability Review Form</t>
  </si>
  <si>
    <t xml:space="preserve">Soil Borings, (Install)</t>
  </si>
  <si>
    <t xml:space="preserve">2 ops x 8 hrs/ops x 2 switchers
Interconnection to grid switch time</t>
  </si>
  <si>
    <t xml:space="preserve">07.02.02.02</t>
  </si>
  <si>
    <t xml:space="preserve">Soil Borings, (Install) - SS</t>
  </si>
  <si>
    <t xml:space="preserve">07.02.03.01</t>
  </si>
  <si>
    <t xml:space="preserve">Wood Poles Distribution  Wood Poles - 45ft, (Install)</t>
  </si>
  <si>
    <t xml:space="preserve">07.02.03.02</t>
  </si>
  <si>
    <t xml:space="preserve">Power Cable 3 Phase 15kV EPR Triplex (Install)</t>
  </si>
  <si>
    <t xml:space="preserve">Power Cable 3 Phase 15kV EPR Triplex (Install) - 250 MCM</t>
  </si>
  <si>
    <t xml:space="preserve">07.02.05.02</t>
  </si>
  <si>
    <t xml:space="preserve">Soil Borings, (Furnish) - SS</t>
  </si>
  <si>
    <t xml:space="preserve">07.03.01.01</t>
  </si>
  <si>
    <t xml:space="preserve">Backfill -  Imported fill, (Install)</t>
  </si>
  <si>
    <t xml:space="preserve">cy</t>
  </si>
  <si>
    <t xml:space="preserve">Backfill - Imported fill, (Furnish)</t>
  </si>
  <si>
    <t xml:space="preserve">Sitework, Clear &amp; Grub site, (Install)</t>
  </si>
  <si>
    <t xml:space="preserve">ac</t>
  </si>
  <si>
    <t xml:space="preserve">Access Road</t>
  </si>
  <si>
    <t xml:space="preserve">Soil Disposal - Reusable, (Furnish)</t>
  </si>
  <si>
    <t xml:space="preserve">Cut 2,520 CY of Material</t>
  </si>
  <si>
    <t xml:space="preserve">Soil Disposal - Reusable, (Install)</t>
  </si>
  <si>
    <t xml:space="preserve">Surfacing, Trap Rock 3/4" - Spread to a depth of 6 Inches (Furnish) - SS Gravel</t>
  </si>
  <si>
    <t xml:space="preserve">sy</t>
  </si>
  <si>
    <t xml:space="preserve">210'x210'=44,100SFT/9 = 4,900sy</t>
  </si>
  <si>
    <t xml:space="preserve">Surfacing, Trap Rock 3/4" - Spread to a depth of 6 Inches (Install) - SS Gravel</t>
  </si>
  <si>
    <t xml:space="preserve">07.03.01.02</t>
  </si>
  <si>
    <t xml:space="preserve">Fencing, Chain Link Fencing, (Furnish)</t>
  </si>
  <si>
    <t xml:space="preserve">Fencing, Chain Link Fencing, (Install)</t>
  </si>
  <si>
    <t xml:space="preserve">Fencing, Gate, manual, (Furnish)</t>
  </si>
  <si>
    <t xml:space="preserve">Personnel Gate</t>
  </si>
  <si>
    <t xml:space="preserve">Fencing, Gate, manual, (Install)</t>
  </si>
  <si>
    <t xml:space="preserve">Retaining wall, Formed and poured walls - 14' Tall (Furnish)</t>
  </si>
  <si>
    <t xml:space="preserve">Retaining wall, Formed and poured walls - 14' Tall (Install)</t>
  </si>
  <si>
    <t xml:space="preserve">07.03.01.03</t>
  </si>
  <si>
    <t xml:space="preserve">Foundation, 3 MVA Transformer 6.6 CY (Furnish) - GSU</t>
  </si>
  <si>
    <t xml:space="preserve">Generator Step Up Transformer</t>
  </si>
  <si>
    <t xml:space="preserve">Foundation, 3 MVA Transformer 6.6 CY (Install) - GSU</t>
  </si>
  <si>
    <t xml:space="preserve">Foundation, D station, 251"x108" Pads for Nomad Batteries,  (Furnish)</t>
  </si>
  <si>
    <t xml:space="preserve">Foundation, D station, 251"x108" Pads for Nomad Batteries,  (Install)</t>
  </si>
  <si>
    <t xml:space="preserve">Foundation, D station, Conrol/SCADA Outdoor Cabinets.,  (Install)</t>
  </si>
  <si>
    <t xml:space="preserve">27.25'(W) x 150" (L)</t>
  </si>
  <si>
    <t xml:space="preserve">Foundation, D station, Control/SCADA Oudoor Cabinets  (Furnish)</t>
  </si>
  <si>
    <t xml:space="preserve">Foundation, D station, Transclosure,  (Furnish)</t>
  </si>
  <si>
    <t xml:space="preserve">Metering</t>
  </si>
  <si>
    <t xml:space="preserve">Foundation, D station, Transclosure,  (Install)</t>
  </si>
  <si>
    <t xml:space="preserve">Foundation,15 KV Outdoor 6.81 CY C.B. (Install)</t>
  </si>
  <si>
    <t xml:space="preserve">Foundation,15 KV Outdoor C.B. 6.81 CY (Furnish)</t>
  </si>
  <si>
    <t xml:space="preserve">Foundation,15 KV SSVT Pad 4.67 CY (Furnish)</t>
  </si>
  <si>
    <t xml:space="preserve">1,500 kVA Pad</t>
  </si>
  <si>
    <t xml:space="preserve">Foundation,15 KV SSVT Pad 4.67 CY (Install)</t>
  </si>
  <si>
    <t xml:space="preserve">07.03.02.01</t>
  </si>
  <si>
    <t xml:space="preserve">38kV Circuit Breakers SIEMENS SD7-1200 Amps, 15kV, (Install)</t>
  </si>
  <si>
    <t xml:space="preserve">07.03.02.04</t>
  </si>
  <si>
    <t xml:space="preserve">Switch, Disconnect, 14.4kV, 3 pole/single throw, 1200 amp (includes Insulators and Manual Operating Mechanism), (Install)</t>
  </si>
  <si>
    <t xml:space="preserve">07.03.02.07</t>
  </si>
  <si>
    <t xml:space="preserve">Station Service Transformers, Three-Phase, 1,500 kVA, 13.8kV-480V, Pad Mount, (Install)</t>
  </si>
  <si>
    <t xml:space="preserve">Transformer, 13.8kV - 480V, Generator Step-Up (GSU), 3 MVA, Pad Mount, (Install)</t>
  </si>
  <si>
    <t xml:space="preserve">07.03.02.09</t>
  </si>
  <si>
    <t xml:space="preserve">(1) 4" PVC Conduit Conc. Enc, (Furnish) - Length per Estimator</t>
  </si>
  <si>
    <t xml:space="preserve">Telecommunication</t>
  </si>
  <si>
    <t xml:space="preserve">(1) 4" PVC Conduit Conc. Enc, (Install) - Length per Estimator</t>
  </si>
  <si>
    <t xml:space="preserve">Ductbank 2x2 Duct - w/excav &amp; backfill, w/o cable, (Furnish)</t>
  </si>
  <si>
    <t xml:space="preserve">220 'x4 runs - Riser poles to GSU</t>
  </si>
  <si>
    <t xml:space="preserve">Ductbank 2x2 Duct - w/excav &amp; backfill, w/o cable, (Furnish) - Length per Estimator</t>
  </si>
  <si>
    <t xml:space="preserve">200 'x4 runs - Riser poles to Feeder Connections Manholes</t>
  </si>
  <si>
    <t xml:space="preserve">Ductbank 2x2 Duct - w/excav &amp; backfill, w/o cable, (Install)</t>
  </si>
  <si>
    <t xml:space="preserve">Ductbank 2x2 Duct - w/excav &amp; backfill, w/o cable, (Install) - Length per Estimator</t>
  </si>
  <si>
    <t xml:space="preserve">07.03.02.10</t>
  </si>
  <si>
    <t xml:space="preserve">4" Galvanized Rigid Conduit (Install)</t>
  </si>
  <si>
    <t xml:space="preserve">4" GRC 90 Degree Elbow - 36" Sweep (Install)</t>
  </si>
  <si>
    <t xml:space="preserve">12 runs x 2 sweeps - GSU to Batteries</t>
  </si>
  <si>
    <t xml:space="preserve">07.03.02.11</t>
  </si>
  <si>
    <t xml:space="preserve">Batteries, Nomad Batteries Voyager Eagle LFP BESS System , (Install)</t>
  </si>
  <si>
    <t xml:space="preserve">Cost from E-23-373 estimate = 16,801 mhrs x 25% = 4,200 mhrs</t>
  </si>
  <si>
    <t xml:space="preserve">Cable Single Phase/Bare Cable 556 mcm ACSR, (26/7) Dove, (Install)</t>
  </si>
  <si>
    <t xml:space="preserve">Grounding Systems, Cable, UG, 4/0 copper, bare, (Install)</t>
  </si>
  <si>
    <t xml:space="preserve">200'x200'</t>
  </si>
  <si>
    <t xml:space="preserve">Grounding Systems, Grounding, Conn, Compression, Ground 2-4/0, (Install)</t>
  </si>
  <si>
    <t xml:space="preserve">Grounding Systems, Grounding, Connector, Compression, Ground, C-Tap. , (Install)</t>
  </si>
  <si>
    <t xml:space="preserve">Grounding Systems, Grounding, Connector, Compression, Ground, L-Tap. 4/0 cable to 5/8" Rod, (Install)</t>
  </si>
  <si>
    <t xml:space="preserve">Grounding Systems, Grounding, Ground Rods "5/8 X 8 FT, (Install)</t>
  </si>
  <si>
    <t xml:space="preserve">Grounding Systems, Transformers and Grid, (Install)</t>
  </si>
  <si>
    <t xml:space="preserve">Power Cable, 15 kV Elbow Connectors (Install)</t>
  </si>
  <si>
    <t xml:space="preserve">Power Cable, 250 MCM, 15 kV, Terminations (Install)</t>
  </si>
  <si>
    <t xml:space="preserve">12 runs x 6 terminations/run</t>
  </si>
  <si>
    <t xml:space="preserve">Power Cable, 600V, 4/O Cable, Insulated, (Install) Length per Estimator 4 cond. AL</t>
  </si>
  <si>
    <t xml:space="preserve">SSVT -1500 kVA Pad Trans - cost on line Wake Forest Aluminum
</t>
  </si>
  <si>
    <t xml:space="preserve">Power Cable, 600V, 4/O, Cable, 1-Conductor,  Insulated, (Install) - CU</t>
  </si>
  <si>
    <t xml:space="preserve">GSU to BESS</t>
  </si>
  <si>
    <t xml:space="preserve">07.03.02.99</t>
  </si>
  <si>
    <t xml:space="preserve">AC/ DC Distribution Panels, Aux. Power Systesms,  (Install)</t>
  </si>
  <si>
    <t xml:space="preserve">Automatic Transfer Switch, 400 amps, 3 Phase, (Install)</t>
  </si>
  <si>
    <t xml:space="preserve">Fuse Cutouts, 15 KV, 1 Phase, (Install)</t>
  </si>
  <si>
    <t xml:space="preserve">Insulators - 15kV, Dead-End Insulators, (Install)</t>
  </si>
  <si>
    <t xml:space="preserve">Misc. Eqt - Line Construction, (Install) - OH Tower, Wire Stringing</t>
  </si>
  <si>
    <t xml:space="preserve">Switchyard Lighting (Freestanding pole Mnt), Area Light 100 HPS Yard Luminare Complete DTR21.361.0A (Furnish)</t>
  </si>
  <si>
    <t xml:space="preserve">Switchyard Lighting (Freestanding pole Mnt), Area Light 100 HPS Yard Luminare Complete DTR21.361.0A (Install)</t>
  </si>
  <si>
    <t xml:space="preserve">Switchyard Lighting (Freestanding pole Mnt), Elect Hook Up - Assume 100 ft direct bury XLP Cable between lights and  to CB Panel (Install)</t>
  </si>
  <si>
    <t xml:space="preserve">Elect Hook Up - Assume 100 ft direct bury XLP Cable between lights and back to CB Panel</t>
  </si>
  <si>
    <t xml:space="preserve">Switchyard Lighting (Freestanding pole Mnt), Elect Hook Up - Assume 100 ft direct bury XLP Cable between lights and to CB Panel (Furnish)</t>
  </si>
  <si>
    <t xml:space="preserve">Outdoor Metering Transclosure , (Install)</t>
  </si>
  <si>
    <t xml:space="preserve">07.03.03.03</t>
  </si>
  <si>
    <t xml:space="preserve">Communications, User Defined, (Install)</t>
  </si>
  <si>
    <t xml:space="preserve">07.09.00.00</t>
  </si>
  <si>
    <t xml:space="preserve">Traffic Control, substation constr., (Furnish)</t>
  </si>
  <si>
    <t xml:space="preserve">Increase traffic during construction.</t>
  </si>
  <si>
    <t xml:space="preserve">08.03.01.00</t>
  </si>
  <si>
    <t xml:space="preserve">Field Communications (SCADA), Eversource</t>
  </si>
  <si>
    <t xml:space="preserve">08.04.02.00</t>
  </si>
  <si>
    <t xml:space="preserve">Field Telecom, Contractor</t>
  </si>
  <si>
    <t xml:space="preserve">Per Estimator</t>
  </si>
  <si>
    <t xml:space="preserve">09.01.01.00</t>
  </si>
  <si>
    <t xml:space="preserve">Project Manager - Eversource</t>
  </si>
  <si>
    <t xml:space="preserve">3 days per construction week and 8 hours per week for lead up year plus 40 mhrs close out.
Const: 10 mns x 4.3wks/mn x 24 hrs/wk = 1,032
Up to const: 6 mns x 4.3wks/mn x 8 hrs/wk = 206
40 hrs close out
Total 1,278</t>
  </si>
  <si>
    <t xml:space="preserve">5 days per construction week and 16 hours per week for lead up year plus 40 mhrs close out.
Const: 10 mns x 4.3wks/mn x 40 hrs/wk = 1,720
Up to const: 6 mns x 4.3wks/mn x 16 hrs/wk = 412
40 hrs close out
Total 2,172</t>
  </si>
  <si>
    <t xml:space="preserve">09.02.01.00</t>
  </si>
  <si>
    <t xml:space="preserve">Project Controls, IP, Eversource</t>
  </si>
  <si>
    <t xml:space="preserve">Contracts, Eversource</t>
  </si>
  <si>
    <t xml:space="preserve">Per estimator</t>
  </si>
  <si>
    <t xml:space="preserve">09.08.02.00</t>
  </si>
  <si>
    <t xml:space="preserve">Estimating, Contractor</t>
  </si>
  <si>
    <t xml:space="preserve">per estimator</t>
  </si>
  <si>
    <t xml:space="preserve">09.09.02.00</t>
  </si>
  <si>
    <t xml:space="preserve">Project Management, (PM/)APM, Contractor</t>
  </si>
  <si>
    <t xml:space="preserve">9mns x 4.3wks/mn x 40 mhrs/wk</t>
  </si>
  <si>
    <t xml:space="preserve">09.12.01.00</t>
  </si>
  <si>
    <t xml:space="preserve">Vegetation Mgmt., Eversource</t>
  </si>
  <si>
    <t xml:space="preserve">11.00.00.01</t>
  </si>
  <si>
    <t xml:space="preserve">Indirect - SUT-Material-External</t>
  </si>
  <si>
    <t xml:space="preserve">11.00.00.02</t>
  </si>
  <si>
    <t xml:space="preserve">Tax - Property</t>
  </si>
  <si>
    <t xml:space="preserve">actual input row</t>
  </si>
  <si>
    <t xml:space="preserve">11.01.00.04</t>
  </si>
  <si>
    <t xml:space="preserve">BAR Insurance</t>
  </si>
  <si>
    <t xml:space="preserve">Bar Insurance (Builders all risk coverage), over $50M, for stations 0.7% and Lines 1.5%, of Material, Labor and Equipment.  Risk item BAR Deductibles between $250K and $500K.
$21,327,866 x 0.7% = $$149,295
</t>
  </si>
  <si>
    <t xml:space="preserve">12.02.00.00</t>
  </si>
  <si>
    <t xml:space="preserve">Risk - Environmental</t>
  </si>
  <si>
    <t xml:space="preserve">Additional requirements and communication with DEP and review of landfill closure documents.</t>
  </si>
  <si>
    <t xml:space="preserve">12.03.00.00</t>
  </si>
  <si>
    <t xml:space="preserve">Risk - Additional Outreach</t>
  </si>
  <si>
    <t xml:space="preserve">Increase costs for outreach services which can cause delays in schedule.</t>
  </si>
  <si>
    <t xml:space="preserve">12.05.00.00</t>
  </si>
  <si>
    <t xml:space="preserve">Risk - Engineering - Elec. - P&amp;C</t>
  </si>
  <si>
    <t xml:space="preserve">Increase P&amp;C engineering costs due to design changes and failed test results.</t>
  </si>
  <si>
    <t xml:space="preserve">Risk - Engineering - Elec. - Station</t>
  </si>
  <si>
    <t xml:space="preserve">Increase engineering costs due to design changes and change orders.</t>
  </si>
  <si>
    <t xml:space="preserve">Risk - Construction - Bar Insurance</t>
  </si>
  <si>
    <t xml:space="preserve">Bar Insurance deductibles</t>
  </si>
  <si>
    <t xml:space="preserve">Risk - Construction - Potential UG Obstructions</t>
  </si>
  <si>
    <t xml:space="preserve">Unforeseen UG facilities not shown on drawings that must be removed or relocated.
</t>
  </si>
  <si>
    <t xml:space="preserve">Risk - Construction - Siting / Permiting Impacts</t>
  </si>
  <si>
    <t xml:space="preserve">Delay in schedule, increase labor costs due to delays in receiving permits.</t>
  </si>
  <si>
    <t xml:space="preserve">Risk - Construction - Soil contamination impact</t>
  </si>
  <si>
    <t xml:space="preserve">Unexpected remediation needed.</t>
  </si>
  <si>
    <t xml:space="preserve">Indirects - Non-Productive Time (ZNP)</t>
  </si>
  <si>
    <t xml:space="preserve">Indirects - Payroll Benefits (ZPB)</t>
  </si>
  <si>
    <t xml:space="preserve">Indirects - General Services OH (ZGS)</t>
  </si>
  <si>
    <t xml:space="preserve">Indirects - E&amp;S Stations</t>
  </si>
  <si>
    <t xml:space="preserve">Indirects - AS&amp;E (ZAS)</t>
  </si>
  <si>
    <t xml:space="preserve">Indirects - Lobby Stock</t>
  </si>
  <si>
    <t xml:space="preserve">Indirects - MDEC (ZMI)</t>
  </si>
  <si>
    <t xml:space="preserve">Indirects - Vehicles</t>
  </si>
  <si>
    <t xml:space="preserve">Total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</si>
</sst>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0.0000"/>
    <numFmt numFmtId="168" formatCode="0.00\x"/>
    <numFmt numFmtId="169" formatCode="\$#,##0"/>
    <numFmt numFmtId="170" formatCode="0.000"/>
    <numFmt numFmtId="171" formatCode="0.###"/>
    <numFmt numFmtId="172" formatCode="0.00"/>
    <numFmt numFmtId="173" formatCode="0"/>
    <numFmt numFmtId="174" formatCode="\$#,##0"/>
    <numFmt numFmtId="175" formatCode="0%"/>
    <numFmt numFmtId="176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1E6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4"/>
      <color rgb="FF001E60"/>
      <name val="Georgia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8"/>
      <name val="Arial"/>
      <family val="0"/>
      <charset val="1"/>
    </font>
    <font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1E60"/>
        <bgColor rgb="FF000080"/>
      </patternFill>
    </fill>
    <fill>
      <patternFill patternType="solid">
        <fgColor rgb="FFFFF3CC"/>
        <bgColor rgb="FFFFEB9C"/>
      </patternFill>
    </fill>
    <fill>
      <patternFill patternType="solid">
        <fgColor rgb="FFFFEB9C"/>
        <bgColor rgb="FFFFF3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1E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1E60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23.2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1" customFormat="false" ht="15" hidden="false" customHeight="true" outlineLevel="0" collapsed="false">
      <c r="A11" s="3" t="s">
        <v>17</v>
      </c>
      <c r="B11" s="4" t="s">
        <v>18</v>
      </c>
    </row>
    <row r="12" customFormat="false" ht="15" hidden="false" customHeight="true" outlineLevel="0" collapsed="false">
      <c r="A12" s="3" t="s">
        <v>19</v>
      </c>
      <c r="B12" s="4" t="s">
        <v>20</v>
      </c>
    </row>
    <row r="13" customFormat="false" ht="23.25" hidden="false" customHeight="true" outlineLevel="0" collapsed="false">
      <c r="A13" s="3" t="s">
        <v>21</v>
      </c>
      <c r="B13" s="4" t="s">
        <v>22</v>
      </c>
    </row>
    <row r="14" customFormat="false" ht="15" hidden="false" customHeight="true" outlineLevel="0" collapsed="false">
      <c r="A14" s="3" t="s">
        <v>23</v>
      </c>
      <c r="B14" s="4" t="s">
        <v>24</v>
      </c>
    </row>
    <row r="15" customFormat="false" ht="15" hidden="false" customHeight="true" outlineLevel="0" collapsed="false">
      <c r="A15" s="3" t="s">
        <v>25</v>
      </c>
      <c r="B15" s="4" t="s">
        <v>26</v>
      </c>
    </row>
    <row r="16" customFormat="false" ht="15" hidden="false" customHeight="true" outlineLevel="0" collapsed="false">
      <c r="A16" s="3" t="s">
        <v>27</v>
      </c>
      <c r="B16" s="4" t="s">
        <v>28</v>
      </c>
    </row>
    <row r="17" customFormat="false" ht="15" hidden="false" customHeight="true" outlineLevel="0" collapsed="false">
      <c r="A17" s="5" t="s">
        <v>29</v>
      </c>
      <c r="B17" s="6" t="s">
        <v>30</v>
      </c>
    </row>
    <row r="18" customFormat="false" ht="15" hidden="false" customHeight="false" outlineLevel="0" collapsed="false">
      <c r="A18" s="7" t="s">
        <v>31</v>
      </c>
      <c r="B18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7" min="7" style="1" width="80"/>
  </cols>
  <sheetData>
    <row r="1" customFormat="false" ht="17.25" hidden="false" customHeight="true" outlineLevel="0" collapsed="false">
      <c r="A1" s="2" t="s">
        <v>33</v>
      </c>
    </row>
    <row r="2" customFormat="false" ht="30" hidden="false" customHeight="true" outlineLevel="0" collapsed="false">
      <c r="A2" s="9" t="s">
        <v>34</v>
      </c>
      <c r="B2" s="9"/>
      <c r="C2" s="9"/>
      <c r="D2" s="9"/>
      <c r="E2" s="9"/>
      <c r="F2" s="9"/>
      <c r="G2" s="9"/>
    </row>
    <row r="4" customFormat="false" ht="1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</row>
    <row r="5" customFormat="false" ht="48" hidden="false" customHeight="true" outlineLevel="0" collapsed="false">
      <c r="A5" s="11" t="s">
        <v>42</v>
      </c>
      <c r="B5" s="12" t="n">
        <f aca="false">SUMIFS('Line Items'!$H:$H,'Line Items'!$L:$L,"A")</f>
        <v>12991103.8258879</v>
      </c>
      <c r="C5" s="13" t="n">
        <f aca="false">B5/$B$18</f>
        <v>0.226928579517933</v>
      </c>
      <c r="D5" s="12" t="n">
        <f aca="false">B5*$B$21</f>
        <v>21893672.0362275</v>
      </c>
      <c r="E5" s="13" t="n">
        <f aca="false">D5/$D$18</f>
        <v>0.382438625862728</v>
      </c>
      <c r="F5" s="12" t="n">
        <f aca="false">SUM($D$5:D5)</f>
        <v>21893672.0362275</v>
      </c>
      <c r="G5" s="14" t="s">
        <v>43</v>
      </c>
    </row>
    <row r="6" customFormat="false" ht="48" hidden="false" customHeight="true" outlineLevel="0" collapsed="false">
      <c r="A6" s="11" t="s">
        <v>44</v>
      </c>
      <c r="B6" s="12" t="n">
        <f aca="false">SUMIFS('Line Items'!$H:$H,'Line Items'!$L:$L,"B")</f>
        <v>1733346.46322318</v>
      </c>
      <c r="C6" s="13" t="n">
        <f aca="false">B6/$B$18</f>
        <v>0.0302780930691843</v>
      </c>
      <c r="D6" s="12" t="n">
        <f aca="false">B6*$B$21</f>
        <v>2921177.40721462</v>
      </c>
      <c r="E6" s="13" t="n">
        <f aca="false">D6/$D$18</f>
        <v>0.0510271219769723</v>
      </c>
      <c r="F6" s="12" t="n">
        <f aca="false">SUM($D$5:D6)</f>
        <v>24814849.4434421</v>
      </c>
      <c r="G6" s="14" t="s">
        <v>45</v>
      </c>
    </row>
    <row r="7" customFormat="false" ht="48" hidden="false" customHeight="true" outlineLevel="0" collapsed="false">
      <c r="A7" s="11" t="s">
        <v>46</v>
      </c>
      <c r="B7" s="12" t="n">
        <f aca="false">SUMIFS('Line Items'!$H:$H,'Line Items'!$L:$L,"C")</f>
        <v>1932801.59725416</v>
      </c>
      <c r="C7" s="13" t="n">
        <f aca="false">B7/$B$18</f>
        <v>0.0337621750109369</v>
      </c>
      <c r="D7" s="12" t="n">
        <f aca="false">B7*$B$21</f>
        <v>3257315.53288444</v>
      </c>
      <c r="E7" s="13" t="n">
        <f aca="false">D7/$D$18</f>
        <v>0.0568987821840186</v>
      </c>
      <c r="F7" s="12" t="n">
        <f aca="false">SUM($D$5:D7)</f>
        <v>28072164.9763265</v>
      </c>
      <c r="G7" s="14" t="s">
        <v>47</v>
      </c>
    </row>
    <row r="8" customFormat="false" ht="48" hidden="false" customHeight="true" outlineLevel="0" collapsed="false">
      <c r="A8" s="11" t="s">
        <v>48</v>
      </c>
      <c r="B8" s="12" t="n">
        <f aca="false">SUMIFS('Line Items'!$H:$H,'Line Items'!$L:$L,"D")</f>
        <v>3846444.32213231</v>
      </c>
      <c r="C8" s="13" t="n">
        <f aca="false">B8/$B$18</f>
        <v>0.0671896828718207</v>
      </c>
      <c r="D8" s="12" t="n">
        <f aca="false">B8*$B$21</f>
        <v>6482342.96508044</v>
      </c>
      <c r="E8" s="13" t="n">
        <f aca="false">D8/$D$18</f>
        <v>0.11323355588017</v>
      </c>
      <c r="F8" s="12" t="n">
        <f aca="false">SUM($D$5:D8)</f>
        <v>34554507.941407</v>
      </c>
      <c r="G8" s="14" t="s">
        <v>49</v>
      </c>
    </row>
    <row r="9" customFormat="false" ht="48" hidden="false" customHeight="true" outlineLevel="0" collapsed="false">
      <c r="A9" s="11" t="s">
        <v>50</v>
      </c>
      <c r="B9" s="12" t="n">
        <f aca="false">SUMIFS('Line Items'!$H:$H,'Line Items'!$L:$L,"E")</f>
        <v>2690784.12873135</v>
      </c>
      <c r="C9" s="13" t="n">
        <f aca="false">B9/$B$18</f>
        <v>0.0470026125805881</v>
      </c>
      <c r="D9" s="12" t="n">
        <f aca="false">B9*$B$21</f>
        <v>4534729.76771501</v>
      </c>
      <c r="E9" s="13" t="n">
        <f aca="false">D9/$D$18</f>
        <v>0.0792126518637012</v>
      </c>
      <c r="F9" s="12" t="n">
        <f aca="false">SUM($D$5:D9)</f>
        <v>39089237.709122</v>
      </c>
      <c r="G9" s="14" t="s">
        <v>51</v>
      </c>
    </row>
    <row r="10" customFormat="false" ht="48" hidden="false" customHeight="true" outlineLevel="0" collapsed="false">
      <c r="A10" s="11" t="s">
        <v>52</v>
      </c>
      <c r="B10" s="12" t="n">
        <f aca="false">SUMIFS('Line Items'!$H:$H,'Line Items'!$L:$L,"F")</f>
        <v>7253161.74529093</v>
      </c>
      <c r="C10" s="13" t="n">
        <f aca="false">B10/$B$18</f>
        <v>0.126698217020846</v>
      </c>
      <c r="D10" s="12" t="n">
        <f aca="false">B10</f>
        <v>7253161.74529093</v>
      </c>
      <c r="E10" s="13" t="n">
        <f aca="false">D10/$D$18</f>
        <v>0.126698217020846</v>
      </c>
      <c r="F10" s="12" t="n">
        <f aca="false">SUM($D$5:D10)</f>
        <v>46342399.4544129</v>
      </c>
      <c r="G10" s="14" t="s">
        <v>53</v>
      </c>
    </row>
    <row r="11" customFormat="false" ht="48" hidden="false" customHeight="true" outlineLevel="0" collapsed="false">
      <c r="A11" s="11" t="s">
        <v>54</v>
      </c>
      <c r="B11" s="12" t="n">
        <f aca="false">SUMIFS('Line Items'!$H:$H,'Line Items'!$L:$L,"G")</f>
        <v>1262913.60748</v>
      </c>
      <c r="C11" s="13" t="n">
        <f aca="false">B11/$B$18</f>
        <v>0.022060572745805</v>
      </c>
      <c r="D11" s="12" t="n">
        <f aca="false">B11*$B$21</f>
        <v>2128365.4339793</v>
      </c>
      <c r="E11" s="13" t="n">
        <f aca="false">D11/$D$18</f>
        <v>0.0371782837779746</v>
      </c>
      <c r="F11" s="12" t="n">
        <f aca="false">SUM($D$5:D11)</f>
        <v>48470764.8883922</v>
      </c>
      <c r="G11" s="14" t="s">
        <v>55</v>
      </c>
    </row>
    <row r="12" customFormat="false" ht="48" hidden="false" customHeight="true" outlineLevel="0" collapsed="false">
      <c r="A12" s="11" t="s">
        <v>56</v>
      </c>
      <c r="B12" s="12" t="n">
        <f aca="false">SUMIFS('Line Items'!$H:$H,'Line Items'!$L:$L,"H")</f>
        <v>4420366.479136</v>
      </c>
      <c r="C12" s="13" t="n">
        <f aca="false">B12/$B$18</f>
        <v>0.0772149541334653</v>
      </c>
      <c r="D12" s="12" t="n">
        <f aca="false">B12*$B$21</f>
        <v>7449563.58375672</v>
      </c>
      <c r="E12" s="13" t="n">
        <f aca="false">D12/$D$18</f>
        <v>0.130128964000863</v>
      </c>
      <c r="F12" s="12" t="n">
        <f aca="false">SUM($D$5:D12)</f>
        <v>55920328.4721489</v>
      </c>
      <c r="G12" s="14" t="s">
        <v>57</v>
      </c>
    </row>
    <row r="13" customFormat="false" ht="48" hidden="false" customHeight="true" outlineLevel="0" collapsed="false">
      <c r="A13" s="11" t="s">
        <v>58</v>
      </c>
      <c r="B13" s="12" t="n">
        <f aca="false">SUMIFS('Line Items'!$H:$H,'Line Items'!$L:$L,"I")</f>
        <v>787533.212283357</v>
      </c>
      <c r="C13" s="13" t="n">
        <f aca="false">B13/$B$18</f>
        <v>0.0137566288116739</v>
      </c>
      <c r="D13" s="12" t="n">
        <f aca="false">B13*$B$21</f>
        <v>1327215.46209258</v>
      </c>
      <c r="E13" s="13" t="n">
        <f aca="false">D13/$D$18</f>
        <v>0.0231837974327268</v>
      </c>
      <c r="F13" s="12" t="n">
        <f aca="false">SUM($D$5:D13)</f>
        <v>57247543.9342415</v>
      </c>
      <c r="G13" s="14" t="s">
        <v>59</v>
      </c>
    </row>
    <row r="14" customFormat="false" ht="48" hidden="false" customHeight="true" outlineLevel="0" collapsed="false">
      <c r="A14" s="11" t="s">
        <v>60</v>
      </c>
      <c r="B14" s="12" t="n">
        <f aca="false">SUMIFS('Line Items'!$H:$H,'Line Items'!$L:$L,"J")</f>
        <v>5300000</v>
      </c>
      <c r="C14" s="13" t="n">
        <f aca="false">B14/$B$18</f>
        <v>0.0925803909786584</v>
      </c>
      <c r="D14" s="12" t="n">
        <v>0</v>
      </c>
      <c r="E14" s="13" t="n">
        <f aca="false">D14/$D$18</f>
        <v>0</v>
      </c>
      <c r="F14" s="12" t="n">
        <f aca="false">SUM($D$5:D14)</f>
        <v>57247543.9342415</v>
      </c>
      <c r="G14" s="14" t="s">
        <v>61</v>
      </c>
    </row>
    <row r="15" customFormat="false" ht="48" hidden="false" customHeight="true" outlineLevel="0" collapsed="false">
      <c r="A15" s="11" t="s">
        <v>62</v>
      </c>
      <c r="B15" s="12" t="n">
        <f aca="false">SUMIFS('Line Items'!$H:$H,'Line Items'!$L:$L,"K")</f>
        <v>2283517</v>
      </c>
      <c r="C15" s="13" t="n">
        <f aca="false">B15/$B$18</f>
        <v>0.0398884710691345</v>
      </c>
      <c r="D15" s="12" t="n">
        <v>0</v>
      </c>
      <c r="E15" s="13" t="n">
        <f aca="false">D15/$D$18</f>
        <v>0</v>
      </c>
      <c r="F15" s="12" t="n">
        <f aca="false">SUM($D$5:D15)</f>
        <v>57247543.9342415</v>
      </c>
      <c r="G15" s="14" t="s">
        <v>63</v>
      </c>
    </row>
    <row r="16" customFormat="false" ht="48" hidden="false" customHeight="true" outlineLevel="0" collapsed="false">
      <c r="A16" s="11" t="s">
        <v>64</v>
      </c>
      <c r="B16" s="12" t="n">
        <f aca="false">SUMIFS('Line Items'!$H:$H,'Line Items'!$L:$L,"L")</f>
        <v>8064672.35840785</v>
      </c>
      <c r="C16" s="13" t="n">
        <f aca="false">B16/$B$18</f>
        <v>0.140873683029467</v>
      </c>
      <c r="D16" s="12" t="n">
        <v>0</v>
      </c>
      <c r="E16" s="13" t="n">
        <f aca="false">D16/$D$18</f>
        <v>0</v>
      </c>
      <c r="F16" s="12" t="n">
        <f aca="false">SUM($D$5:D16)</f>
        <v>57247543.9342415</v>
      </c>
      <c r="G16" s="14" t="s">
        <v>65</v>
      </c>
    </row>
    <row r="17" customFormat="false" ht="48" hidden="false" customHeight="true" outlineLevel="0" collapsed="false">
      <c r="A17" s="11" t="s">
        <v>66</v>
      </c>
      <c r="B17" s="12" t="n">
        <f aca="false">SUMIFS('Line Items'!$H:$H,'Line Items'!$L:$L,"M")</f>
        <v>4680899.19441448</v>
      </c>
      <c r="C17" s="13" t="n">
        <f aca="false">B17/$B$18</f>
        <v>0.0817659391604867</v>
      </c>
      <c r="D17" s="12" t="n">
        <v>0</v>
      </c>
      <c r="E17" s="13" t="n">
        <f aca="false">D17/$D$18</f>
        <v>0</v>
      </c>
      <c r="F17" s="12" t="n">
        <f aca="false">SUM($D$5:D17)</f>
        <v>57247543.9342415</v>
      </c>
      <c r="G17" s="14" t="s">
        <v>67</v>
      </c>
    </row>
    <row r="18" customFormat="false" ht="15" hidden="false" customHeight="true" outlineLevel="0" collapsed="false">
      <c r="A18" s="3" t="s">
        <v>68</v>
      </c>
      <c r="B18" s="15" t="n">
        <f aca="false">SUM(B5:B17)</f>
        <v>57247543.9342415</v>
      </c>
      <c r="C18" s="16" t="n">
        <f aca="false">SUM(C5:C17)</f>
        <v>1</v>
      </c>
      <c r="D18" s="15" t="n">
        <f aca="false">SUM(D5:D17)</f>
        <v>57247543.9342415</v>
      </c>
      <c r="E18" s="16" t="n">
        <f aca="false">SUM(E5:E17)</f>
        <v>1</v>
      </c>
    </row>
    <row r="20" customFormat="false" ht="15" hidden="false" customHeight="true" outlineLevel="0" collapsed="false">
      <c r="A20" s="17" t="s">
        <v>69</v>
      </c>
      <c r="B20" s="18" t="n">
        <f aca="false">SUMPRODUCT(--(LEFT(A5:A17,1)&lt;&gt;"F"),--(LEFT(A5:A17,1)&lt;&gt;"J"),--(LEFT(A5:A17,1)&lt;&gt;"K"),--(LEFT(A5:A17,1)&lt;&gt;"L"),--(LEFT(A5:A17,1)&lt;&gt;"M"),B5:B17)</f>
        <v>29665293.6361283</v>
      </c>
    </row>
    <row r="21" customFormat="false" ht="15" hidden="false" customHeight="true" outlineLevel="0" collapsed="false">
      <c r="A21" s="17" t="s">
        <v>70</v>
      </c>
      <c r="B21" s="19" t="n">
        <f aca="false">(B20+B14+B15+B16+B17)/B20</f>
        <v>1.6852818921052</v>
      </c>
    </row>
    <row r="22" customFormat="false" ht="15" hidden="false" customHeight="true" outlineLevel="0" collapsed="false">
      <c r="A22" s="17" t="s">
        <v>71</v>
      </c>
      <c r="B22" s="18" t="n">
        <f aca="false">D18-B18</f>
        <v>0</v>
      </c>
    </row>
    <row r="24" customFormat="false" ht="15" hidden="false" customHeight="true" outlineLevel="0" collapsed="false">
      <c r="A24" s="17" t="s">
        <v>72</v>
      </c>
      <c r="B24" s="20" t="n">
        <v>4793000</v>
      </c>
    </row>
    <row r="25" customFormat="false" ht="15" hidden="false" customHeight="true" outlineLevel="0" collapsed="false">
      <c r="A25" s="17" t="s">
        <v>73</v>
      </c>
      <c r="B25" s="20" t="n">
        <v>12106850</v>
      </c>
    </row>
    <row r="26" customFormat="false" ht="15" hidden="false" customHeight="true" outlineLevel="0" collapsed="false">
      <c r="A26" s="17" t="s">
        <v>74</v>
      </c>
      <c r="B26" s="18" t="n">
        <f aca="false">11778061.83-(11860850-1213042.82)</f>
        <v>1130254.65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90"/>
  </cols>
  <sheetData>
    <row r="1" customFormat="false" ht="17.25" hidden="false" customHeight="true" outlineLevel="0" collapsed="false">
      <c r="A1" s="2" t="s">
        <v>75</v>
      </c>
    </row>
    <row r="3" customFormat="false" ht="15" hidden="false" customHeight="true" outlineLevel="0" collapsed="false">
      <c r="A3" s="1" t="s">
        <v>76</v>
      </c>
      <c r="B3" s="21" t="n">
        <v>10</v>
      </c>
    </row>
    <row r="4" customFormat="false" ht="15" hidden="false" customHeight="true" outlineLevel="0" collapsed="false">
      <c r="A4" s="1" t="s">
        <v>77</v>
      </c>
      <c r="B4" s="21" t="n">
        <v>20</v>
      </c>
    </row>
    <row r="6" customFormat="false" ht="23.25" hidden="false" customHeight="true" outlineLevel="0" collapsed="false">
      <c r="A6" s="10" t="s">
        <v>78</v>
      </c>
      <c r="B6" s="10" t="s">
        <v>79</v>
      </c>
      <c r="C6" s="10" t="s">
        <v>80</v>
      </c>
      <c r="D6" s="10" t="s">
        <v>81</v>
      </c>
      <c r="E6" s="10" t="s">
        <v>82</v>
      </c>
      <c r="F6" s="10" t="s">
        <v>83</v>
      </c>
    </row>
    <row r="7" customFormat="false" ht="42" hidden="false" customHeight="true" outlineLevel="0" collapsed="false">
      <c r="A7" s="22" t="s">
        <v>84</v>
      </c>
      <c r="B7" s="23" t="n">
        <f aca="false">Layers!B25</f>
        <v>12106850</v>
      </c>
      <c r="C7" s="23" t="n">
        <f aca="false">B7/($B$3*1000)</f>
        <v>1210.685</v>
      </c>
      <c r="D7" s="23" t="n">
        <f aca="false">B7/($B$4*1000)</f>
        <v>605.3425</v>
      </c>
      <c r="E7" s="24" t="n">
        <f aca="false">B7/$B$7</f>
        <v>1</v>
      </c>
      <c r="F7" s="25" t="s">
        <v>85</v>
      </c>
    </row>
    <row r="8" customFormat="false" ht="42" hidden="false" customHeight="true" outlineLevel="0" collapsed="false">
      <c r="A8" s="11" t="s">
        <v>86</v>
      </c>
      <c r="B8" s="12" t="n">
        <f aca="false">Layers!B5</f>
        <v>12991103.8258879</v>
      </c>
      <c r="C8" s="12" t="n">
        <f aca="false">B8/($B$3*1000)</f>
        <v>1299.11038258879</v>
      </c>
      <c r="D8" s="12" t="n">
        <f aca="false">B8/($B$4*1000)</f>
        <v>649.555191294395</v>
      </c>
      <c r="E8" s="26" t="n">
        <f aca="false">B8/$B$7</f>
        <v>1.07303748092096</v>
      </c>
      <c r="F8" s="14" t="s">
        <v>87</v>
      </c>
    </row>
    <row r="9" customFormat="false" ht="42" hidden="false" customHeight="true" outlineLevel="0" collapsed="false">
      <c r="A9" s="11" t="s">
        <v>88</v>
      </c>
      <c r="B9" s="12" t="n">
        <f aca="false">SUM(Layers!B5:B7)</f>
        <v>16657251.8863652</v>
      </c>
      <c r="C9" s="12" t="n">
        <f aca="false">B9/($B$3*1000)</f>
        <v>1665.72518863652</v>
      </c>
      <c r="D9" s="12" t="n">
        <f aca="false">B9/($B$4*1000)</f>
        <v>832.862594318262</v>
      </c>
      <c r="E9" s="26" t="n">
        <f aca="false">B9/$B$7</f>
        <v>1.37585349503506</v>
      </c>
      <c r="F9" s="14" t="s">
        <v>89</v>
      </c>
    </row>
    <row r="10" customFormat="false" ht="42" hidden="false" customHeight="true" outlineLevel="0" collapsed="false">
      <c r="A10" s="11" t="s">
        <v>90</v>
      </c>
      <c r="B10" s="12" t="n">
        <f aca="false">Layers!B20</f>
        <v>29665293.6361283</v>
      </c>
      <c r="C10" s="12" t="n">
        <f aca="false">B10/($B$3*1000)</f>
        <v>2966.52936361283</v>
      </c>
      <c r="D10" s="12" t="n">
        <f aca="false">B10/($B$4*1000)</f>
        <v>1483.26468180641</v>
      </c>
      <c r="E10" s="26" t="n">
        <f aca="false">B10/$B$7</f>
        <v>2.45029001235898</v>
      </c>
      <c r="F10" s="14" t="s">
        <v>91</v>
      </c>
    </row>
    <row r="11" customFormat="false" ht="42" hidden="false" customHeight="true" outlineLevel="0" collapsed="false">
      <c r="A11" s="11" t="s">
        <v>92</v>
      </c>
      <c r="B11" s="12" t="n">
        <f aca="false">SUM(Layers!D5:D9)+SUM(Layers!D11:D13)</f>
        <v>49994382.1889506</v>
      </c>
      <c r="C11" s="12" t="n">
        <f aca="false">B11/($B$3*1000)</f>
        <v>4999.43821889506</v>
      </c>
      <c r="D11" s="12" t="n">
        <f aca="false">B11/($B$4*1000)</f>
        <v>2499.71910944753</v>
      </c>
      <c r="E11" s="26" t="n">
        <f aca="false">B11/$B$7</f>
        <v>4.12942938823481</v>
      </c>
      <c r="F11" s="14" t="s">
        <v>93</v>
      </c>
    </row>
    <row r="12" customFormat="false" ht="42" hidden="false" customHeight="true" outlineLevel="0" collapsed="false">
      <c r="A12" s="22" t="s">
        <v>94</v>
      </c>
      <c r="B12" s="23" t="n">
        <f aca="false">Layers!D18</f>
        <v>57247543.9342415</v>
      </c>
      <c r="C12" s="23" t="n">
        <f aca="false">B12/($B$3*1000)</f>
        <v>5724.75439342415</v>
      </c>
      <c r="D12" s="23" t="n">
        <f aca="false">B12/($B$4*1000)</f>
        <v>2862.37719671208</v>
      </c>
      <c r="E12" s="24" t="n">
        <f aca="false">B12/$B$7</f>
        <v>4.72852508573589</v>
      </c>
      <c r="F12" s="25" t="s">
        <v>95</v>
      </c>
    </row>
    <row r="13" customFormat="false" ht="42" hidden="false" customHeight="true" outlineLevel="0" collapsed="false">
      <c r="A13" s="11" t="s">
        <v>96</v>
      </c>
      <c r="B13" s="12" t="n">
        <f aca="false">Layers!D18+Layers!B24</f>
        <v>62040543.9342415</v>
      </c>
      <c r="C13" s="12" t="n">
        <f aca="false">B13/($B$3*1000)</f>
        <v>6204.05439342415</v>
      </c>
      <c r="D13" s="12" t="n">
        <f aca="false">B13/($B$4*1000)</f>
        <v>3102.02719671208</v>
      </c>
      <c r="E13" s="26" t="n">
        <f aca="false">B13/$B$7</f>
        <v>5.12441666777415</v>
      </c>
      <c r="F13" s="14" t="s">
        <v>97</v>
      </c>
    </row>
    <row r="15" customFormat="false" ht="15" hidden="false" customHeight="true" outlineLevel="0" collapsed="false">
      <c r="A15" s="3" t="s">
        <v>98</v>
      </c>
      <c r="B15" s="16" t="n">
        <f aca="false">B7/B12</f>
        <v>0.211482435192447</v>
      </c>
    </row>
    <row r="16" customFormat="false" ht="15" hidden="false" customHeight="true" outlineLevel="0" collapsed="false">
      <c r="A16" s="3" t="s">
        <v>99</v>
      </c>
      <c r="B16" s="18" t="n">
        <f aca="false">B12-B7</f>
        <v>45140693.9342415</v>
      </c>
    </row>
    <row r="17" customFormat="false" ht="15" hidden="false" customHeight="true" outlineLevel="0" collapsed="false">
      <c r="A17" s="3" t="s">
        <v>100</v>
      </c>
      <c r="B17" s="18" t="n">
        <f aca="false">Layers!D8+Layers!D10</f>
        <v>13735504.7103714</v>
      </c>
    </row>
    <row r="18" customFormat="false" ht="15" hidden="false" customHeight="true" outlineLevel="0" collapsed="false">
      <c r="A18" s="3" t="s">
        <v>101</v>
      </c>
      <c r="B18" s="18" t="n">
        <f aca="false">B17+Layers!B24</f>
        <v>18528504.7103714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90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102</v>
      </c>
    </row>
    <row r="3" customFormat="false" ht="15" hidden="false" customHeight="true" outlineLevel="0" collapsed="false">
      <c r="A3" s="10" t="s">
        <v>103</v>
      </c>
      <c r="B3" s="10" t="s">
        <v>104</v>
      </c>
      <c r="C3" s="10" t="s">
        <v>105</v>
      </c>
      <c r="D3" s="10" t="s">
        <v>106</v>
      </c>
      <c r="E3" s="10" t="s">
        <v>107</v>
      </c>
      <c r="F3" s="10" t="s">
        <v>108</v>
      </c>
    </row>
    <row r="4" customFormat="false" ht="30" hidden="false" customHeight="true" outlineLevel="0" collapsed="false">
      <c r="A4" s="11" t="s">
        <v>109</v>
      </c>
      <c r="B4" s="11" t="s">
        <v>110</v>
      </c>
      <c r="C4" s="12" t="n">
        <v>200000</v>
      </c>
      <c r="D4" s="11" t="s">
        <v>111</v>
      </c>
      <c r="E4" s="27" t="s">
        <v>112</v>
      </c>
      <c r="F4" s="12" t="n">
        <f aca="false">C4/('Unit Costs'!$B$4*1000)</f>
        <v>10</v>
      </c>
    </row>
    <row r="5" customFormat="false" ht="30" hidden="false" customHeight="true" outlineLevel="0" collapsed="false">
      <c r="A5" s="11" t="s">
        <v>113</v>
      </c>
      <c r="B5" s="11" t="s">
        <v>114</v>
      </c>
      <c r="C5" s="12" t="n">
        <v>500000</v>
      </c>
      <c r="D5" s="11" t="s">
        <v>111</v>
      </c>
      <c r="E5" s="27" t="s">
        <v>115</v>
      </c>
      <c r="F5" s="12" t="n">
        <f aca="false">C5/('Unit Costs'!$B$4*1000)</f>
        <v>25</v>
      </c>
    </row>
    <row r="6" customFormat="false" ht="30" hidden="false" customHeight="true" outlineLevel="0" collapsed="false">
      <c r="A6" s="11" t="s">
        <v>116</v>
      </c>
      <c r="B6" s="11" t="s">
        <v>117</v>
      </c>
      <c r="C6" s="12" t="n">
        <v>18222342</v>
      </c>
      <c r="D6" s="11" t="s">
        <v>118</v>
      </c>
      <c r="E6" s="27" t="s">
        <v>119</v>
      </c>
      <c r="F6" s="12" t="n">
        <f aca="false">C6/('Unit Costs'!$B$4*1000)</f>
        <v>911.1171</v>
      </c>
    </row>
    <row r="7" customFormat="false" ht="30" hidden="false" customHeight="true" outlineLevel="0" collapsed="false">
      <c r="A7" s="11" t="s">
        <v>120</v>
      </c>
      <c r="B7" s="11" t="s">
        <v>121</v>
      </c>
      <c r="C7" s="12" t="n">
        <v>43926100</v>
      </c>
      <c r="D7" s="11" t="s">
        <v>122</v>
      </c>
      <c r="E7" s="27" t="s">
        <v>123</v>
      </c>
      <c r="F7" s="12" t="n">
        <f aca="false">C7/('Unit Costs'!$B$4*1000)</f>
        <v>2196.305</v>
      </c>
    </row>
    <row r="8" customFormat="false" ht="30" hidden="false" customHeight="true" outlineLevel="0" collapsed="false">
      <c r="A8" s="11" t="s">
        <v>124</v>
      </c>
      <c r="B8" s="11" t="s">
        <v>125</v>
      </c>
      <c r="C8" s="12" t="n">
        <v>49200000</v>
      </c>
      <c r="D8" s="11" t="s">
        <v>122</v>
      </c>
      <c r="E8" s="27" t="s">
        <v>126</v>
      </c>
      <c r="F8" s="12" t="n">
        <f aca="false">C8/('Unit Costs'!$B$4*1000)</f>
        <v>2460</v>
      </c>
    </row>
    <row r="9" customFormat="false" ht="30" hidden="false" customHeight="true" outlineLevel="0" collapsed="false">
      <c r="A9" s="11" t="s">
        <v>127</v>
      </c>
      <c r="B9" s="11" t="s">
        <v>128</v>
      </c>
      <c r="C9" s="12" t="n">
        <v>4009000</v>
      </c>
      <c r="D9" s="11" t="s">
        <v>111</v>
      </c>
      <c r="E9" s="27" t="s">
        <v>129</v>
      </c>
      <c r="F9" s="12" t="n">
        <f aca="false">C9/('Unit Costs'!$B$4*1000)</f>
        <v>200.45</v>
      </c>
    </row>
    <row r="10" customFormat="false" ht="30" hidden="false" customHeight="true" outlineLevel="0" collapsed="false">
      <c r="A10" s="11" t="s">
        <v>130</v>
      </c>
      <c r="B10" s="11" t="s">
        <v>131</v>
      </c>
      <c r="C10" s="12" t="n">
        <v>5767000</v>
      </c>
      <c r="D10" s="11" t="s">
        <v>111</v>
      </c>
      <c r="E10" s="27" t="s">
        <v>132</v>
      </c>
      <c r="F10" s="12" t="n">
        <f aca="false">C10/('Unit Costs'!$B$4*1000)</f>
        <v>288.35</v>
      </c>
    </row>
    <row r="11" customFormat="false" ht="30" hidden="false" customHeight="true" outlineLevel="0" collapsed="false">
      <c r="A11" s="11" t="s">
        <v>133</v>
      </c>
      <c r="B11" s="11" t="s">
        <v>134</v>
      </c>
      <c r="C11" s="12" t="n">
        <v>12106850</v>
      </c>
      <c r="D11" s="11" t="s">
        <v>118</v>
      </c>
      <c r="E11" s="27" t="s">
        <v>135</v>
      </c>
      <c r="F11" s="12" t="n">
        <f aca="false">C11/('Unit Costs'!$B$4*1000)</f>
        <v>605.3425</v>
      </c>
    </row>
    <row r="12" customFormat="false" ht="30" hidden="false" customHeight="true" outlineLevel="0" collapsed="false">
      <c r="A12" s="11" t="s">
        <v>136</v>
      </c>
      <c r="B12" s="11" t="s">
        <v>137</v>
      </c>
      <c r="C12" s="12" t="n">
        <v>8914000</v>
      </c>
      <c r="D12" s="11" t="s">
        <v>111</v>
      </c>
      <c r="E12" s="27" t="s">
        <v>138</v>
      </c>
      <c r="F12" s="12" t="n">
        <f aca="false">C12/('Unit Costs'!$B$4*1000)</f>
        <v>445.7</v>
      </c>
    </row>
    <row r="13" customFormat="false" ht="30" hidden="false" customHeight="true" outlineLevel="0" collapsed="false">
      <c r="A13" s="11" t="s">
        <v>139</v>
      </c>
      <c r="B13" s="11" t="s">
        <v>140</v>
      </c>
      <c r="C13" s="12" t="n">
        <v>47201100</v>
      </c>
      <c r="D13" s="11" t="s">
        <v>122</v>
      </c>
      <c r="E13" s="27" t="s">
        <v>141</v>
      </c>
      <c r="F13" s="12" t="n">
        <f aca="false">C13/('Unit Costs'!$B$4*1000)</f>
        <v>2360.055</v>
      </c>
    </row>
    <row r="14" customFormat="false" ht="30" hidden="false" customHeight="true" outlineLevel="0" collapsed="false">
      <c r="A14" s="11" t="s">
        <v>142</v>
      </c>
      <c r="B14" s="11" t="s">
        <v>143</v>
      </c>
      <c r="C14" s="12" t="n">
        <v>51867100</v>
      </c>
      <c r="D14" s="11" t="s">
        <v>122</v>
      </c>
      <c r="E14" s="27" t="s">
        <v>144</v>
      </c>
      <c r="F14" s="12" t="n">
        <f aca="false">C14/('Unit Costs'!$B$4*1000)</f>
        <v>2593.355</v>
      </c>
    </row>
    <row r="15" customFormat="false" ht="30" hidden="false" customHeight="true" outlineLevel="0" collapsed="false">
      <c r="A15" s="11" t="s">
        <v>145</v>
      </c>
      <c r="B15" s="11" t="s">
        <v>146</v>
      </c>
      <c r="C15" s="12" t="n">
        <v>63640300</v>
      </c>
      <c r="D15" s="11" t="s">
        <v>122</v>
      </c>
      <c r="E15" s="27" t="s">
        <v>147</v>
      </c>
      <c r="F15" s="12" t="n">
        <f aca="false">C15/('Unit Costs'!$B$4*1000)</f>
        <v>3182.015</v>
      </c>
    </row>
    <row r="16" customFormat="false" ht="30" hidden="false" customHeight="true" outlineLevel="0" collapsed="false">
      <c r="A16" s="11" t="s">
        <v>148</v>
      </c>
      <c r="B16" s="11" t="s">
        <v>149</v>
      </c>
      <c r="C16" s="12" t="n">
        <v>57247300</v>
      </c>
      <c r="D16" s="11" t="s">
        <v>122</v>
      </c>
      <c r="E16" s="27" t="s">
        <v>150</v>
      </c>
      <c r="F16" s="12" t="n">
        <f aca="false">C16/('Unit Costs'!$B$4*1000)</f>
        <v>2862.365</v>
      </c>
    </row>
    <row r="18" customFormat="false" ht="15" hidden="false" customHeight="true" outlineLevel="0" collapsed="false">
      <c r="A18" s="3" t="s">
        <v>151</v>
      </c>
    </row>
    <row r="19" customFormat="false" ht="15" hidden="false" customHeight="true" outlineLevel="0" collapsed="false">
      <c r="A19" s="10" t="s">
        <v>152</v>
      </c>
      <c r="B19" s="10" t="s">
        <v>153</v>
      </c>
    </row>
    <row r="20" customFormat="false" ht="15" hidden="false" customHeight="true" outlineLevel="0" collapsed="false">
      <c r="A20" s="17" t="s">
        <v>109</v>
      </c>
      <c r="B20" s="17" t="s">
        <v>154</v>
      </c>
    </row>
    <row r="21" customFormat="false" ht="15" hidden="false" customHeight="true" outlineLevel="0" collapsed="false">
      <c r="A21" s="17" t="s">
        <v>120</v>
      </c>
      <c r="B21" s="17" t="s">
        <v>155</v>
      </c>
    </row>
    <row r="22" customFormat="false" ht="15" hidden="false" customHeight="true" outlineLevel="0" collapsed="false">
      <c r="A22" s="17" t="s">
        <v>124</v>
      </c>
      <c r="B22" s="17" t="s">
        <v>156</v>
      </c>
    </row>
    <row r="23" customFormat="false" ht="15" hidden="false" customHeight="true" outlineLevel="0" collapsed="false">
      <c r="A23" s="17" t="s">
        <v>157</v>
      </c>
      <c r="B23" s="17" t="s">
        <v>158</v>
      </c>
    </row>
    <row r="24" customFormat="false" ht="15" hidden="false" customHeight="true" outlineLevel="0" collapsed="false">
      <c r="A24" s="17" t="s">
        <v>136</v>
      </c>
      <c r="B24" s="17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10"/>
  </cols>
  <sheetData>
    <row r="1" customFormat="false" ht="17.25" hidden="false" customHeight="true" outlineLevel="0" collapsed="false">
      <c r="A1" s="2" t="s">
        <v>160</v>
      </c>
    </row>
    <row r="3" customFormat="false" ht="15" hidden="false" customHeight="true" outlineLevel="0" collapsed="false">
      <c r="A3" s="10" t="s">
        <v>161</v>
      </c>
      <c r="B3" s="10" t="s">
        <v>103</v>
      </c>
      <c r="C3" s="10" t="s">
        <v>162</v>
      </c>
      <c r="D3" s="10" t="s">
        <v>163</v>
      </c>
      <c r="E3" s="10" t="s">
        <v>164</v>
      </c>
    </row>
    <row r="4" customFormat="false" ht="60" hidden="false" customHeight="true" outlineLevel="0" collapsed="false">
      <c r="A4" s="11" t="s">
        <v>165</v>
      </c>
      <c r="B4" s="11" t="s">
        <v>166</v>
      </c>
      <c r="C4" s="12" t="n">
        <v>47201100</v>
      </c>
      <c r="D4" s="12" t="n">
        <v>0</v>
      </c>
      <c r="E4" s="14" t="s">
        <v>167</v>
      </c>
    </row>
    <row r="5" customFormat="false" ht="60" hidden="false" customHeight="true" outlineLevel="0" collapsed="false">
      <c r="A5" s="11" t="s">
        <v>168</v>
      </c>
      <c r="B5" s="11" t="s">
        <v>142</v>
      </c>
      <c r="C5" s="12" t="n">
        <v>51867100</v>
      </c>
      <c r="D5" s="12" t="n">
        <f aca="false">C5-C4</f>
        <v>4666000</v>
      </c>
      <c r="E5" s="14" t="s">
        <v>169</v>
      </c>
    </row>
    <row r="6" customFormat="false" ht="60" hidden="false" customHeight="true" outlineLevel="0" collapsed="false">
      <c r="A6" s="11" t="s">
        <v>170</v>
      </c>
      <c r="B6" s="11" t="s">
        <v>145</v>
      </c>
      <c r="C6" s="12" t="n">
        <v>63640300</v>
      </c>
      <c r="D6" s="12" t="n">
        <f aca="false">C6-C5</f>
        <v>11773200</v>
      </c>
      <c r="E6" s="14" t="s">
        <v>171</v>
      </c>
    </row>
    <row r="7" customFormat="false" ht="60" hidden="false" customHeight="true" outlineLevel="0" collapsed="false">
      <c r="A7" s="11" t="s">
        <v>172</v>
      </c>
      <c r="B7" s="11" t="s">
        <v>148</v>
      </c>
      <c r="C7" s="12" t="n">
        <v>57247300</v>
      </c>
      <c r="D7" s="12" t="n">
        <f aca="false">C7-C6</f>
        <v>-6393000</v>
      </c>
      <c r="E7" s="14" t="s">
        <v>173</v>
      </c>
    </row>
    <row r="9" customFormat="false" ht="15" hidden="false" customHeight="true" outlineLevel="0" collapsed="false">
      <c r="A9" s="1" t="s">
        <v>174</v>
      </c>
      <c r="C9" s="20" t="n">
        <v>43926100</v>
      </c>
    </row>
    <row r="10" customFormat="false" ht="15" hidden="false" customHeight="true" outlineLevel="0" collapsed="false">
      <c r="A10" s="1" t="s">
        <v>175</v>
      </c>
      <c r="C10" s="18" t="n">
        <f aca="false">C7-C9</f>
        <v>13321200</v>
      </c>
      <c r="D10" s="16" t="n">
        <f aca="false">C10/C9</f>
        <v>0.303263890944108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10"/>
  </cols>
  <sheetData>
    <row r="1" customFormat="false" ht="17.25" hidden="false" customHeight="true" outlineLevel="0" collapsed="false">
      <c r="A1" s="2" t="s">
        <v>176</v>
      </c>
    </row>
    <row r="3" customFormat="false" ht="15" hidden="false" customHeight="true" outlineLevel="0" collapsed="false">
      <c r="A3" s="10" t="s">
        <v>177</v>
      </c>
      <c r="B3" s="10" t="s">
        <v>178</v>
      </c>
      <c r="C3" s="10" t="s">
        <v>81</v>
      </c>
      <c r="D3" s="10" t="s">
        <v>179</v>
      </c>
    </row>
    <row r="4" customFormat="false" ht="45" hidden="false" customHeight="true" outlineLevel="0" collapsed="false">
      <c r="A4" s="11" t="s">
        <v>180</v>
      </c>
      <c r="B4" s="12" t="n">
        <v>11551925</v>
      </c>
      <c r="C4" s="12" t="n">
        <f aca="false">B4/('Unit Costs'!$B$4*1000)</f>
        <v>577.59625</v>
      </c>
      <c r="D4" s="14" t="s">
        <v>181</v>
      </c>
    </row>
    <row r="5" customFormat="false" ht="45" hidden="false" customHeight="true" outlineLevel="0" collapsed="false">
      <c r="A5" s="11" t="s">
        <v>182</v>
      </c>
      <c r="B5" s="12" t="n">
        <v>10532000</v>
      </c>
      <c r="C5" s="12" t="n">
        <f aca="false">B5/('Unit Costs'!$B$4*1000)</f>
        <v>526.6</v>
      </c>
      <c r="D5" s="14" t="s">
        <v>183</v>
      </c>
    </row>
    <row r="6" customFormat="false" ht="45" hidden="false" customHeight="true" outlineLevel="0" collapsed="false">
      <c r="A6" s="11" t="s">
        <v>184</v>
      </c>
      <c r="B6" s="12" t="n">
        <v>9586600</v>
      </c>
      <c r="C6" s="12" t="n">
        <f aca="false">B6/('Unit Costs'!$B$4*1000)</f>
        <v>479.33</v>
      </c>
      <c r="D6" s="14" t="s">
        <v>185</v>
      </c>
    </row>
    <row r="7" customFormat="false" ht="45" hidden="false" customHeight="true" outlineLevel="0" collapsed="false">
      <c r="A7" s="11" t="s">
        <v>186</v>
      </c>
      <c r="B7" s="12" t="n">
        <v>18222342</v>
      </c>
      <c r="C7" s="12" t="n">
        <f aca="false">B7/('Unit Costs'!$B$4*1000)</f>
        <v>911.1171</v>
      </c>
      <c r="D7" s="14" t="s">
        <v>187</v>
      </c>
    </row>
    <row r="8" customFormat="false" ht="45" hidden="false" customHeight="true" outlineLevel="0" collapsed="false">
      <c r="A8" s="11" t="s">
        <v>188</v>
      </c>
      <c r="B8" s="12" t="n">
        <v>11470000</v>
      </c>
      <c r="C8" s="12" t="n">
        <f aca="false">B8/('Unit Costs'!$B$4*1000)</f>
        <v>573.5</v>
      </c>
      <c r="D8" s="14" t="s">
        <v>189</v>
      </c>
    </row>
    <row r="9" customFormat="false" ht="45" hidden="false" customHeight="true" outlineLevel="0" collapsed="false">
      <c r="A9" s="11" t="s">
        <v>190</v>
      </c>
      <c r="B9" s="12" t="n">
        <v>13915000</v>
      </c>
      <c r="C9" s="12" t="n">
        <f aca="false">B9/('Unit Costs'!$B$4*1000)</f>
        <v>695.75</v>
      </c>
      <c r="D9" s="14" t="s">
        <v>191</v>
      </c>
    </row>
    <row r="11" customFormat="false" ht="15" hidden="false" customHeight="true" outlineLevel="0" collapsed="false">
      <c r="A11" s="3" t="s">
        <v>192</v>
      </c>
      <c r="B11" s="18" t="n">
        <f aca="false">MIN(B4:B9)</f>
        <v>9586600</v>
      </c>
    </row>
    <row r="12" customFormat="false" ht="15" hidden="false" customHeight="true" outlineLevel="0" collapsed="false">
      <c r="A12" s="3" t="s">
        <v>193</v>
      </c>
      <c r="B12" s="18" t="n">
        <f aca="false">MAX(B4:B9)</f>
        <v>18222342</v>
      </c>
    </row>
    <row r="13" customFormat="false" ht="15" hidden="false" customHeight="true" outlineLevel="0" collapsed="false">
      <c r="A13" s="3" t="s">
        <v>194</v>
      </c>
      <c r="B13" s="18" t="n">
        <f aca="false">MEDIAN(B4:B9)</f>
        <v>11510962.5</v>
      </c>
    </row>
    <row r="15" customFormat="false" ht="15" hidden="false" customHeight="true" outlineLevel="0" collapsed="false">
      <c r="A15" s="17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7" min="5" style="1" width="10"/>
    <col collapsed="false" customWidth="true" hidden="false" outlineLevel="0" max="8" min="8" style="1" width="60"/>
    <col collapsed="false" customWidth="true" hidden="false" outlineLevel="0" max="9" min="9" style="1" width="11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196</v>
      </c>
    </row>
    <row r="3" customFormat="false" ht="15" hidden="false" customHeight="true" outlineLevel="0" collapsed="false">
      <c r="A3" s="10" t="s">
        <v>197</v>
      </c>
      <c r="B3" s="10" t="s">
        <v>198</v>
      </c>
      <c r="C3" s="10" t="s">
        <v>199</v>
      </c>
      <c r="D3" s="10" t="s">
        <v>200</v>
      </c>
      <c r="E3" s="10" t="s">
        <v>201</v>
      </c>
      <c r="F3" s="10" t="s">
        <v>202</v>
      </c>
      <c r="G3" s="10" t="s">
        <v>203</v>
      </c>
      <c r="H3" s="10" t="s">
        <v>204</v>
      </c>
      <c r="I3" s="10" t="s">
        <v>205</v>
      </c>
      <c r="J3" s="10" t="s">
        <v>206</v>
      </c>
    </row>
    <row r="4" customFormat="false" ht="60" hidden="false" customHeight="true" outlineLevel="0" collapsed="false">
      <c r="A4" s="14" t="s">
        <v>207</v>
      </c>
      <c r="B4" s="14" t="n">
        <v>2025</v>
      </c>
      <c r="C4" s="14" t="s">
        <v>208</v>
      </c>
      <c r="D4" s="28" t="n">
        <v>70</v>
      </c>
      <c r="E4" s="14" t="s">
        <v>81</v>
      </c>
      <c r="F4" s="14" t="s">
        <v>209</v>
      </c>
      <c r="G4" s="14" t="s">
        <v>210</v>
      </c>
      <c r="H4" s="14" t="s">
        <v>211</v>
      </c>
      <c r="I4" s="29" t="s">
        <v>212</v>
      </c>
      <c r="J4" s="14" t="s">
        <v>213</v>
      </c>
    </row>
    <row r="5" customFormat="false" ht="60" hidden="false" customHeight="true" outlineLevel="0" collapsed="false">
      <c r="A5" s="14" t="s">
        <v>207</v>
      </c>
      <c r="B5" s="14" t="n">
        <v>2025</v>
      </c>
      <c r="C5" s="14" t="s">
        <v>214</v>
      </c>
      <c r="D5" s="28" t="n">
        <v>108</v>
      </c>
      <c r="E5" s="14" t="s">
        <v>81</v>
      </c>
      <c r="F5" s="14" t="s">
        <v>209</v>
      </c>
      <c r="G5" s="14" t="s">
        <v>210</v>
      </c>
      <c r="H5" s="14" t="s">
        <v>215</v>
      </c>
      <c r="I5" s="29" t="s">
        <v>212</v>
      </c>
      <c r="J5" s="14" t="s">
        <v>213</v>
      </c>
    </row>
    <row r="6" customFormat="false" ht="60" hidden="false" customHeight="true" outlineLevel="0" collapsed="false">
      <c r="A6" s="14" t="s">
        <v>216</v>
      </c>
      <c r="B6" s="14" t="n">
        <v>2026</v>
      </c>
      <c r="C6" s="14" t="s">
        <v>217</v>
      </c>
      <c r="D6" s="28" t="n">
        <v>203</v>
      </c>
      <c r="E6" s="14" t="s">
        <v>81</v>
      </c>
      <c r="F6" s="14" t="s">
        <v>218</v>
      </c>
      <c r="G6" s="14" t="s">
        <v>219</v>
      </c>
      <c r="H6" s="14" t="s">
        <v>220</v>
      </c>
      <c r="I6" s="29" t="s">
        <v>212</v>
      </c>
      <c r="J6" s="14" t="s">
        <v>221</v>
      </c>
    </row>
    <row r="7" customFormat="false" ht="60" hidden="false" customHeight="true" outlineLevel="0" collapsed="false">
      <c r="A7" s="14" t="s">
        <v>222</v>
      </c>
      <c r="B7" s="14" t="n">
        <v>2025</v>
      </c>
      <c r="C7" s="14" t="s">
        <v>223</v>
      </c>
      <c r="D7" s="28" t="n">
        <v>219</v>
      </c>
      <c r="E7" s="14" t="s">
        <v>81</v>
      </c>
      <c r="F7" s="14" t="s">
        <v>224</v>
      </c>
      <c r="G7" s="14" t="s">
        <v>225</v>
      </c>
      <c r="H7" s="14" t="s">
        <v>226</v>
      </c>
      <c r="I7" s="29" t="s">
        <v>212</v>
      </c>
      <c r="J7" s="14" t="s">
        <v>227</v>
      </c>
    </row>
    <row r="8" customFormat="false" ht="60" hidden="false" customHeight="true" outlineLevel="0" collapsed="false">
      <c r="A8" s="14" t="s">
        <v>222</v>
      </c>
      <c r="B8" s="14" t="n">
        <v>2024</v>
      </c>
      <c r="C8" s="14" t="s">
        <v>223</v>
      </c>
      <c r="D8" s="28" t="n">
        <v>236</v>
      </c>
      <c r="E8" s="14" t="s">
        <v>81</v>
      </c>
      <c r="F8" s="14" t="s">
        <v>224</v>
      </c>
      <c r="G8" s="14" t="s">
        <v>228</v>
      </c>
      <c r="H8" s="14" t="s">
        <v>229</v>
      </c>
      <c r="I8" s="29" t="s">
        <v>212</v>
      </c>
      <c r="J8" s="14" t="s">
        <v>230</v>
      </c>
    </row>
    <row r="9" customFormat="false" ht="60" hidden="false" customHeight="true" outlineLevel="0" collapsed="false">
      <c r="A9" s="14" t="s">
        <v>222</v>
      </c>
      <c r="B9" s="14" t="n">
        <v>2023</v>
      </c>
      <c r="C9" s="14" t="s">
        <v>231</v>
      </c>
      <c r="D9" s="28" t="n">
        <v>263</v>
      </c>
      <c r="E9" s="14" t="s">
        <v>81</v>
      </c>
      <c r="F9" s="14" t="s">
        <v>224</v>
      </c>
      <c r="G9" s="14" t="s">
        <v>232</v>
      </c>
      <c r="H9" s="14" t="s">
        <v>229</v>
      </c>
      <c r="I9" s="29" t="s">
        <v>212</v>
      </c>
      <c r="J9" s="14" t="s">
        <v>233</v>
      </c>
    </row>
    <row r="10" customFormat="false" ht="60" hidden="false" customHeight="true" outlineLevel="0" collapsed="false">
      <c r="A10" s="14" t="s">
        <v>234</v>
      </c>
      <c r="B10" s="14" t="n">
        <v>2025</v>
      </c>
      <c r="C10" s="14" t="s">
        <v>235</v>
      </c>
      <c r="D10" s="28" t="n">
        <v>334</v>
      </c>
      <c r="E10" s="14" t="s">
        <v>81</v>
      </c>
      <c r="F10" s="14" t="s">
        <v>236</v>
      </c>
      <c r="G10" s="14" t="s">
        <v>237</v>
      </c>
      <c r="H10" s="14" t="s">
        <v>238</v>
      </c>
      <c r="I10" s="30" t="s">
        <v>193</v>
      </c>
      <c r="J10" s="14" t="s">
        <v>239</v>
      </c>
    </row>
    <row r="11" customFormat="false" ht="60" hidden="false" customHeight="true" outlineLevel="0" collapsed="false">
      <c r="A11" s="14" t="s">
        <v>240</v>
      </c>
      <c r="B11" s="14" t="n">
        <v>2024</v>
      </c>
      <c r="C11" s="14" t="s">
        <v>241</v>
      </c>
      <c r="D11" s="28" t="n">
        <v>436</v>
      </c>
      <c r="E11" s="14" t="s">
        <v>81</v>
      </c>
      <c r="F11" s="14" t="s">
        <v>242</v>
      </c>
      <c r="G11" s="14" t="s">
        <v>232</v>
      </c>
      <c r="H11" s="14" t="s">
        <v>243</v>
      </c>
      <c r="I11" s="30" t="s">
        <v>193</v>
      </c>
      <c r="J11" s="14" t="s">
        <v>244</v>
      </c>
    </row>
    <row r="12" customFormat="false" ht="60" hidden="false" customHeight="true" outlineLevel="0" collapsed="false">
      <c r="A12" s="14" t="s">
        <v>245</v>
      </c>
      <c r="B12" s="14" t="n">
        <v>2025</v>
      </c>
      <c r="C12" s="14" t="s">
        <v>246</v>
      </c>
      <c r="D12" s="28" t="n">
        <v>458</v>
      </c>
      <c r="E12" s="14" t="s">
        <v>81</v>
      </c>
      <c r="F12" s="14" t="s">
        <v>247</v>
      </c>
      <c r="G12" s="14" t="s">
        <v>228</v>
      </c>
      <c r="H12" s="14" t="s">
        <v>248</v>
      </c>
      <c r="I12" s="30" t="s">
        <v>193</v>
      </c>
      <c r="J12" s="14" t="s">
        <v>249</v>
      </c>
    </row>
    <row r="13" customFormat="false" ht="60" hidden="false" customHeight="true" outlineLevel="0" collapsed="false">
      <c r="A13" s="14" t="s">
        <v>250</v>
      </c>
      <c r="B13" s="14" t="n">
        <v>2023</v>
      </c>
      <c r="C13" s="14" t="s">
        <v>251</v>
      </c>
      <c r="D13" s="28" t="n">
        <v>1361</v>
      </c>
      <c r="E13" s="14" t="s">
        <v>80</v>
      </c>
      <c r="F13" s="14" t="s">
        <v>252</v>
      </c>
      <c r="G13" s="14" t="s">
        <v>253</v>
      </c>
      <c r="H13" s="14" t="s">
        <v>254</v>
      </c>
      <c r="I13" s="30" t="s">
        <v>193</v>
      </c>
      <c r="J13" s="14" t="s">
        <v>255</v>
      </c>
    </row>
    <row r="14" customFormat="false" ht="60" hidden="false" customHeight="true" outlineLevel="0" collapsed="false">
      <c r="A14" s="14" t="s">
        <v>256</v>
      </c>
      <c r="B14" s="14" t="n">
        <v>2026</v>
      </c>
      <c r="C14" s="14" t="s">
        <v>257</v>
      </c>
      <c r="D14" s="28" t="n">
        <v>916</v>
      </c>
      <c r="E14" s="14" t="s">
        <v>80</v>
      </c>
      <c r="F14" s="14" t="s">
        <v>258</v>
      </c>
      <c r="G14" s="14" t="s">
        <v>259</v>
      </c>
      <c r="H14" s="14" t="s">
        <v>260</v>
      </c>
      <c r="I14" s="29" t="s">
        <v>212</v>
      </c>
      <c r="J14" s="14" t="s">
        <v>261</v>
      </c>
    </row>
    <row r="15" customFormat="false" ht="60" hidden="false" customHeight="true" outlineLevel="0" collapsed="false">
      <c r="A15" s="14" t="s">
        <v>262</v>
      </c>
      <c r="B15" s="14" t="n">
        <v>2023</v>
      </c>
      <c r="C15" s="14" t="s">
        <v>263</v>
      </c>
      <c r="D15" s="28" t="n">
        <v>230</v>
      </c>
      <c r="E15" s="14" t="s">
        <v>80</v>
      </c>
      <c r="F15" s="14" t="s">
        <v>209</v>
      </c>
      <c r="G15" s="14" t="s">
        <v>264</v>
      </c>
      <c r="H15" s="14" t="s">
        <v>265</v>
      </c>
      <c r="I15" s="30" t="s">
        <v>193</v>
      </c>
      <c r="J15" s="14" t="s">
        <v>266</v>
      </c>
    </row>
    <row r="16" customFormat="false" ht="60" hidden="false" customHeight="true" outlineLevel="0" collapsed="false">
      <c r="A16" s="14" t="s">
        <v>267</v>
      </c>
      <c r="B16" s="14" t="n">
        <v>2023</v>
      </c>
      <c r="C16" s="14" t="s">
        <v>268</v>
      </c>
      <c r="D16" s="28" t="n">
        <v>584</v>
      </c>
      <c r="E16" s="14" t="s">
        <v>81</v>
      </c>
      <c r="F16" s="14" t="s">
        <v>269</v>
      </c>
      <c r="G16" s="14" t="s">
        <v>270</v>
      </c>
      <c r="H16" s="14" t="s">
        <v>271</v>
      </c>
      <c r="I16" s="29" t="s">
        <v>212</v>
      </c>
      <c r="J16" s="14" t="s">
        <v>272</v>
      </c>
    </row>
    <row r="17" customFormat="false" ht="60" hidden="false" customHeight="true" outlineLevel="0" collapsed="false">
      <c r="A17" s="14" t="s">
        <v>273</v>
      </c>
      <c r="B17" s="14" t="n">
        <v>2021</v>
      </c>
      <c r="C17" s="14" t="s">
        <v>274</v>
      </c>
      <c r="D17" s="28" t="n">
        <v>570</v>
      </c>
      <c r="E17" s="14" t="s">
        <v>81</v>
      </c>
      <c r="F17" s="14" t="s">
        <v>275</v>
      </c>
      <c r="G17" s="14" t="s">
        <v>276</v>
      </c>
      <c r="H17" s="14" t="s">
        <v>277</v>
      </c>
      <c r="I17" s="30" t="s">
        <v>193</v>
      </c>
      <c r="J17" s="14" t="s">
        <v>278</v>
      </c>
    </row>
    <row r="18" customFormat="false" ht="60" hidden="false" customHeight="true" outlineLevel="0" collapsed="false">
      <c r="A18" s="14" t="s">
        <v>279</v>
      </c>
      <c r="B18" s="14" t="n">
        <v>2023</v>
      </c>
      <c r="C18" s="14" t="s">
        <v>280</v>
      </c>
      <c r="D18" s="28" t="n">
        <v>513</v>
      </c>
      <c r="E18" s="14" t="s">
        <v>81</v>
      </c>
      <c r="F18" s="14" t="s">
        <v>281</v>
      </c>
      <c r="G18" s="14" t="s">
        <v>232</v>
      </c>
      <c r="H18" s="14" t="s">
        <v>282</v>
      </c>
      <c r="I18" s="30" t="s">
        <v>193</v>
      </c>
      <c r="J18" s="14" t="s">
        <v>283</v>
      </c>
    </row>
    <row r="19" customFormat="false" ht="60" hidden="false" customHeight="true" outlineLevel="0" collapsed="false">
      <c r="A19" s="14" t="s">
        <v>284</v>
      </c>
      <c r="B19" s="14" t="n">
        <v>2018</v>
      </c>
      <c r="C19" s="14" t="s">
        <v>285</v>
      </c>
      <c r="D19" s="28" t="n">
        <v>893</v>
      </c>
      <c r="E19" s="14" t="s">
        <v>81</v>
      </c>
      <c r="F19" s="14" t="s">
        <v>286</v>
      </c>
      <c r="G19" s="14" t="s">
        <v>287</v>
      </c>
      <c r="H19" s="14" t="s">
        <v>288</v>
      </c>
      <c r="I19" s="29" t="s">
        <v>212</v>
      </c>
      <c r="J19" s="14" t="s">
        <v>289</v>
      </c>
    </row>
    <row r="20" customFormat="false" ht="60" hidden="false" customHeight="true" outlineLevel="0" collapsed="false">
      <c r="A20" s="14" t="s">
        <v>290</v>
      </c>
      <c r="B20" s="14" t="n">
        <v>2019</v>
      </c>
      <c r="C20" s="14" t="s">
        <v>291</v>
      </c>
      <c r="D20" s="28" t="n">
        <v>750</v>
      </c>
      <c r="E20" s="14" t="s">
        <v>81</v>
      </c>
      <c r="F20" s="14" t="s">
        <v>292</v>
      </c>
      <c r="G20" s="14" t="s">
        <v>293</v>
      </c>
      <c r="H20" s="14" t="s">
        <v>294</v>
      </c>
      <c r="I20" s="29" t="s">
        <v>212</v>
      </c>
      <c r="J20" s="14" t="s">
        <v>295</v>
      </c>
    </row>
    <row r="21" customFormat="false" ht="60" hidden="false" customHeight="true" outlineLevel="0" collapsed="false">
      <c r="A21" s="14" t="s">
        <v>296</v>
      </c>
      <c r="B21" s="14" t="n">
        <v>2022</v>
      </c>
      <c r="C21" s="14" t="s">
        <v>297</v>
      </c>
      <c r="D21" s="28" t="n">
        <v>1289</v>
      </c>
      <c r="E21" s="14" t="s">
        <v>81</v>
      </c>
      <c r="F21" s="14" t="s">
        <v>298</v>
      </c>
      <c r="G21" s="14" t="s">
        <v>299</v>
      </c>
      <c r="H21" s="14" t="s">
        <v>300</v>
      </c>
      <c r="I21" s="30" t="s">
        <v>193</v>
      </c>
      <c r="J21" s="14" t="s">
        <v>301</v>
      </c>
    </row>
    <row r="23" customFormat="false" ht="15" hidden="false" customHeight="true" outlineLevel="0" collapsed="false">
      <c r="A23" s="3" t="s">
        <v>302</v>
      </c>
    </row>
    <row r="24" customFormat="false" ht="15" hidden="false" customHeight="true" outlineLevel="0" collapsed="false">
      <c r="A24" s="17" t="s">
        <v>303</v>
      </c>
      <c r="D24" s="31" t="n">
        <f aca="false">10638000/('Unit Costs'!$B$4*1000)</f>
        <v>531.9</v>
      </c>
      <c r="E24" s="17" t="s">
        <v>81</v>
      </c>
    </row>
    <row r="25" customFormat="false" ht="15" hidden="false" customHeight="true" outlineLevel="0" collapsed="false">
      <c r="A25" s="17" t="s">
        <v>304</v>
      </c>
      <c r="D25" s="31" t="n">
        <f aca="false">'Unit Costs'!D7</f>
        <v>605.3425</v>
      </c>
      <c r="E25" s="17" t="s">
        <v>81</v>
      </c>
    </row>
    <row r="26" customFormat="false" ht="15" hidden="false" customHeight="true" outlineLevel="0" collapsed="false">
      <c r="A26" s="17" t="s">
        <v>305</v>
      </c>
      <c r="D26" s="31" t="n">
        <f aca="false">'Unit Costs'!D9</f>
        <v>832.862594318262</v>
      </c>
      <c r="E26" s="17" t="s">
        <v>81</v>
      </c>
    </row>
    <row r="27" customFormat="false" ht="15" hidden="false" customHeight="true" outlineLevel="0" collapsed="false">
      <c r="A27" s="17" t="s">
        <v>306</v>
      </c>
      <c r="D27" s="31" t="n">
        <f aca="false">'Unit Costs'!D10</f>
        <v>1483.26468180641</v>
      </c>
      <c r="E27" s="17" t="s">
        <v>81</v>
      </c>
    </row>
    <row r="28" customFormat="false" ht="15" hidden="false" customHeight="true" outlineLevel="0" collapsed="false">
      <c r="A28" s="17" t="s">
        <v>307</v>
      </c>
      <c r="D28" s="31" t="n">
        <f aca="false">'Unit Costs'!D11</f>
        <v>2499.71910944753</v>
      </c>
      <c r="E28" s="17" t="s">
        <v>81</v>
      </c>
    </row>
    <row r="29" customFormat="false" ht="15" hidden="false" customHeight="true" outlineLevel="0" collapsed="false">
      <c r="A29" s="17" t="s">
        <v>308</v>
      </c>
      <c r="D29" s="31" t="n">
        <f aca="false">'Unit Costs'!D12</f>
        <v>2862.37719671208</v>
      </c>
      <c r="E29" s="17" t="s">
        <v>81</v>
      </c>
    </row>
    <row r="30" customFormat="false" ht="15" hidden="false" customHeight="true" outlineLevel="0" collapsed="false">
      <c r="A30" s="17" t="s">
        <v>309</v>
      </c>
      <c r="D30" s="31" t="n">
        <f aca="false">'Unit Costs'!D13</f>
        <v>3102.02719671208</v>
      </c>
      <c r="E30" s="17" t="s">
        <v>81</v>
      </c>
    </row>
    <row r="32" customFormat="false" ht="39.75" hidden="false" customHeight="true" outlineLevel="0" collapsed="false">
      <c r="A32" s="32" t="s">
        <v>310</v>
      </c>
      <c r="B32" s="32"/>
      <c r="C32" s="32"/>
      <c r="D32" s="32"/>
      <c r="E32" s="32"/>
      <c r="F32" s="32"/>
      <c r="G32" s="32"/>
      <c r="H32" s="32"/>
    </row>
    <row r="34" customFormat="false" ht="15" hidden="false" customHeight="true" outlineLevel="0" collapsed="false">
      <c r="A34" s="3" t="s">
        <v>311</v>
      </c>
    </row>
    <row r="35" customFormat="false" ht="45" hidden="false" customHeight="true" outlineLevel="0" collapsed="false">
      <c r="A35" s="14" t="s">
        <v>312</v>
      </c>
      <c r="B35" s="14" t="n">
        <v>2023</v>
      </c>
      <c r="C35" s="14" t="s">
        <v>313</v>
      </c>
      <c r="D35" s="33" t="n">
        <v>148</v>
      </c>
      <c r="E35" s="14" t="s">
        <v>80</v>
      </c>
      <c r="F35" s="14" t="s">
        <v>209</v>
      </c>
      <c r="G35" s="14" t="s">
        <v>314</v>
      </c>
      <c r="H35" s="14" t="s">
        <v>315</v>
      </c>
      <c r="I35" s="14" t="s">
        <v>193</v>
      </c>
      <c r="J35" s="14" t="s">
        <v>316</v>
      </c>
    </row>
    <row r="36" customFormat="false" ht="45" hidden="false" customHeight="true" outlineLevel="0" collapsed="false">
      <c r="A36" s="14" t="s">
        <v>317</v>
      </c>
      <c r="B36" s="14" t="n">
        <v>2026</v>
      </c>
      <c r="C36" s="14" t="s">
        <v>318</v>
      </c>
      <c r="D36" s="33" t="n">
        <v>664</v>
      </c>
      <c r="E36" s="14" t="s">
        <v>80</v>
      </c>
      <c r="F36" s="14" t="s">
        <v>209</v>
      </c>
      <c r="G36" s="14" t="s">
        <v>219</v>
      </c>
      <c r="H36" s="14" t="s">
        <v>319</v>
      </c>
      <c r="I36" s="14" t="s">
        <v>320</v>
      </c>
      <c r="J36" s="14" t="s">
        <v>321</v>
      </c>
    </row>
    <row r="37" customFormat="false" ht="45" hidden="false" customHeight="true" outlineLevel="0" collapsed="false">
      <c r="A37" s="14" t="s">
        <v>322</v>
      </c>
      <c r="B37" s="14" t="n">
        <v>2023</v>
      </c>
      <c r="C37" s="14" t="s">
        <v>323</v>
      </c>
      <c r="D37" s="33" t="n">
        <v>76</v>
      </c>
      <c r="E37" s="14" t="s">
        <v>80</v>
      </c>
      <c r="F37" s="14" t="s">
        <v>209</v>
      </c>
      <c r="G37" s="14" t="s">
        <v>324</v>
      </c>
      <c r="H37" s="14" t="s">
        <v>325</v>
      </c>
      <c r="I37" s="14" t="s">
        <v>193</v>
      </c>
      <c r="J37" s="14" t="s">
        <v>326</v>
      </c>
    </row>
    <row r="38" customFormat="false" ht="45" hidden="false" customHeight="true" outlineLevel="0" collapsed="false">
      <c r="A38" s="14" t="s">
        <v>327</v>
      </c>
      <c r="B38" s="14" t="n">
        <v>2023</v>
      </c>
      <c r="C38" s="14" t="s">
        <v>328</v>
      </c>
      <c r="D38" s="33" t="n">
        <v>335</v>
      </c>
      <c r="E38" s="14" t="s">
        <v>80</v>
      </c>
      <c r="F38" s="14" t="s">
        <v>209</v>
      </c>
      <c r="G38" s="14" t="s">
        <v>324</v>
      </c>
      <c r="H38" s="14" t="s">
        <v>329</v>
      </c>
      <c r="I38" s="14" t="s">
        <v>193</v>
      </c>
      <c r="J38" s="14" t="s">
        <v>330</v>
      </c>
    </row>
    <row r="39" customFormat="false" ht="45" hidden="false" customHeight="true" outlineLevel="0" collapsed="false">
      <c r="A39" s="14" t="s">
        <v>331</v>
      </c>
      <c r="B39" s="14" t="n">
        <v>2022</v>
      </c>
      <c r="C39" s="14" t="s">
        <v>332</v>
      </c>
      <c r="D39" s="33" t="n">
        <v>248</v>
      </c>
      <c r="E39" s="14" t="s">
        <v>80</v>
      </c>
      <c r="F39" s="14" t="s">
        <v>209</v>
      </c>
      <c r="G39" s="14" t="s">
        <v>324</v>
      </c>
      <c r="H39" s="14"/>
      <c r="I39" s="14" t="s">
        <v>193</v>
      </c>
      <c r="J39" s="14" t="s">
        <v>333</v>
      </c>
    </row>
    <row r="40" customFormat="false" ht="45" hidden="false" customHeight="true" outlineLevel="0" collapsed="false">
      <c r="A40" s="14" t="s">
        <v>334</v>
      </c>
      <c r="B40" s="14" t="n">
        <v>2025</v>
      </c>
      <c r="C40" s="14" t="s">
        <v>335</v>
      </c>
      <c r="D40" s="33" t="n">
        <v>524</v>
      </c>
      <c r="E40" s="14" t="s">
        <v>81</v>
      </c>
      <c r="F40" s="14" t="s">
        <v>209</v>
      </c>
      <c r="G40" s="14" t="s">
        <v>336</v>
      </c>
      <c r="H40" s="14" t="s">
        <v>337</v>
      </c>
      <c r="I40" s="14" t="s">
        <v>193</v>
      </c>
      <c r="J40" s="14" t="s">
        <v>338</v>
      </c>
    </row>
    <row r="41" customFormat="false" ht="45" hidden="false" customHeight="true" outlineLevel="0" collapsed="false">
      <c r="A41" s="14" t="s">
        <v>339</v>
      </c>
      <c r="B41" s="14" t="n">
        <v>2026</v>
      </c>
      <c r="C41" s="14" t="s">
        <v>340</v>
      </c>
      <c r="D41" s="33" t="n">
        <v>325</v>
      </c>
      <c r="E41" s="14" t="s">
        <v>81</v>
      </c>
      <c r="F41" s="14" t="s">
        <v>341</v>
      </c>
      <c r="G41" s="14" t="s">
        <v>219</v>
      </c>
      <c r="H41" s="14" t="s">
        <v>342</v>
      </c>
      <c r="I41" s="14" t="s">
        <v>212</v>
      </c>
      <c r="J41" s="14" t="s">
        <v>343</v>
      </c>
    </row>
  </sheetData>
  <mergeCells count="1"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60"/>
    <col collapsed="false" customWidth="true" hidden="false" outlineLevel="0" max="6" min="6" style="1" width="12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34" t="s">
        <v>344</v>
      </c>
    </row>
    <row r="2" customFormat="false" ht="15" hidden="false" customHeight="true" outlineLevel="0" collapsed="false">
      <c r="A2" s="35" t="s">
        <v>345</v>
      </c>
    </row>
    <row r="4" customFormat="false" ht="15" hidden="false" customHeight="true" outlineLevel="0" collapsed="false">
      <c r="A4" s="5" t="s">
        <v>346</v>
      </c>
    </row>
    <row r="5" customFormat="false" ht="15" hidden="false" customHeight="true" outlineLevel="0" collapsed="false">
      <c r="A5" s="36" t="s">
        <v>198</v>
      </c>
      <c r="B5" s="36" t="s">
        <v>347</v>
      </c>
      <c r="C5" s="36" t="s">
        <v>81</v>
      </c>
      <c r="D5" s="36" t="s">
        <v>348</v>
      </c>
      <c r="E5" s="36" t="s">
        <v>349</v>
      </c>
      <c r="F5" s="36" t="s">
        <v>205</v>
      </c>
      <c r="G5" s="36" t="s">
        <v>197</v>
      </c>
    </row>
    <row r="6" customFormat="false" ht="15" hidden="false" customHeight="true" outlineLevel="0" collapsed="false">
      <c r="A6" s="37" t="n">
        <v>2015</v>
      </c>
      <c r="B6" s="6" t="s">
        <v>350</v>
      </c>
      <c r="C6" s="37" t="n">
        <v>2152</v>
      </c>
      <c r="D6" s="6" t="s">
        <v>351</v>
      </c>
      <c r="E6" s="6" t="s">
        <v>352</v>
      </c>
      <c r="F6" s="6" t="s">
        <v>193</v>
      </c>
      <c r="G6" s="6" t="s">
        <v>353</v>
      </c>
    </row>
    <row r="7" customFormat="false" ht="15" hidden="false" customHeight="true" outlineLevel="0" collapsed="false">
      <c r="A7" s="37" t="n">
        <v>2017</v>
      </c>
      <c r="B7" s="6" t="s">
        <v>350</v>
      </c>
      <c r="C7" s="37" t="n">
        <v>834</v>
      </c>
      <c r="D7" s="6" t="s">
        <v>351</v>
      </c>
      <c r="E7" s="6" t="s">
        <v>352</v>
      </c>
      <c r="F7" s="6" t="s">
        <v>193</v>
      </c>
      <c r="G7" s="6" t="s">
        <v>353</v>
      </c>
    </row>
    <row r="8" customFormat="false" ht="15" hidden="false" customHeight="true" outlineLevel="0" collapsed="false">
      <c r="A8" s="37" t="n">
        <v>2018</v>
      </c>
      <c r="B8" s="6" t="s">
        <v>350</v>
      </c>
      <c r="C8" s="37" t="n">
        <v>625</v>
      </c>
      <c r="D8" s="6" t="s">
        <v>351</v>
      </c>
      <c r="E8" s="6" t="s">
        <v>352</v>
      </c>
      <c r="F8" s="6" t="s">
        <v>193</v>
      </c>
      <c r="G8" s="6" t="s">
        <v>353</v>
      </c>
    </row>
    <row r="9" customFormat="false" ht="15" hidden="false" customHeight="true" outlineLevel="0" collapsed="false">
      <c r="A9" s="37" t="n">
        <v>2022</v>
      </c>
      <c r="B9" s="6" t="s">
        <v>354</v>
      </c>
      <c r="C9" s="37" t="n">
        <v>324</v>
      </c>
      <c r="D9" s="6" t="s">
        <v>355</v>
      </c>
      <c r="E9" s="6" t="s">
        <v>356</v>
      </c>
      <c r="F9" s="6" t="s">
        <v>212</v>
      </c>
      <c r="G9" s="6" t="s">
        <v>357</v>
      </c>
    </row>
    <row r="10" customFormat="false" ht="15" hidden="false" customHeight="true" outlineLevel="0" collapsed="false">
      <c r="A10" s="37" t="n">
        <v>2023</v>
      </c>
      <c r="B10" s="6" t="s">
        <v>354</v>
      </c>
      <c r="C10" s="37" t="n">
        <v>263</v>
      </c>
      <c r="D10" s="6" t="s">
        <v>355</v>
      </c>
      <c r="E10" s="6" t="s">
        <v>356</v>
      </c>
      <c r="F10" s="6" t="s">
        <v>212</v>
      </c>
      <c r="G10" s="6" t="s">
        <v>357</v>
      </c>
    </row>
    <row r="11" customFormat="false" ht="15" hidden="false" customHeight="true" outlineLevel="0" collapsed="false">
      <c r="A11" s="37" t="n">
        <v>2024</v>
      </c>
      <c r="B11" s="6" t="s">
        <v>354</v>
      </c>
      <c r="C11" s="37" t="n">
        <v>165</v>
      </c>
      <c r="D11" s="6" t="s">
        <v>355</v>
      </c>
      <c r="E11" s="6" t="s">
        <v>356</v>
      </c>
      <c r="F11" s="6" t="s">
        <v>212</v>
      </c>
      <c r="G11" s="6" t="s">
        <v>357</v>
      </c>
    </row>
    <row r="12" customFormat="false" ht="15" hidden="false" customHeight="true" outlineLevel="0" collapsed="false">
      <c r="A12" s="37" t="n">
        <v>2025</v>
      </c>
      <c r="B12" s="6" t="s">
        <v>354</v>
      </c>
      <c r="C12" s="37" t="n">
        <v>117</v>
      </c>
      <c r="D12" s="6" t="s">
        <v>355</v>
      </c>
      <c r="E12" s="6" t="s">
        <v>356</v>
      </c>
      <c r="F12" s="6" t="s">
        <v>212</v>
      </c>
      <c r="G12" s="6" t="s">
        <v>357</v>
      </c>
    </row>
    <row r="13" customFormat="false" ht="15" hidden="false" customHeight="true" outlineLevel="0" collapsed="false">
      <c r="A13" s="37" t="n">
        <v>2024</v>
      </c>
      <c r="B13" s="6" t="s">
        <v>358</v>
      </c>
      <c r="C13" s="37" t="n">
        <v>236</v>
      </c>
      <c r="D13" s="6" t="s">
        <v>355</v>
      </c>
      <c r="E13" s="6" t="s">
        <v>359</v>
      </c>
      <c r="F13" s="6" t="s">
        <v>212</v>
      </c>
      <c r="G13" s="6" t="s">
        <v>227</v>
      </c>
    </row>
    <row r="14" customFormat="false" ht="15" hidden="false" customHeight="true" outlineLevel="0" collapsed="false">
      <c r="A14" s="37" t="n">
        <v>2025</v>
      </c>
      <c r="B14" s="6" t="s">
        <v>358</v>
      </c>
      <c r="C14" s="37" t="n">
        <v>219</v>
      </c>
      <c r="D14" s="6" t="s">
        <v>355</v>
      </c>
      <c r="E14" s="6" t="s">
        <v>359</v>
      </c>
      <c r="F14" s="6" t="s">
        <v>212</v>
      </c>
      <c r="G14" s="6" t="s">
        <v>227</v>
      </c>
    </row>
    <row r="15" customFormat="false" ht="15" hidden="false" customHeight="true" outlineLevel="0" collapsed="false">
      <c r="A15" s="37" t="n">
        <v>2024</v>
      </c>
      <c r="B15" s="6" t="s">
        <v>360</v>
      </c>
      <c r="C15" s="37" t="n">
        <v>334</v>
      </c>
      <c r="D15" s="6" t="s">
        <v>361</v>
      </c>
      <c r="E15" s="6" t="s">
        <v>362</v>
      </c>
      <c r="F15" s="6" t="s">
        <v>363</v>
      </c>
      <c r="G15" s="6" t="s">
        <v>239</v>
      </c>
    </row>
    <row r="16" customFormat="false" ht="15" hidden="false" customHeight="true" outlineLevel="0" collapsed="false">
      <c r="A16" s="37" t="n">
        <v>2028</v>
      </c>
      <c r="B16" s="6" t="s">
        <v>360</v>
      </c>
      <c r="C16" s="37" t="n">
        <v>302</v>
      </c>
      <c r="D16" s="6" t="s">
        <v>361</v>
      </c>
      <c r="E16" s="6" t="s">
        <v>362</v>
      </c>
      <c r="F16" s="6" t="s">
        <v>363</v>
      </c>
      <c r="G16" s="6" t="s">
        <v>239</v>
      </c>
    </row>
    <row r="17" customFormat="false" ht="15" hidden="false" customHeight="true" outlineLevel="0" collapsed="false">
      <c r="A17" s="37" t="n">
        <v>2035</v>
      </c>
      <c r="B17" s="6" t="s">
        <v>360</v>
      </c>
      <c r="C17" s="37" t="n">
        <v>247</v>
      </c>
      <c r="D17" s="6" t="s">
        <v>361</v>
      </c>
      <c r="E17" s="6" t="s">
        <v>362</v>
      </c>
      <c r="F17" s="6" t="s">
        <v>363</v>
      </c>
      <c r="G17" s="6" t="s">
        <v>239</v>
      </c>
    </row>
    <row r="19" customFormat="false" ht="15" hidden="false" customHeight="true" outlineLevel="0" collapsed="false">
      <c r="A19" s="5" t="s">
        <v>364</v>
      </c>
    </row>
    <row r="20" customFormat="false" ht="15" hidden="false" customHeight="true" outlineLevel="0" collapsed="false">
      <c r="A20" s="36" t="s">
        <v>365</v>
      </c>
      <c r="B20" s="36" t="s">
        <v>366</v>
      </c>
      <c r="C20" s="36" t="s">
        <v>81</v>
      </c>
      <c r="D20" s="36" t="s">
        <v>367</v>
      </c>
    </row>
    <row r="21" customFormat="false" ht="15" hidden="false" customHeight="true" outlineLevel="0" collapsed="false">
      <c r="A21" s="37" t="n">
        <v>2023.5</v>
      </c>
      <c r="B21" s="6" t="s">
        <v>368</v>
      </c>
      <c r="C21" s="38" t="n">
        <v>479</v>
      </c>
      <c r="D21" s="6" t="s">
        <v>369</v>
      </c>
    </row>
    <row r="22" customFormat="false" ht="15" hidden="false" customHeight="true" outlineLevel="0" collapsed="false">
      <c r="A22" s="37" t="n">
        <v>2023.5</v>
      </c>
      <c r="B22" s="6" t="s">
        <v>370</v>
      </c>
      <c r="C22" s="38" t="n">
        <v>911</v>
      </c>
      <c r="D22" s="6" t="s">
        <v>369</v>
      </c>
    </row>
    <row r="23" customFormat="false" ht="15" hidden="false" customHeight="true" outlineLevel="0" collapsed="false">
      <c r="A23" s="37" t="n">
        <v>2026.2</v>
      </c>
      <c r="B23" s="6" t="s">
        <v>371</v>
      </c>
      <c r="C23" s="39" t="n">
        <f aca="false">Layers!B25/20000*10638000/12106850</f>
        <v>531.9</v>
      </c>
      <c r="D23" s="6" t="s">
        <v>372</v>
      </c>
    </row>
    <row r="24" customFormat="false" ht="15" hidden="false" customHeight="true" outlineLevel="0" collapsed="false">
      <c r="A24" s="37" t="n">
        <v>2026.2</v>
      </c>
      <c r="B24" s="6" t="s">
        <v>373</v>
      </c>
      <c r="C24" s="39" t="n">
        <f aca="false">Layers!B25/20000</f>
        <v>605.3425</v>
      </c>
      <c r="D24" s="6" t="s">
        <v>374</v>
      </c>
    </row>
    <row r="25" customFormat="false" ht="15" hidden="false" customHeight="true" outlineLevel="0" collapsed="false">
      <c r="A25" s="37" t="n">
        <v>2026.75</v>
      </c>
      <c r="B25" s="6" t="s">
        <v>375</v>
      </c>
      <c r="C25" s="39" t="n">
        <f aca="false">Layers!B5/20000</f>
        <v>649.555191294395</v>
      </c>
      <c r="D25" s="6" t="s">
        <v>376</v>
      </c>
    </row>
    <row r="26" customFormat="false" ht="15" hidden="false" customHeight="true" outlineLevel="0" collapsed="false">
      <c r="A26" s="37" t="n">
        <v>2026.75</v>
      </c>
      <c r="B26" s="6" t="s">
        <v>377</v>
      </c>
      <c r="C26" s="39" t="n">
        <f aca="false">(Layers!B5+Layers!B6+Layers!B7)/20000</f>
        <v>832.862594318262</v>
      </c>
      <c r="D26" s="6" t="s">
        <v>378</v>
      </c>
    </row>
    <row r="28" customFormat="false" ht="15" hidden="false" customHeight="true" outlineLevel="0" collapsed="false">
      <c r="A28" s="5" t="s">
        <v>379</v>
      </c>
    </row>
    <row r="29" customFormat="false" ht="15" hidden="false" customHeight="true" outlineLevel="0" collapsed="false">
      <c r="A29" s="36" t="s">
        <v>380</v>
      </c>
      <c r="B29" s="36" t="s">
        <v>200</v>
      </c>
      <c r="C29" s="36" t="s">
        <v>381</v>
      </c>
    </row>
    <row r="30" customFormat="false" ht="15" hidden="false" customHeight="true" outlineLevel="0" collapsed="false">
      <c r="A30" s="6" t="s">
        <v>382</v>
      </c>
      <c r="B30" s="40" t="n">
        <v>1.3</v>
      </c>
      <c r="C30" s="6" t="s">
        <v>383</v>
      </c>
    </row>
    <row r="31" customFormat="false" ht="15" hidden="false" customHeight="true" outlineLevel="0" collapsed="false">
      <c r="A31" s="6" t="s">
        <v>384</v>
      </c>
      <c r="B31" s="40" t="n">
        <v>1.5</v>
      </c>
      <c r="C31" s="6" t="s">
        <v>385</v>
      </c>
    </row>
    <row r="32" customFormat="false" ht="15" hidden="false" customHeight="true" outlineLevel="0" collapsed="false">
      <c r="A32" s="6" t="s">
        <v>386</v>
      </c>
      <c r="B32" s="40" t="n">
        <v>-0.173</v>
      </c>
      <c r="C32" s="6" t="s">
        <v>387</v>
      </c>
    </row>
    <row r="33" customFormat="false" ht="15" hidden="false" customHeight="true" outlineLevel="0" collapsed="false">
      <c r="A33" s="6" t="s">
        <v>388</v>
      </c>
      <c r="B33" s="41" t="n">
        <v>240</v>
      </c>
      <c r="C33" s="6" t="s">
        <v>389</v>
      </c>
    </row>
    <row r="34" customFormat="false" ht="15" hidden="false" customHeight="true" outlineLevel="0" collapsed="false">
      <c r="A34" s="6" t="s">
        <v>390</v>
      </c>
      <c r="B34" s="41" t="n">
        <v>20</v>
      </c>
      <c r="C34" s="6"/>
    </row>
    <row r="35" customFormat="false" ht="15" hidden="false" customHeight="true" outlineLevel="0" collapsed="false">
      <c r="A35" s="6" t="s">
        <v>391</v>
      </c>
      <c r="B35" s="42" t="n">
        <f aca="false">(B34/B33)^B32</f>
        <v>1.53708666750539</v>
      </c>
      <c r="C35" s="6" t="s">
        <v>392</v>
      </c>
    </row>
    <row r="36" customFormat="false" ht="15" hidden="false" customHeight="true" outlineLevel="0" collapsed="false">
      <c r="A36" s="6" t="s">
        <v>393</v>
      </c>
      <c r="B36" s="42" t="n">
        <f aca="false">B30*B35</f>
        <v>1.99821266775701</v>
      </c>
      <c r="C36" s="6"/>
    </row>
    <row r="37" customFormat="false" ht="15" hidden="false" customHeight="true" outlineLevel="0" collapsed="false">
      <c r="A37" s="6" t="s">
        <v>394</v>
      </c>
      <c r="B37" s="42" t="n">
        <f aca="false">B31*B35</f>
        <v>2.30563000125808</v>
      </c>
      <c r="C37" s="6"/>
    </row>
    <row r="38" customFormat="false" ht="15" hidden="false" customHeight="true" outlineLevel="0" collapsed="false">
      <c r="A38" s="6" t="s">
        <v>395</v>
      </c>
      <c r="B38" s="39" t="n">
        <f aca="false">219*B36</f>
        <v>437.608574238784</v>
      </c>
      <c r="C38" s="6" t="s">
        <v>396</v>
      </c>
    </row>
    <row r="39" customFormat="false" ht="15" hidden="false" customHeight="true" outlineLevel="0" collapsed="false">
      <c r="A39" s="6" t="s">
        <v>397</v>
      </c>
      <c r="B39" s="39" t="n">
        <f aca="false">219*B37</f>
        <v>504.93297027552</v>
      </c>
      <c r="C39" s="6"/>
    </row>
    <row r="40" customFormat="false" ht="15" hidden="false" customHeight="true" outlineLevel="0" collapsed="false">
      <c r="A40" s="6" t="s">
        <v>398</v>
      </c>
      <c r="B40" s="39" t="n">
        <f aca="false">334*(1+B43)^4</f>
        <v>375.91994254</v>
      </c>
      <c r="C40" s="6"/>
    </row>
    <row r="41" customFormat="false" ht="15" hidden="false" customHeight="true" outlineLevel="0" collapsed="false">
      <c r="A41" s="6" t="s">
        <v>399</v>
      </c>
      <c r="B41" s="39" t="n">
        <f aca="false">B40*B36</f>
        <v>751.167991245914</v>
      </c>
      <c r="C41" s="6" t="s">
        <v>400</v>
      </c>
    </row>
    <row r="42" customFormat="false" ht="15" hidden="false" customHeight="true" outlineLevel="0" collapsed="false">
      <c r="A42" s="6" t="s">
        <v>401</v>
      </c>
      <c r="B42" s="39" t="n">
        <f aca="false">B40*B37</f>
        <v>866.732297591439</v>
      </c>
      <c r="C42" s="6"/>
    </row>
    <row r="43" customFormat="false" ht="15" hidden="false" customHeight="true" outlineLevel="0" collapsed="false">
      <c r="A43" s="6" t="s">
        <v>402</v>
      </c>
      <c r="B43" s="40" t="n">
        <v>0.03</v>
      </c>
      <c r="C43" s="6" t="s">
        <v>403</v>
      </c>
    </row>
    <row r="45" customFormat="false" ht="15" hidden="false" customHeight="true" outlineLevel="0" collapsed="false">
      <c r="A45" s="5" t="s">
        <v>404</v>
      </c>
    </row>
    <row r="46" customFormat="false" ht="15" hidden="false" customHeight="true" outlineLevel="0" collapsed="false">
      <c r="A46" s="36" t="s">
        <v>405</v>
      </c>
      <c r="B46" s="36" t="s">
        <v>406</v>
      </c>
      <c r="C46" s="36" t="s">
        <v>81</v>
      </c>
      <c r="D46" s="36" t="s">
        <v>381</v>
      </c>
    </row>
    <row r="47" customFormat="false" ht="15" hidden="false" customHeight="true" outlineLevel="0" collapsed="false">
      <c r="A47" s="6" t="s">
        <v>407</v>
      </c>
      <c r="B47" s="38" t="n">
        <v>2622100</v>
      </c>
      <c r="C47" s="39" t="n">
        <f aca="false">B47/20000</f>
        <v>131.105</v>
      </c>
      <c r="D47" s="6" t="s">
        <v>408</v>
      </c>
    </row>
    <row r="48" customFormat="false" ht="15" hidden="false" customHeight="true" outlineLevel="0" collapsed="false">
      <c r="A48" s="6" t="s">
        <v>409</v>
      </c>
      <c r="B48" s="38" t="n">
        <v>326100</v>
      </c>
      <c r="C48" s="39" t="n">
        <f aca="false">B48/20000</f>
        <v>16.305</v>
      </c>
      <c r="D48" s="6" t="s">
        <v>410</v>
      </c>
    </row>
    <row r="49" customFormat="false" ht="15" hidden="false" customHeight="true" outlineLevel="0" collapsed="false">
      <c r="A49" s="6" t="s">
        <v>411</v>
      </c>
      <c r="B49" s="39" t="n">
        <f aca="false">B47+B48</f>
        <v>2948200</v>
      </c>
      <c r="C49" s="39" t="n">
        <f aca="false">B49/20000</f>
        <v>147.41</v>
      </c>
      <c r="D49" s="6" t="s">
        <v>412</v>
      </c>
    </row>
    <row r="50" customFormat="false" ht="15" hidden="false" customHeight="true" outlineLevel="0" collapsed="false">
      <c r="A50" s="6" t="s">
        <v>413</v>
      </c>
      <c r="B50" s="39" t="n">
        <f aca="false">Layers!B26</f>
        <v>1130254.65</v>
      </c>
      <c r="C50" s="39" t="n">
        <f aca="false">B50/20000</f>
        <v>56.5127325</v>
      </c>
      <c r="D50" s="6" t="s">
        <v>414</v>
      </c>
    </row>
    <row r="51" customFormat="false" ht="15" hidden="false" customHeight="true" outlineLevel="0" collapsed="false">
      <c r="A51" s="6" t="s">
        <v>415</v>
      </c>
      <c r="B51" s="39" t="n">
        <f aca="false">B49-B50</f>
        <v>1817945.35</v>
      </c>
      <c r="C51" s="39" t="n">
        <f aca="false">B51/20000</f>
        <v>90.8972675</v>
      </c>
      <c r="D51" s="6"/>
    </row>
    <row r="52" customFormat="false" ht="15" hidden="false" customHeight="true" outlineLevel="0" collapsed="false">
      <c r="A52" s="6" t="s">
        <v>416</v>
      </c>
      <c r="B52" s="43" t="n">
        <f aca="false">B49/57247300</f>
        <v>0.0514993720227854</v>
      </c>
      <c r="D52" s="6"/>
    </row>
    <row r="53" customFormat="false" ht="15" hidden="false" customHeight="true" outlineLevel="0" collapsed="false">
      <c r="A53" s="6" t="s">
        <v>417</v>
      </c>
      <c r="B53" s="38" t="n">
        <v>38563658</v>
      </c>
      <c r="C53" s="39" t="n">
        <f aca="false">B53/20000</f>
        <v>1928.1829</v>
      </c>
      <c r="D53" s="6" t="s">
        <v>418</v>
      </c>
    </row>
    <row r="54" customFormat="false" ht="15" hidden="false" customHeight="true" outlineLevel="0" collapsed="false">
      <c r="A54" s="6" t="s">
        <v>419</v>
      </c>
      <c r="B54" s="39" t="n">
        <f aca="false">B53*B43</f>
        <v>1156909.74</v>
      </c>
      <c r="C54" s="39" t="n">
        <f aca="false">B54/20000</f>
        <v>57.845487</v>
      </c>
      <c r="D54" s="6" t="s">
        <v>420</v>
      </c>
    </row>
    <row r="55" customFormat="false" ht="15" hidden="false" customHeight="true" outlineLevel="0" collapsed="false">
      <c r="A55" s="6" t="s">
        <v>421</v>
      </c>
      <c r="B55" s="39" t="n">
        <f aca="false">16678100-Layers!B5</f>
        <v>3686996.1741121</v>
      </c>
      <c r="C55" s="39" t="n">
        <f aca="false">B55/20000</f>
        <v>184.349808705605</v>
      </c>
      <c r="D55" s="6" t="s">
        <v>422</v>
      </c>
    </row>
    <row r="57" customFormat="false" ht="15" hidden="false" customHeight="true" outlineLevel="0" collapsed="false">
      <c r="A57" s="5" t="s">
        <v>423</v>
      </c>
    </row>
    <row r="58" customFormat="false" ht="23.25" hidden="false" customHeight="true" outlineLevel="0" collapsed="false">
      <c r="A58" s="36" t="s">
        <v>78</v>
      </c>
      <c r="B58" s="36" t="s">
        <v>424</v>
      </c>
      <c r="C58" s="36" t="s">
        <v>425</v>
      </c>
      <c r="D58" s="36" t="s">
        <v>426</v>
      </c>
      <c r="E58" s="36" t="s">
        <v>381</v>
      </c>
    </row>
    <row r="59" customFormat="false" ht="15" hidden="false" customHeight="true" outlineLevel="0" collapsed="false">
      <c r="A59" s="6" t="s">
        <v>304</v>
      </c>
      <c r="B59" s="39" t="n">
        <f aca="false">Layers!B25/20000</f>
        <v>605.3425</v>
      </c>
      <c r="C59" s="39" t="n">
        <f aca="false">B59</f>
        <v>605.3425</v>
      </c>
      <c r="D59" s="39" t="n">
        <f aca="false">219*(1+B43)^3</f>
        <v>239.307213</v>
      </c>
      <c r="E59" s="6" t="s">
        <v>427</v>
      </c>
    </row>
    <row r="60" customFormat="false" ht="15" hidden="false" customHeight="true" outlineLevel="0" collapsed="false">
      <c r="A60" s="6" t="s">
        <v>428</v>
      </c>
      <c r="B60" s="39" t="n">
        <f aca="false">Layers!B5/20000</f>
        <v>649.555191294395</v>
      </c>
      <c r="C60" s="39" t="n">
        <f aca="false">B60-C50</f>
        <v>593.042458794395</v>
      </c>
      <c r="D60" s="39" t="n">
        <f aca="false">334*(1+B43)^4</f>
        <v>375.91994254</v>
      </c>
      <c r="E60" s="6" t="s">
        <v>429</v>
      </c>
    </row>
    <row r="61" customFormat="false" ht="15" hidden="false" customHeight="true" outlineLevel="0" collapsed="false">
      <c r="A61" s="6" t="s">
        <v>305</v>
      </c>
      <c r="B61" s="39" t="n">
        <f aca="false">(Layers!B5+Layers!B6+Layers!B7)/20000</f>
        <v>832.862594318262</v>
      </c>
      <c r="C61" s="39" t="n">
        <f aca="false">B61-C50-C51*(Layers!B6+Layers!B7)/(Layers!B6+Layers!B7+Layers!B8+Layers!B9+Layers!B11+Layers!B12+Layers!B13)</f>
        <v>756.364312610759</v>
      </c>
      <c r="D61" s="39" t="n">
        <f aca="false">B40*B36</f>
        <v>751.167991245914</v>
      </c>
      <c r="E61" s="6" t="s">
        <v>430</v>
      </c>
    </row>
    <row r="62" customFormat="false" ht="15" hidden="false" customHeight="true" outlineLevel="0" collapsed="false">
      <c r="A62" s="6" t="s">
        <v>306</v>
      </c>
      <c r="B62" s="39" t="n">
        <f aca="false">'Unit Costs'!D10</f>
        <v>1483.26468180641</v>
      </c>
      <c r="C62" s="39" t="n">
        <f aca="false">B62-C47</f>
        <v>1352.15968180641</v>
      </c>
      <c r="D62" s="39" t="n">
        <f aca="false">436*(1+B43)^5</f>
        <v>505.4434963948</v>
      </c>
      <c r="E62" s="6" t="s">
        <v>431</v>
      </c>
    </row>
    <row r="63" customFormat="false" ht="15" hidden="false" customHeight="true" outlineLevel="0" collapsed="false">
      <c r="A63" s="35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8"/>
    <col collapsed="false" customWidth="true" hidden="false" outlineLevel="0" max="6" min="6" style="1" width="7"/>
    <col collapsed="false" customWidth="true" hidden="false" outlineLevel="0" max="8" min="7" style="1" width="8"/>
    <col collapsed="false" customWidth="true" hidden="false" outlineLevel="0" max="9" min="9" style="1" width="14"/>
    <col collapsed="false" customWidth="true" hidden="false" outlineLevel="0" max="10" min="10" style="1" width="26"/>
    <col collapsed="false" customWidth="true" hidden="false" outlineLevel="0" max="11" min="11" style="1" width="34"/>
    <col collapsed="false" customWidth="true" hidden="false" outlineLevel="0" max="12" min="12" style="1" width="26"/>
    <col collapsed="false" customWidth="true" hidden="false" outlineLevel="0" max="13" min="13" style="1" width="9"/>
    <col collapsed="false" customWidth="true" hidden="false" outlineLevel="0" max="14" min="14" style="1" width="30"/>
    <col collapsed="false" customWidth="true" hidden="false" outlineLevel="0" max="17" min="15" style="1" width="9"/>
    <col collapsed="false" customWidth="true" hidden="false" outlineLevel="0" max="19" min="18" style="1" width="50"/>
    <col collapsed="false" customWidth="true" hidden="false" outlineLevel="0" max="20" min="20" style="1" width="14"/>
  </cols>
  <sheetData>
    <row r="1" customFormat="false" ht="17.25" hidden="false" customHeight="true" outlineLevel="0" collapsed="false">
      <c r="A1" s="2" t="s">
        <v>433</v>
      </c>
    </row>
    <row r="3" customFormat="false" ht="23.25" hidden="false" customHeight="true" outlineLevel="0" collapsed="false">
      <c r="A3" s="10" t="s">
        <v>434</v>
      </c>
      <c r="B3" s="10" t="s">
        <v>435</v>
      </c>
      <c r="C3" s="10" t="s">
        <v>436</v>
      </c>
      <c r="D3" s="10" t="s">
        <v>437</v>
      </c>
      <c r="E3" s="10" t="s">
        <v>438</v>
      </c>
      <c r="F3" s="10" t="s">
        <v>439</v>
      </c>
      <c r="G3" s="10" t="s">
        <v>440</v>
      </c>
      <c r="H3" s="10" t="s">
        <v>441</v>
      </c>
      <c r="I3" s="10" t="s">
        <v>442</v>
      </c>
      <c r="J3" s="10" t="s">
        <v>443</v>
      </c>
      <c r="K3" s="10" t="s">
        <v>349</v>
      </c>
      <c r="L3" s="10" t="s">
        <v>444</v>
      </c>
      <c r="M3" s="10" t="s">
        <v>205</v>
      </c>
      <c r="N3" s="10" t="s">
        <v>445</v>
      </c>
      <c r="O3" s="10" t="s">
        <v>446</v>
      </c>
      <c r="P3" s="10" t="s">
        <v>81</v>
      </c>
      <c r="Q3" s="10" t="s">
        <v>80</v>
      </c>
      <c r="R3" s="10" t="s">
        <v>447</v>
      </c>
      <c r="S3" s="10" t="s">
        <v>448</v>
      </c>
      <c r="T3" s="44" t="s">
        <v>449</v>
      </c>
    </row>
    <row r="4" customFormat="false" ht="42" hidden="false" customHeight="true" outlineLevel="0" collapsed="false">
      <c r="A4" s="14" t="s">
        <v>450</v>
      </c>
      <c r="B4" s="14" t="s">
        <v>451</v>
      </c>
      <c r="C4" s="14" t="s">
        <v>452</v>
      </c>
      <c r="D4" s="14" t="s">
        <v>453</v>
      </c>
      <c r="E4" s="14" t="s">
        <v>454</v>
      </c>
      <c r="F4" s="33" t="n">
        <v>25</v>
      </c>
      <c r="G4" s="33" t="n">
        <v>38</v>
      </c>
      <c r="H4" s="33" t="n">
        <v>2022</v>
      </c>
      <c r="I4" s="28" t="n">
        <v>49000000</v>
      </c>
      <c r="J4" s="14" t="s">
        <v>455</v>
      </c>
      <c r="K4" s="14" t="s">
        <v>456</v>
      </c>
      <c r="L4" s="14" t="s">
        <v>457</v>
      </c>
      <c r="M4" s="14" t="s">
        <v>212</v>
      </c>
      <c r="N4" s="14"/>
      <c r="O4" s="45" t="n">
        <f aca="false">IF(AND(ISNUMBER(F4),ISNUMBER(G4),F4&gt;0),G4/F4,"")</f>
        <v>1.52</v>
      </c>
      <c r="P4" s="12" t="n">
        <f aca="false">IF(AND(ISNUMBER(G4),ISNUMBER(I4),G4&gt;0),I4/(G4*1000),"")</f>
        <v>1289.47368421053</v>
      </c>
      <c r="Q4" s="12" t="n">
        <f aca="false">IF(AND(ISNUMBER(F4),ISNUMBER(I4),F4&gt;0),I4/(F4*1000),"")</f>
        <v>1960</v>
      </c>
      <c r="R4" s="46" t="s">
        <v>458</v>
      </c>
      <c r="S4" s="46" t="s">
        <v>459</v>
      </c>
      <c r="T4" s="12" t="n">
        <f aca="false">IF(AND(N4="",ISNUMBER(G4),G4&lt;=100,ISNUMBER(P4),OR(LEFT(C4,3)="IOU",C4="muni/coop",LEFT(C4,5)="other")),P4,"")</f>
        <v>1289.47368421053</v>
      </c>
    </row>
    <row r="5" customFormat="false" ht="42" hidden="false" customHeight="true" outlineLevel="0" collapsed="false">
      <c r="A5" s="14" t="s">
        <v>460</v>
      </c>
      <c r="B5" s="14" t="s">
        <v>461</v>
      </c>
      <c r="C5" s="14" t="s">
        <v>452</v>
      </c>
      <c r="D5" s="14" t="s">
        <v>453</v>
      </c>
      <c r="E5" s="14" t="s">
        <v>454</v>
      </c>
      <c r="F5" s="33" t="n">
        <v>6</v>
      </c>
      <c r="G5" s="33" t="n">
        <v>48</v>
      </c>
      <c r="H5" s="33" t="n">
        <v>2019</v>
      </c>
      <c r="I5" s="28" t="n">
        <v>81000000</v>
      </c>
      <c r="J5" s="14" t="s">
        <v>455</v>
      </c>
      <c r="K5" s="14" t="s">
        <v>462</v>
      </c>
      <c r="L5" s="14" t="s">
        <v>463</v>
      </c>
      <c r="M5" s="14" t="s">
        <v>212</v>
      </c>
      <c r="N5" s="14" t="s">
        <v>464</v>
      </c>
      <c r="O5" s="45" t="n">
        <f aca="false">IF(AND(ISNUMBER(F5),ISNUMBER(G5),F5&gt;0),G5/F5,"")</f>
        <v>8</v>
      </c>
      <c r="P5" s="12" t="n">
        <f aca="false">IF(AND(ISNUMBER(G5),ISNUMBER(I5),G5&gt;0),I5/(G5*1000),"")</f>
        <v>1687.5</v>
      </c>
      <c r="Q5" s="12" t="n">
        <f aca="false">IF(AND(ISNUMBER(F5),ISNUMBER(I5),F5&gt;0),I5/(F5*1000),"")</f>
        <v>13500</v>
      </c>
      <c r="R5" s="46" t="s">
        <v>465</v>
      </c>
      <c r="S5" s="46" t="s">
        <v>466</v>
      </c>
      <c r="T5" s="12" t="str">
        <f aca="false">IF(AND(N5="",ISNUMBER(G5),G5&lt;=100,ISNUMBER(P5),OR(LEFT(C5,3)="IOU",C5="muni/coop",LEFT(C5,5)="other")),P5,"")</f>
        <v/>
      </c>
    </row>
    <row r="6" customFormat="false" ht="42" hidden="false" customHeight="true" outlineLevel="0" collapsed="false">
      <c r="A6" s="14" t="s">
        <v>467</v>
      </c>
      <c r="B6" s="14" t="s">
        <v>451</v>
      </c>
      <c r="C6" s="14" t="s">
        <v>452</v>
      </c>
      <c r="D6" s="14" t="s">
        <v>453</v>
      </c>
      <c r="E6" s="14" t="s">
        <v>454</v>
      </c>
      <c r="F6" s="33" t="n">
        <v>4.9</v>
      </c>
      <c r="G6" s="33" t="n">
        <v>20</v>
      </c>
      <c r="H6" s="33" t="n">
        <v>2019</v>
      </c>
      <c r="I6" s="28" t="n">
        <v>15000000</v>
      </c>
      <c r="J6" s="14" t="s">
        <v>468</v>
      </c>
      <c r="K6" s="14" t="s">
        <v>469</v>
      </c>
      <c r="L6" s="14" t="s">
        <v>470</v>
      </c>
      <c r="M6" s="14" t="s">
        <v>212</v>
      </c>
      <c r="N6" s="14"/>
      <c r="O6" s="45" t="n">
        <f aca="false">IF(AND(ISNUMBER(F6),ISNUMBER(G6),F6&gt;0),G6/F6,"")</f>
        <v>4.08163265306123</v>
      </c>
      <c r="P6" s="12" t="n">
        <f aca="false">IF(AND(ISNUMBER(G6),ISNUMBER(I6),G6&gt;0),I6/(G6*1000),"")</f>
        <v>750</v>
      </c>
      <c r="Q6" s="12" t="n">
        <f aca="false">IF(AND(ISNUMBER(F6),ISNUMBER(I6),F6&gt;0),I6/(F6*1000),"")</f>
        <v>3061.22448979592</v>
      </c>
      <c r="R6" s="46" t="s">
        <v>471</v>
      </c>
      <c r="S6" s="46" t="s">
        <v>472</v>
      </c>
      <c r="T6" s="12" t="n">
        <f aca="false">IF(AND(N6="",ISNUMBER(G6),G6&lt;=100,ISNUMBER(P6),OR(LEFT(C6,3)="IOU",C6="muni/coop",LEFT(C6,5)="other")),P6,"")</f>
        <v>750</v>
      </c>
    </row>
    <row r="7" customFormat="false" ht="42" hidden="false" customHeight="true" outlineLevel="0" collapsed="false">
      <c r="A7" s="14" t="s">
        <v>473</v>
      </c>
      <c r="B7" s="14" t="s">
        <v>451</v>
      </c>
      <c r="C7" s="14" t="s">
        <v>452</v>
      </c>
      <c r="D7" s="14" t="s">
        <v>453</v>
      </c>
      <c r="E7" s="14" t="s">
        <v>454</v>
      </c>
      <c r="F7" s="33" t="n">
        <v>9.8</v>
      </c>
      <c r="G7" s="33" t="n">
        <v>64</v>
      </c>
      <c r="H7" s="33" t="n">
        <v>2019</v>
      </c>
      <c r="I7" s="28" t="n">
        <v>28000000</v>
      </c>
      <c r="J7" s="14" t="s">
        <v>468</v>
      </c>
      <c r="K7" s="14" t="s">
        <v>469</v>
      </c>
      <c r="L7" s="14" t="s">
        <v>470</v>
      </c>
      <c r="M7" s="14" t="s">
        <v>212</v>
      </c>
      <c r="N7" s="14"/>
      <c r="O7" s="45" t="n">
        <f aca="false">IF(AND(ISNUMBER(F7),ISNUMBER(G7),F7&gt;0),G7/F7,"")</f>
        <v>6.53061224489796</v>
      </c>
      <c r="P7" s="12" t="n">
        <f aca="false">IF(AND(ISNUMBER(G7),ISNUMBER(I7),G7&gt;0),I7/(G7*1000),"")</f>
        <v>437.5</v>
      </c>
      <c r="Q7" s="12" t="n">
        <f aca="false">IF(AND(ISNUMBER(F7),ISNUMBER(I7),F7&gt;0),I7/(F7*1000),"")</f>
        <v>2857.14285714286</v>
      </c>
      <c r="R7" s="46" t="s">
        <v>471</v>
      </c>
      <c r="S7" s="46" t="s">
        <v>474</v>
      </c>
      <c r="T7" s="12" t="n">
        <f aca="false">IF(AND(N7="",ISNUMBER(G7),G7&lt;=100,ISNUMBER(P7),OR(LEFT(C7,3)="IOU",C7="muni/coop",LEFT(C7,5)="other")),P7,"")</f>
        <v>437.5</v>
      </c>
    </row>
    <row r="8" customFormat="false" ht="42" hidden="false" customHeight="true" outlineLevel="0" collapsed="false">
      <c r="A8" s="14" t="s">
        <v>475</v>
      </c>
      <c r="B8" s="14" t="s">
        <v>476</v>
      </c>
      <c r="C8" s="14" t="s">
        <v>477</v>
      </c>
      <c r="D8" s="14" t="s">
        <v>453</v>
      </c>
      <c r="E8" s="14" t="s">
        <v>454</v>
      </c>
      <c r="F8" s="33" t="n">
        <v>2</v>
      </c>
      <c r="G8" s="33" t="n">
        <v>3.9</v>
      </c>
      <c r="H8" s="33" t="n">
        <v>2016</v>
      </c>
      <c r="I8" s="28" t="n">
        <v>2700000</v>
      </c>
      <c r="J8" s="14" t="s">
        <v>455</v>
      </c>
      <c r="K8" s="14" t="s">
        <v>478</v>
      </c>
      <c r="L8" s="14" t="s">
        <v>479</v>
      </c>
      <c r="M8" s="14" t="s">
        <v>212</v>
      </c>
      <c r="N8" s="14"/>
      <c r="O8" s="45" t="n">
        <f aca="false">IF(AND(ISNUMBER(F8),ISNUMBER(G8),F8&gt;0),G8/F8,"")</f>
        <v>1.95</v>
      </c>
      <c r="P8" s="12" t="n">
        <f aca="false">IF(AND(ISNUMBER(G8),ISNUMBER(I8),G8&gt;0),I8/(G8*1000),"")</f>
        <v>692.307692307692</v>
      </c>
      <c r="Q8" s="12" t="n">
        <f aca="false">IF(AND(ISNUMBER(F8),ISNUMBER(I8),F8&gt;0),I8/(F8*1000),"")</f>
        <v>1350</v>
      </c>
      <c r="R8" s="46" t="s">
        <v>480</v>
      </c>
      <c r="S8" s="46" t="s">
        <v>481</v>
      </c>
      <c r="T8" s="12" t="n">
        <f aca="false">IF(AND(N8="",ISNUMBER(G8),G8&lt;=100,ISNUMBER(P8),OR(LEFT(C8,3)="IOU",C8="muni/coop",LEFT(C8,5)="other")),P8,"")</f>
        <v>692.307692307692</v>
      </c>
    </row>
    <row r="9" customFormat="false" ht="42" hidden="false" customHeight="true" outlineLevel="0" collapsed="false">
      <c r="A9" s="14" t="s">
        <v>482</v>
      </c>
      <c r="B9" s="14" t="s">
        <v>483</v>
      </c>
      <c r="C9" s="14" t="s">
        <v>452</v>
      </c>
      <c r="D9" s="14" t="s">
        <v>484</v>
      </c>
      <c r="E9" s="14" t="s">
        <v>485</v>
      </c>
      <c r="F9" s="33" t="n">
        <v>3</v>
      </c>
      <c r="G9" s="33" t="n">
        <v>12</v>
      </c>
      <c r="H9" s="33" t="n">
        <v>2021</v>
      </c>
      <c r="I9" s="28" t="n">
        <v>7400000</v>
      </c>
      <c r="J9" s="14" t="s">
        <v>486</v>
      </c>
      <c r="K9" s="14" t="s">
        <v>487</v>
      </c>
      <c r="L9" s="14" t="s">
        <v>488</v>
      </c>
      <c r="M9" s="14" t="s">
        <v>193</v>
      </c>
      <c r="N9" s="14"/>
      <c r="O9" s="45" t="n">
        <f aca="false">IF(AND(ISNUMBER(F9),ISNUMBER(G9),F9&gt;0),G9/F9,"")</f>
        <v>4</v>
      </c>
      <c r="P9" s="12" t="n">
        <f aca="false">IF(AND(ISNUMBER(G9),ISNUMBER(I9),G9&gt;0),I9/(G9*1000),"")</f>
        <v>616.666666666667</v>
      </c>
      <c r="Q9" s="12" t="n">
        <f aca="false">IF(AND(ISNUMBER(F9),ISNUMBER(I9),F9&gt;0),I9/(F9*1000),"")</f>
        <v>2466.66666666667</v>
      </c>
      <c r="R9" s="46" t="s">
        <v>489</v>
      </c>
      <c r="S9" s="46" t="s">
        <v>490</v>
      </c>
      <c r="T9" s="12" t="n">
        <f aca="false">IF(AND(N9="",ISNUMBER(G9),G9&lt;=100,ISNUMBER(P9),OR(LEFT(C9,3)="IOU",C9="muni/coop",LEFT(C9,5)="other")),P9,"")</f>
        <v>616.666666666667</v>
      </c>
    </row>
    <row r="10" customFormat="false" ht="42" hidden="false" customHeight="true" outlineLevel="0" collapsed="false">
      <c r="A10" s="14" t="s">
        <v>491</v>
      </c>
      <c r="B10" s="14" t="s">
        <v>492</v>
      </c>
      <c r="C10" s="14" t="s">
        <v>452</v>
      </c>
      <c r="D10" s="14" t="s">
        <v>493</v>
      </c>
      <c r="E10" s="14" t="s">
        <v>494</v>
      </c>
      <c r="F10" s="33" t="n">
        <v>5</v>
      </c>
      <c r="G10" s="33" t="n">
        <v>1.25</v>
      </c>
      <c r="H10" s="33" t="n">
        <v>2013</v>
      </c>
      <c r="I10" s="28" t="n">
        <v>23000000</v>
      </c>
      <c r="J10" s="14" t="s">
        <v>495</v>
      </c>
      <c r="K10" s="14" t="s">
        <v>496</v>
      </c>
      <c r="L10" s="14" t="s">
        <v>497</v>
      </c>
      <c r="M10" s="14" t="s">
        <v>193</v>
      </c>
      <c r="N10" s="14" t="s">
        <v>498</v>
      </c>
      <c r="O10" s="45" t="n">
        <f aca="false">IF(AND(ISNUMBER(F10),ISNUMBER(G10),F10&gt;0),G10/F10,"")</f>
        <v>0.25</v>
      </c>
      <c r="P10" s="12" t="n">
        <f aca="false">IF(AND(ISNUMBER(G10),ISNUMBER(I10),G10&gt;0),I10/(G10*1000),"")</f>
        <v>18400</v>
      </c>
      <c r="Q10" s="12" t="n">
        <f aca="false">IF(AND(ISNUMBER(F10),ISNUMBER(I10),F10&gt;0),I10/(F10*1000),"")</f>
        <v>4600</v>
      </c>
      <c r="R10" s="46" t="s">
        <v>499</v>
      </c>
      <c r="S10" s="46" t="s">
        <v>500</v>
      </c>
      <c r="T10" s="12" t="str">
        <f aca="false">IF(AND(N10="",ISNUMBER(G10),G10&lt;=100,ISNUMBER(P10),OR(LEFT(C10,3)="IOU",C10="muni/coop",LEFT(C10,5)="other")),P10,"")</f>
        <v/>
      </c>
    </row>
    <row r="11" customFormat="false" ht="42" hidden="false" customHeight="true" outlineLevel="0" collapsed="false">
      <c r="A11" s="14" t="s">
        <v>501</v>
      </c>
      <c r="B11" s="14" t="s">
        <v>502</v>
      </c>
      <c r="C11" s="14" t="s">
        <v>452</v>
      </c>
      <c r="D11" s="14" t="s">
        <v>503</v>
      </c>
      <c r="E11" s="14" t="s">
        <v>504</v>
      </c>
      <c r="F11" s="33" t="n">
        <v>40</v>
      </c>
      <c r="G11" s="33" t="n">
        <v>160</v>
      </c>
      <c r="H11" s="33" t="n">
        <v>2027</v>
      </c>
      <c r="I11" s="28" t="n">
        <v>82100000</v>
      </c>
      <c r="J11" s="14" t="s">
        <v>505</v>
      </c>
      <c r="K11" s="14" t="s">
        <v>506</v>
      </c>
      <c r="L11" s="14" t="s">
        <v>507</v>
      </c>
      <c r="M11" s="14" t="s">
        <v>193</v>
      </c>
      <c r="N11" s="14"/>
      <c r="O11" s="45" t="n">
        <f aca="false">IF(AND(ISNUMBER(F11),ISNUMBER(G11),F11&gt;0),G11/F11,"")</f>
        <v>4</v>
      </c>
      <c r="P11" s="12" t="n">
        <f aca="false">IF(AND(ISNUMBER(G11),ISNUMBER(I11),G11&gt;0),I11/(G11*1000),"")</f>
        <v>513.125</v>
      </c>
      <c r="Q11" s="12" t="n">
        <f aca="false">IF(AND(ISNUMBER(F11),ISNUMBER(I11),F11&gt;0),I11/(F11*1000),"")</f>
        <v>2052.5</v>
      </c>
      <c r="R11" s="46" t="s">
        <v>508</v>
      </c>
      <c r="S11" s="46" t="s">
        <v>509</v>
      </c>
      <c r="T11" s="12" t="str">
        <f aca="false">IF(AND(N11="",ISNUMBER(G11),G11&lt;=100,ISNUMBER(P11),OR(LEFT(C11,3)="IOU",C11="muni/coop",LEFT(C11,5)="other")),P11,"")</f>
        <v/>
      </c>
    </row>
    <row r="12" customFormat="false" ht="42" hidden="false" customHeight="true" outlineLevel="0" collapsed="false">
      <c r="A12" s="14" t="s">
        <v>510</v>
      </c>
      <c r="B12" s="14" t="s">
        <v>511</v>
      </c>
      <c r="C12" s="14" t="s">
        <v>477</v>
      </c>
      <c r="D12" s="14" t="s">
        <v>512</v>
      </c>
      <c r="E12" s="14" t="s">
        <v>494</v>
      </c>
      <c r="F12" s="33" t="n">
        <v>1</v>
      </c>
      <c r="G12" s="33" t="n">
        <v>1.4</v>
      </c>
      <c r="H12" s="33" t="n">
        <v>2020</v>
      </c>
      <c r="I12" s="28" t="n">
        <v>12000000</v>
      </c>
      <c r="J12" s="14" t="s">
        <v>455</v>
      </c>
      <c r="K12" s="14" t="s">
        <v>513</v>
      </c>
      <c r="L12" s="14" t="s">
        <v>514</v>
      </c>
      <c r="M12" s="14" t="s">
        <v>212</v>
      </c>
      <c r="N12" s="14" t="s">
        <v>515</v>
      </c>
      <c r="O12" s="45" t="n">
        <f aca="false">IF(AND(ISNUMBER(F12),ISNUMBER(G12),F12&gt;0),G12/F12,"")</f>
        <v>1.4</v>
      </c>
      <c r="P12" s="12" t="n">
        <f aca="false">IF(AND(ISNUMBER(G12),ISNUMBER(I12),G12&gt;0),I12/(G12*1000),"")</f>
        <v>8571.42857142857</v>
      </c>
      <c r="Q12" s="12" t="n">
        <f aca="false">IF(AND(ISNUMBER(F12),ISNUMBER(I12),F12&gt;0),I12/(F12*1000),"")</f>
        <v>12000</v>
      </c>
      <c r="R12" s="46" t="s">
        <v>516</v>
      </c>
      <c r="S12" s="46" t="s">
        <v>517</v>
      </c>
      <c r="T12" s="12" t="str">
        <f aca="false">IF(AND(N12="",ISNUMBER(G12),G12&lt;=100,ISNUMBER(P12),OR(LEFT(C12,3)="IOU",C12="muni/coop",LEFT(C12,5)="other")),P12,"")</f>
        <v/>
      </c>
    </row>
    <row r="13" customFormat="false" ht="42" hidden="false" customHeight="true" outlineLevel="0" collapsed="false">
      <c r="A13" s="14" t="s">
        <v>518</v>
      </c>
      <c r="B13" s="14" t="s">
        <v>519</v>
      </c>
      <c r="C13" s="14" t="s">
        <v>452</v>
      </c>
      <c r="D13" s="14" t="s">
        <v>520</v>
      </c>
      <c r="E13" s="14" t="s">
        <v>521</v>
      </c>
      <c r="F13" s="33" t="n">
        <v>220</v>
      </c>
      <c r="G13" s="33" t="n">
        <v>440</v>
      </c>
      <c r="H13" s="33" t="n">
        <v>2023</v>
      </c>
      <c r="I13" s="28" t="n">
        <v>257000000</v>
      </c>
      <c r="J13" s="14" t="s">
        <v>455</v>
      </c>
      <c r="K13" s="14" t="s">
        <v>522</v>
      </c>
      <c r="L13" s="14" t="s">
        <v>523</v>
      </c>
      <c r="M13" s="14" t="s">
        <v>212</v>
      </c>
      <c r="N13" s="14"/>
      <c r="O13" s="45" t="n">
        <f aca="false">IF(AND(ISNUMBER(F13),ISNUMBER(G13),F13&gt;0),G13/F13,"")</f>
        <v>2</v>
      </c>
      <c r="P13" s="12" t="n">
        <f aca="false">IF(AND(ISNUMBER(G13),ISNUMBER(I13),G13&gt;0),I13/(G13*1000),"")</f>
        <v>584.090909090909</v>
      </c>
      <c r="Q13" s="12" t="n">
        <f aca="false">IF(AND(ISNUMBER(F13),ISNUMBER(I13),F13&gt;0),I13/(F13*1000),"")</f>
        <v>1168.18181818182</v>
      </c>
      <c r="R13" s="46" t="s">
        <v>524</v>
      </c>
      <c r="S13" s="46" t="s">
        <v>525</v>
      </c>
      <c r="T13" s="12" t="str">
        <f aca="false">IF(AND(N13="",ISNUMBER(G13),G13&lt;=100,ISNUMBER(P13),OR(LEFT(C13,3)="IOU",C13="muni/coop",LEFT(C13,5)="other")),P13,"")</f>
        <v/>
      </c>
    </row>
    <row r="14" customFormat="false" ht="42" hidden="false" customHeight="true" outlineLevel="0" collapsed="false">
      <c r="A14" s="14" t="s">
        <v>526</v>
      </c>
      <c r="B14" s="14" t="s">
        <v>492</v>
      </c>
      <c r="C14" s="14" t="s">
        <v>452</v>
      </c>
      <c r="D14" s="14" t="s">
        <v>493</v>
      </c>
      <c r="E14" s="14" t="s">
        <v>494</v>
      </c>
      <c r="F14" s="33" t="n">
        <v>75</v>
      </c>
      <c r="G14" s="33" t="n">
        <v>300</v>
      </c>
      <c r="H14" s="33" t="n">
        <v>2024</v>
      </c>
      <c r="I14" s="28" t="n">
        <v>156000000</v>
      </c>
      <c r="J14" s="14" t="s">
        <v>527</v>
      </c>
      <c r="K14" s="14" t="s">
        <v>528</v>
      </c>
      <c r="L14" s="14" t="s">
        <v>529</v>
      </c>
      <c r="M14" s="14" t="s">
        <v>193</v>
      </c>
      <c r="N14" s="14"/>
      <c r="O14" s="45" t="n">
        <f aca="false">IF(AND(ISNUMBER(F14),ISNUMBER(G14),F14&gt;0),G14/F14,"")</f>
        <v>4</v>
      </c>
      <c r="P14" s="12" t="n">
        <f aca="false">IF(AND(ISNUMBER(G14),ISNUMBER(I14),G14&gt;0),I14/(G14*1000),"")</f>
        <v>520</v>
      </c>
      <c r="Q14" s="12" t="n">
        <f aca="false">IF(AND(ISNUMBER(F14),ISNUMBER(I14),F14&gt;0),I14/(F14*1000),"")</f>
        <v>2080</v>
      </c>
      <c r="R14" s="46" t="s">
        <v>530</v>
      </c>
      <c r="S14" s="46" t="s">
        <v>531</v>
      </c>
      <c r="T14" s="12" t="str">
        <f aca="false">IF(AND(N14="",ISNUMBER(G14),G14&lt;=100,ISNUMBER(P14),OR(LEFT(C14,3)="IOU",C14="muni/coop",LEFT(C14,5)="other")),P14,"")</f>
        <v/>
      </c>
    </row>
    <row r="15" customFormat="false" ht="42" hidden="false" customHeight="true" outlineLevel="0" collapsed="false">
      <c r="A15" s="14" t="s">
        <v>532</v>
      </c>
      <c r="B15" s="14" t="s">
        <v>492</v>
      </c>
      <c r="C15" s="14" t="s">
        <v>452</v>
      </c>
      <c r="D15" s="14" t="s">
        <v>493</v>
      </c>
      <c r="E15" s="14" t="s">
        <v>494</v>
      </c>
      <c r="F15" s="33" t="n">
        <v>200</v>
      </c>
      <c r="G15" s="33" t="n">
        <v>800</v>
      </c>
      <c r="H15" s="33" t="n">
        <v>2025</v>
      </c>
      <c r="I15" s="28" t="n">
        <v>360000000</v>
      </c>
      <c r="J15" s="14" t="s">
        <v>533</v>
      </c>
      <c r="K15" s="14" t="s">
        <v>534</v>
      </c>
      <c r="L15" s="14" t="s">
        <v>535</v>
      </c>
      <c r="M15" s="14" t="s">
        <v>193</v>
      </c>
      <c r="N15" s="14"/>
      <c r="O15" s="45" t="n">
        <f aca="false">IF(AND(ISNUMBER(F15),ISNUMBER(G15),F15&gt;0),G15/F15,"")</f>
        <v>4</v>
      </c>
      <c r="P15" s="12" t="n">
        <f aca="false">IF(AND(ISNUMBER(G15),ISNUMBER(I15),G15&gt;0),I15/(G15*1000),"")</f>
        <v>450</v>
      </c>
      <c r="Q15" s="12" t="n">
        <f aca="false">IF(AND(ISNUMBER(F15),ISNUMBER(I15),F15&gt;0),I15/(F15*1000),"")</f>
        <v>1800</v>
      </c>
      <c r="R15" s="46" t="s">
        <v>530</v>
      </c>
      <c r="S15" s="46" t="s">
        <v>536</v>
      </c>
      <c r="T15" s="12" t="str">
        <f aca="false">IF(AND(N15="",ISNUMBER(G15),G15&lt;=100,ISNUMBER(P15),OR(LEFT(C15,3)="IOU",C15="muni/coop",LEFT(C15,5)="other")),P15,"")</f>
        <v/>
      </c>
    </row>
    <row r="16" customFormat="false" ht="42" hidden="false" customHeight="true" outlineLevel="0" collapsed="false">
      <c r="A16" s="14" t="s">
        <v>537</v>
      </c>
      <c r="B16" s="14" t="s">
        <v>538</v>
      </c>
      <c r="C16" s="14" t="s">
        <v>452</v>
      </c>
      <c r="D16" s="14" t="s">
        <v>539</v>
      </c>
      <c r="E16" s="14" t="s">
        <v>454</v>
      </c>
      <c r="F16" s="33" t="n">
        <v>2</v>
      </c>
      <c r="G16" s="33" t="n">
        <v>8</v>
      </c>
      <c r="H16" s="33" t="n">
        <v>2022</v>
      </c>
      <c r="I16" s="28" t="n">
        <v>14300000</v>
      </c>
      <c r="J16" s="14" t="s">
        <v>540</v>
      </c>
      <c r="K16" s="14" t="s">
        <v>541</v>
      </c>
      <c r="L16" s="14" t="s">
        <v>542</v>
      </c>
      <c r="M16" s="14" t="s">
        <v>212</v>
      </c>
      <c r="N16" s="14" t="s">
        <v>543</v>
      </c>
      <c r="O16" s="45" t="n">
        <f aca="false">IF(AND(ISNUMBER(F16),ISNUMBER(G16),F16&gt;0),G16/F16,"")</f>
        <v>4</v>
      </c>
      <c r="P16" s="12" t="n">
        <f aca="false">IF(AND(ISNUMBER(G16),ISNUMBER(I16),G16&gt;0),I16/(G16*1000),"")</f>
        <v>1787.5</v>
      </c>
      <c r="Q16" s="12" t="n">
        <f aca="false">IF(AND(ISNUMBER(F16),ISNUMBER(I16),F16&gt;0),I16/(F16*1000),"")</f>
        <v>7150</v>
      </c>
      <c r="R16" s="46" t="s">
        <v>544</v>
      </c>
      <c r="S16" s="46" t="s">
        <v>545</v>
      </c>
      <c r="T16" s="12" t="str">
        <f aca="false">IF(AND(N16="",ISNUMBER(G16),G16&lt;=100,ISNUMBER(P16),OR(LEFT(C16,3)="IOU",C16="muni/coop",LEFT(C16,5)="other")),P16,"")</f>
        <v/>
      </c>
    </row>
    <row r="17" customFormat="false" ht="42" hidden="false" customHeight="true" outlineLevel="0" collapsed="false">
      <c r="A17" s="14" t="s">
        <v>546</v>
      </c>
      <c r="B17" s="14" t="s">
        <v>547</v>
      </c>
      <c r="C17" s="14" t="s">
        <v>548</v>
      </c>
      <c r="D17" s="14" t="s">
        <v>484</v>
      </c>
      <c r="E17" s="14" t="s">
        <v>485</v>
      </c>
      <c r="F17" s="33" t="n">
        <v>20</v>
      </c>
      <c r="G17" s="33" t="n">
        <v>20</v>
      </c>
      <c r="H17" s="33" t="n">
        <v>2023</v>
      </c>
      <c r="I17" s="28" t="n">
        <v>29800000</v>
      </c>
      <c r="J17" s="14" t="s">
        <v>549</v>
      </c>
      <c r="K17" s="14" t="s">
        <v>522</v>
      </c>
      <c r="L17" s="14" t="s">
        <v>550</v>
      </c>
      <c r="M17" s="14" t="s">
        <v>193</v>
      </c>
      <c r="N17" s="14"/>
      <c r="O17" s="45" t="n">
        <f aca="false">IF(AND(ISNUMBER(F17),ISNUMBER(G17),F17&gt;0),G17/F17,"")</f>
        <v>1</v>
      </c>
      <c r="P17" s="12" t="n">
        <f aca="false">IF(AND(ISNUMBER(G17),ISNUMBER(I17),G17&gt;0),I17/(G17*1000),"")</f>
        <v>1490</v>
      </c>
      <c r="Q17" s="12" t="n">
        <f aca="false">IF(AND(ISNUMBER(F17),ISNUMBER(I17),F17&gt;0),I17/(F17*1000),"")</f>
        <v>1490</v>
      </c>
      <c r="R17" s="46" t="s">
        <v>551</v>
      </c>
      <c r="S17" s="46" t="s">
        <v>552</v>
      </c>
      <c r="T17" s="12" t="n">
        <f aca="false">IF(AND(N17="",ISNUMBER(G17),G17&lt;=100,ISNUMBER(P17),OR(LEFT(C17,3)="IOU",C17="muni/coop",LEFT(C17,5)="other")),P17,"")</f>
        <v>1490</v>
      </c>
    </row>
    <row r="18" customFormat="false" ht="42" hidden="false" customHeight="true" outlineLevel="0" collapsed="false">
      <c r="A18" s="14" t="s">
        <v>553</v>
      </c>
      <c r="B18" s="14" t="s">
        <v>554</v>
      </c>
      <c r="C18" s="14" t="s">
        <v>452</v>
      </c>
      <c r="D18" s="14" t="s">
        <v>484</v>
      </c>
      <c r="E18" s="14" t="s">
        <v>485</v>
      </c>
      <c r="F18" s="33" t="n">
        <v>1.5</v>
      </c>
      <c r="G18" s="33" t="n">
        <v>12</v>
      </c>
      <c r="H18" s="33" t="n">
        <v>2019</v>
      </c>
      <c r="I18" s="28" t="n">
        <v>15000000</v>
      </c>
      <c r="J18" s="14" t="s">
        <v>555</v>
      </c>
      <c r="K18" s="14" t="s">
        <v>556</v>
      </c>
      <c r="L18" s="14" t="s">
        <v>557</v>
      </c>
      <c r="M18" s="14" t="s">
        <v>192</v>
      </c>
      <c r="N18" s="14"/>
      <c r="O18" s="45" t="n">
        <f aca="false">IF(AND(ISNUMBER(F18),ISNUMBER(G18),F18&gt;0),G18/F18,"")</f>
        <v>8</v>
      </c>
      <c r="P18" s="12" t="n">
        <f aca="false">IF(AND(ISNUMBER(G18),ISNUMBER(I18),G18&gt;0),I18/(G18*1000),"")</f>
        <v>1250</v>
      </c>
      <c r="Q18" s="12" t="n">
        <f aca="false">IF(AND(ISNUMBER(F18),ISNUMBER(I18),F18&gt;0),I18/(F18*1000),"")</f>
        <v>10000</v>
      </c>
      <c r="R18" s="46" t="s">
        <v>558</v>
      </c>
      <c r="S18" s="46" t="s">
        <v>559</v>
      </c>
      <c r="T18" s="12" t="n">
        <f aca="false">IF(AND(N18="",ISNUMBER(G18),G18&lt;=100,ISNUMBER(P18),OR(LEFT(C18,3)="IOU",C18="muni/coop",LEFT(C18,5)="other")),P18,"")</f>
        <v>1250</v>
      </c>
    </row>
    <row r="19" customFormat="false" ht="42" hidden="false" customHeight="true" outlineLevel="0" collapsed="false">
      <c r="A19" s="14" t="s">
        <v>560</v>
      </c>
      <c r="B19" s="14" t="s">
        <v>561</v>
      </c>
      <c r="C19" s="14" t="s">
        <v>452</v>
      </c>
      <c r="D19" s="14" t="s">
        <v>562</v>
      </c>
      <c r="E19" s="14" t="s">
        <v>563</v>
      </c>
      <c r="F19" s="33" t="n">
        <v>4.4</v>
      </c>
      <c r="G19" s="33"/>
      <c r="H19" s="33" t="n">
        <v>2023</v>
      </c>
      <c r="I19" s="28" t="n">
        <v>14500000</v>
      </c>
      <c r="J19" s="14" t="s">
        <v>455</v>
      </c>
      <c r="K19" s="14" t="s">
        <v>564</v>
      </c>
      <c r="L19" s="14" t="s">
        <v>565</v>
      </c>
      <c r="M19" s="14" t="s">
        <v>212</v>
      </c>
      <c r="N19" s="14" t="s">
        <v>566</v>
      </c>
      <c r="O19" s="45" t="str">
        <f aca="false">IF(AND(ISNUMBER(F19),ISNUMBER(G19),F19&gt;0),G19/F19,"")</f>
        <v/>
      </c>
      <c r="P19" s="12" t="str">
        <f aca="false">IF(AND(ISNUMBER(G19),ISNUMBER(I19),G19&gt;0),I19/(G19*1000),"")</f>
        <v/>
      </c>
      <c r="Q19" s="12" t="n">
        <f aca="false">IF(AND(ISNUMBER(F19),ISNUMBER(I19),F19&gt;0),I19/(F19*1000),"")</f>
        <v>3295.45454545455</v>
      </c>
      <c r="R19" s="46" t="s">
        <v>567</v>
      </c>
      <c r="S19" s="46" t="s">
        <v>568</v>
      </c>
      <c r="T19" s="12" t="str">
        <f aca="false">IF(AND(N19="",ISNUMBER(G19),G19&lt;=100,ISNUMBER(P19),OR(LEFT(C19,3)="IOU",C19="muni/coop",LEFT(C19,5)="other")),P19,"")</f>
        <v/>
      </c>
    </row>
    <row r="20" customFormat="false" ht="42" hidden="false" customHeight="true" outlineLevel="0" collapsed="false">
      <c r="A20" s="14" t="s">
        <v>569</v>
      </c>
      <c r="B20" s="14" t="s">
        <v>570</v>
      </c>
      <c r="C20" s="14" t="s">
        <v>452</v>
      </c>
      <c r="D20" s="14" t="s">
        <v>571</v>
      </c>
      <c r="E20" s="14" t="s">
        <v>572</v>
      </c>
      <c r="F20" s="33" t="n">
        <v>16</v>
      </c>
      <c r="G20" s="33"/>
      <c r="H20" s="33" t="n">
        <v>2022</v>
      </c>
      <c r="I20" s="28" t="n">
        <v>33000000</v>
      </c>
      <c r="J20" s="14" t="s">
        <v>573</v>
      </c>
      <c r="K20" s="14" t="s">
        <v>574</v>
      </c>
      <c r="L20" s="14" t="s">
        <v>575</v>
      </c>
      <c r="M20" s="14" t="s">
        <v>212</v>
      </c>
      <c r="N20" s="14"/>
      <c r="O20" s="45" t="str">
        <f aca="false">IF(AND(ISNUMBER(F20),ISNUMBER(G20),F20&gt;0),G20/F20,"")</f>
        <v/>
      </c>
      <c r="P20" s="12" t="str">
        <f aca="false">IF(AND(ISNUMBER(G20),ISNUMBER(I20),G20&gt;0),I20/(G20*1000),"")</f>
        <v/>
      </c>
      <c r="Q20" s="12" t="n">
        <f aca="false">IF(AND(ISNUMBER(F20),ISNUMBER(I20),F20&gt;0),I20/(F20*1000),"")</f>
        <v>2062.5</v>
      </c>
      <c r="R20" s="46" t="s">
        <v>576</v>
      </c>
      <c r="S20" s="46" t="s">
        <v>577</v>
      </c>
      <c r="T20" s="12" t="str">
        <f aca="false">IF(AND(N20="",ISNUMBER(G20),G20&lt;=100,ISNUMBER(P20),OR(LEFT(C20,3)="IOU",C20="muni/coop",LEFT(C20,5)="other")),P20,"")</f>
        <v/>
      </c>
    </row>
    <row r="21" customFormat="false" ht="42" hidden="false" customHeight="true" outlineLevel="0" collapsed="false">
      <c r="A21" s="14" t="s">
        <v>578</v>
      </c>
      <c r="B21" s="14" t="s">
        <v>579</v>
      </c>
      <c r="C21" s="14" t="s">
        <v>452</v>
      </c>
      <c r="D21" s="14" t="s">
        <v>512</v>
      </c>
      <c r="E21" s="14" t="s">
        <v>494</v>
      </c>
      <c r="F21" s="33" t="n">
        <v>2</v>
      </c>
      <c r="G21" s="33" t="n">
        <v>4.4</v>
      </c>
      <c r="H21" s="33" t="n">
        <v>2016</v>
      </c>
      <c r="I21" s="28" t="n">
        <v>11200000</v>
      </c>
      <c r="J21" s="14" t="s">
        <v>580</v>
      </c>
      <c r="K21" s="14" t="s">
        <v>581</v>
      </c>
      <c r="L21" s="14" t="s">
        <v>582</v>
      </c>
      <c r="M21" s="14" t="s">
        <v>193</v>
      </c>
      <c r="N21" s="14"/>
      <c r="O21" s="45" t="n">
        <f aca="false">IF(AND(ISNUMBER(F21),ISNUMBER(G21),F21&gt;0),G21/F21,"")</f>
        <v>2.2</v>
      </c>
      <c r="P21" s="12" t="n">
        <f aca="false">IF(AND(ISNUMBER(G21),ISNUMBER(I21),G21&gt;0),I21/(G21*1000),"")</f>
        <v>2545.45454545455</v>
      </c>
      <c r="Q21" s="12" t="n">
        <f aca="false">IF(AND(ISNUMBER(F21),ISNUMBER(I21),F21&gt;0),I21/(F21*1000),"")</f>
        <v>5600</v>
      </c>
      <c r="R21" s="46" t="s">
        <v>583</v>
      </c>
      <c r="S21" s="46" t="s">
        <v>584</v>
      </c>
      <c r="T21" s="12" t="n">
        <f aca="false">IF(AND(N21="",ISNUMBER(G21),G21&lt;=100,ISNUMBER(P21),OR(LEFT(C21,3)="IOU",C21="muni/coop",LEFT(C21,5)="other")),P21,"")</f>
        <v>2545.45454545455</v>
      </c>
    </row>
    <row r="22" customFormat="false" ht="42" hidden="false" customHeight="true" outlineLevel="0" collapsed="false">
      <c r="A22" s="14" t="s">
        <v>585</v>
      </c>
      <c r="B22" s="14" t="s">
        <v>586</v>
      </c>
      <c r="C22" s="14" t="s">
        <v>477</v>
      </c>
      <c r="D22" s="14" t="s">
        <v>587</v>
      </c>
      <c r="E22" s="14" t="s">
        <v>588</v>
      </c>
      <c r="F22" s="33" t="n">
        <v>40</v>
      </c>
      <c r="G22" s="33" t="n">
        <v>80</v>
      </c>
      <c r="H22" s="33" t="n">
        <v>2024</v>
      </c>
      <c r="I22" s="28" t="n">
        <v>65000000</v>
      </c>
      <c r="J22" s="14" t="s">
        <v>455</v>
      </c>
      <c r="K22" s="14" t="s">
        <v>522</v>
      </c>
      <c r="L22" s="14" t="s">
        <v>589</v>
      </c>
      <c r="M22" s="14" t="s">
        <v>193</v>
      </c>
      <c r="N22" s="14"/>
      <c r="O22" s="45" t="n">
        <f aca="false">IF(AND(ISNUMBER(F22),ISNUMBER(G22),F22&gt;0),G22/F22,"")</f>
        <v>2</v>
      </c>
      <c r="P22" s="12" t="n">
        <f aca="false">IF(AND(ISNUMBER(G22),ISNUMBER(I22),G22&gt;0),I22/(G22*1000),"")</f>
        <v>812.5</v>
      </c>
      <c r="Q22" s="12" t="n">
        <f aca="false">IF(AND(ISNUMBER(F22),ISNUMBER(I22),F22&gt;0),I22/(F22*1000),"")</f>
        <v>1625</v>
      </c>
      <c r="R22" s="46" t="s">
        <v>590</v>
      </c>
      <c r="S22" s="46" t="s">
        <v>591</v>
      </c>
      <c r="T22" s="12" t="n">
        <f aca="false">IF(AND(N22="",ISNUMBER(G22),G22&lt;=100,ISNUMBER(P22),OR(LEFT(C22,3)="IOU",C22="muni/coop",LEFT(C22,5)="other")),P22,"")</f>
        <v>812.5</v>
      </c>
    </row>
    <row r="23" customFormat="false" ht="42" hidden="false" customHeight="true" outlineLevel="0" collapsed="false">
      <c r="A23" s="14" t="s">
        <v>592</v>
      </c>
      <c r="B23" s="14" t="s">
        <v>593</v>
      </c>
      <c r="C23" s="14" t="s">
        <v>452</v>
      </c>
      <c r="D23" s="14" t="s">
        <v>594</v>
      </c>
      <c r="E23" s="14" t="s">
        <v>595</v>
      </c>
      <c r="F23" s="33" t="n">
        <v>220</v>
      </c>
      <c r="G23" s="33" t="n">
        <v>880</v>
      </c>
      <c r="H23" s="33" t="n">
        <v>2026</v>
      </c>
      <c r="I23" s="28" t="n">
        <v>460000000</v>
      </c>
      <c r="J23" s="14" t="s">
        <v>596</v>
      </c>
      <c r="K23" s="14" t="s">
        <v>597</v>
      </c>
      <c r="L23" s="14" t="s">
        <v>598</v>
      </c>
      <c r="M23" s="14" t="s">
        <v>212</v>
      </c>
      <c r="N23" s="14"/>
      <c r="O23" s="45" t="n">
        <f aca="false">IF(AND(ISNUMBER(F23),ISNUMBER(G23),F23&gt;0),G23/F23,"")</f>
        <v>4</v>
      </c>
      <c r="P23" s="12" t="n">
        <f aca="false">IF(AND(ISNUMBER(G23),ISNUMBER(I23),G23&gt;0),I23/(G23*1000),"")</f>
        <v>522.727272727273</v>
      </c>
      <c r="Q23" s="12" t="n">
        <f aca="false">IF(AND(ISNUMBER(F23),ISNUMBER(I23),F23&gt;0),I23/(F23*1000),"")</f>
        <v>2090.90909090909</v>
      </c>
      <c r="R23" s="46" t="s">
        <v>599</v>
      </c>
      <c r="S23" s="46" t="s">
        <v>600</v>
      </c>
      <c r="T23" s="12" t="str">
        <f aca="false">IF(AND(N23="",ISNUMBER(G23),G23&lt;=100,ISNUMBER(P23),OR(LEFT(C23,3)="IOU",C23="muni/coop",LEFT(C23,5)="other")),P23,"")</f>
        <v/>
      </c>
    </row>
    <row r="24" customFormat="false" ht="42" hidden="false" customHeight="true" outlineLevel="0" collapsed="false">
      <c r="A24" s="14" t="s">
        <v>601</v>
      </c>
      <c r="B24" s="14" t="s">
        <v>602</v>
      </c>
      <c r="C24" s="14" t="s">
        <v>452</v>
      </c>
      <c r="D24" s="14" t="s">
        <v>603</v>
      </c>
      <c r="E24" s="14" t="s">
        <v>604</v>
      </c>
      <c r="F24" s="33" t="n">
        <v>200</v>
      </c>
      <c r="G24" s="33" t="n">
        <v>800</v>
      </c>
      <c r="H24" s="33" t="n">
        <v>2025</v>
      </c>
      <c r="I24" s="28" t="n">
        <v>294000000</v>
      </c>
      <c r="J24" s="14" t="s">
        <v>605</v>
      </c>
      <c r="K24" s="14" t="s">
        <v>606</v>
      </c>
      <c r="L24" s="14" t="s">
        <v>607</v>
      </c>
      <c r="M24" s="14" t="s">
        <v>212</v>
      </c>
      <c r="N24" s="14"/>
      <c r="O24" s="45" t="n">
        <f aca="false">IF(AND(ISNUMBER(F24),ISNUMBER(G24),F24&gt;0),G24/F24,"")</f>
        <v>4</v>
      </c>
      <c r="P24" s="12" t="n">
        <f aca="false">IF(AND(ISNUMBER(G24),ISNUMBER(I24),G24&gt;0),I24/(G24*1000),"")</f>
        <v>367.5</v>
      </c>
      <c r="Q24" s="12" t="n">
        <f aca="false">IF(AND(ISNUMBER(F24),ISNUMBER(I24),F24&gt;0),I24/(F24*1000),"")</f>
        <v>1470</v>
      </c>
      <c r="R24" s="46" t="s">
        <v>608</v>
      </c>
      <c r="S24" s="46" t="s">
        <v>609</v>
      </c>
      <c r="T24" s="12" t="str">
        <f aca="false">IF(AND(N24="",ISNUMBER(G24),G24&lt;=100,ISNUMBER(P24),OR(LEFT(C24,3)="IOU",C24="muni/coop",LEFT(C24,5)="other")),P24,"")</f>
        <v/>
      </c>
    </row>
    <row r="25" customFormat="false" ht="42" hidden="false" customHeight="true" outlineLevel="0" collapsed="false">
      <c r="A25" s="14" t="s">
        <v>610</v>
      </c>
      <c r="B25" s="14" t="s">
        <v>602</v>
      </c>
      <c r="C25" s="14" t="s">
        <v>452</v>
      </c>
      <c r="D25" s="14" t="s">
        <v>603</v>
      </c>
      <c r="E25" s="14" t="s">
        <v>604</v>
      </c>
      <c r="F25" s="33" t="n">
        <v>200</v>
      </c>
      <c r="G25" s="33" t="n">
        <v>800</v>
      </c>
      <c r="H25" s="33" t="n">
        <v>2026</v>
      </c>
      <c r="I25" s="28" t="n">
        <v>350000000</v>
      </c>
      <c r="J25" s="14" t="s">
        <v>611</v>
      </c>
      <c r="K25" s="14" t="s">
        <v>522</v>
      </c>
      <c r="L25" s="14" t="s">
        <v>612</v>
      </c>
      <c r="M25" s="14" t="s">
        <v>212</v>
      </c>
      <c r="N25" s="14"/>
      <c r="O25" s="45" t="n">
        <f aca="false">IF(AND(ISNUMBER(F25),ISNUMBER(G25),F25&gt;0),G25/F25,"")</f>
        <v>4</v>
      </c>
      <c r="P25" s="12" t="n">
        <f aca="false">IF(AND(ISNUMBER(G25),ISNUMBER(I25),G25&gt;0),I25/(G25*1000),"")</f>
        <v>437.5</v>
      </c>
      <c r="Q25" s="12" t="n">
        <f aca="false">IF(AND(ISNUMBER(F25),ISNUMBER(I25),F25&gt;0),I25/(F25*1000),"")</f>
        <v>1750</v>
      </c>
      <c r="R25" s="46" t="s">
        <v>613</v>
      </c>
      <c r="S25" s="46" t="s">
        <v>614</v>
      </c>
      <c r="T25" s="12" t="str">
        <f aca="false">IF(AND(N25="",ISNUMBER(G25),G25&lt;=100,ISNUMBER(P25),OR(LEFT(C25,3)="IOU",C25="muni/coop",LEFT(C25,5)="other")),P25,"")</f>
        <v/>
      </c>
    </row>
    <row r="26" customFormat="false" ht="42" hidden="false" customHeight="true" outlineLevel="0" collapsed="false">
      <c r="A26" s="14" t="s">
        <v>615</v>
      </c>
      <c r="B26" s="14" t="s">
        <v>616</v>
      </c>
      <c r="C26" s="14" t="s">
        <v>452</v>
      </c>
      <c r="D26" s="14" t="s">
        <v>617</v>
      </c>
      <c r="E26" s="14" t="s">
        <v>595</v>
      </c>
      <c r="F26" s="33" t="n">
        <v>200</v>
      </c>
      <c r="G26" s="33"/>
      <c r="H26" s="33" t="n">
        <v>2026</v>
      </c>
      <c r="I26" s="28" t="n">
        <v>430000000</v>
      </c>
      <c r="J26" s="14" t="s">
        <v>618</v>
      </c>
      <c r="K26" s="14" t="s">
        <v>619</v>
      </c>
      <c r="L26" s="14" t="s">
        <v>620</v>
      </c>
      <c r="M26" s="14" t="s">
        <v>212</v>
      </c>
      <c r="N26" s="14" t="s">
        <v>621</v>
      </c>
      <c r="O26" s="45" t="str">
        <f aca="false">IF(AND(ISNUMBER(F26),ISNUMBER(G26),F26&gt;0),G26/F26,"")</f>
        <v/>
      </c>
      <c r="P26" s="12" t="str">
        <f aca="false">IF(AND(ISNUMBER(G26),ISNUMBER(I26),G26&gt;0),I26/(G26*1000),"")</f>
        <v/>
      </c>
      <c r="Q26" s="12" t="n">
        <f aca="false">IF(AND(ISNUMBER(F26),ISNUMBER(I26),F26&gt;0),I26/(F26*1000),"")</f>
        <v>2150</v>
      </c>
      <c r="R26" s="46" t="s">
        <v>622</v>
      </c>
      <c r="S26" s="46" t="s">
        <v>623</v>
      </c>
      <c r="T26" s="12" t="str">
        <f aca="false">IF(AND(N26="",ISNUMBER(G26),G26&lt;=100,ISNUMBER(P26),OR(LEFT(C26,3)="IOU",C26="muni/coop",LEFT(C26,5)="other")),P26,"")</f>
        <v/>
      </c>
    </row>
    <row r="27" customFormat="false" ht="42" hidden="false" customHeight="true" outlineLevel="0" collapsed="false">
      <c r="A27" s="14" t="s">
        <v>624</v>
      </c>
      <c r="B27" s="14" t="s">
        <v>625</v>
      </c>
      <c r="C27" s="14" t="s">
        <v>452</v>
      </c>
      <c r="D27" s="14" t="s">
        <v>626</v>
      </c>
      <c r="E27" s="14" t="s">
        <v>595</v>
      </c>
      <c r="F27" s="33" t="n">
        <v>20</v>
      </c>
      <c r="G27" s="33" t="n">
        <v>20</v>
      </c>
      <c r="H27" s="33" t="n">
        <v>2016</v>
      </c>
      <c r="I27" s="28" t="n">
        <v>25000000</v>
      </c>
      <c r="J27" s="14" t="s">
        <v>627</v>
      </c>
      <c r="K27" s="14" t="s">
        <v>522</v>
      </c>
      <c r="L27" s="14" t="s">
        <v>628</v>
      </c>
      <c r="M27" s="14" t="s">
        <v>212</v>
      </c>
      <c r="N27" s="14"/>
      <c r="O27" s="45" t="n">
        <f aca="false">IF(AND(ISNUMBER(F27),ISNUMBER(G27),F27&gt;0),G27/F27,"")</f>
        <v>1</v>
      </c>
      <c r="P27" s="12" t="n">
        <f aca="false">IF(AND(ISNUMBER(G27),ISNUMBER(I27),G27&gt;0),I27/(G27*1000),"")</f>
        <v>1250</v>
      </c>
      <c r="Q27" s="12" t="n">
        <f aca="false">IF(AND(ISNUMBER(F27),ISNUMBER(I27),F27&gt;0),I27/(F27*1000),"")</f>
        <v>1250</v>
      </c>
      <c r="R27" s="46" t="s">
        <v>629</v>
      </c>
      <c r="S27" s="46" t="s">
        <v>630</v>
      </c>
      <c r="T27" s="12" t="n">
        <f aca="false">IF(AND(N27="",ISNUMBER(G27),G27&lt;=100,ISNUMBER(P27),OR(LEFT(C27,3)="IOU",C27="muni/coop",LEFT(C27,5)="other")),P27,"")</f>
        <v>1250</v>
      </c>
    </row>
    <row r="28" customFormat="false" ht="42" hidden="false" customHeight="true" outlineLevel="0" collapsed="false">
      <c r="A28" s="14" t="s">
        <v>631</v>
      </c>
      <c r="B28" s="14" t="s">
        <v>632</v>
      </c>
      <c r="C28" s="14" t="s">
        <v>477</v>
      </c>
      <c r="D28" s="14" t="s">
        <v>633</v>
      </c>
      <c r="E28" s="14" t="s">
        <v>634</v>
      </c>
      <c r="F28" s="33" t="n">
        <v>1.5</v>
      </c>
      <c r="G28" s="33" t="n">
        <v>3</v>
      </c>
      <c r="H28" s="33" t="n">
        <v>2016</v>
      </c>
      <c r="I28" s="28" t="n">
        <v>3000000</v>
      </c>
      <c r="J28" s="14" t="s">
        <v>455</v>
      </c>
      <c r="K28" s="14" t="s">
        <v>635</v>
      </c>
      <c r="L28" s="14" t="s">
        <v>636</v>
      </c>
      <c r="M28" s="14" t="s">
        <v>212</v>
      </c>
      <c r="N28" s="14"/>
      <c r="O28" s="45" t="n">
        <f aca="false">IF(AND(ISNUMBER(F28),ISNUMBER(G28),F28&gt;0),G28/F28,"")</f>
        <v>2</v>
      </c>
      <c r="P28" s="12" t="n">
        <f aca="false">IF(AND(ISNUMBER(G28),ISNUMBER(I28),G28&gt;0),I28/(G28*1000),"")</f>
        <v>1000</v>
      </c>
      <c r="Q28" s="12" t="n">
        <f aca="false">IF(AND(ISNUMBER(F28),ISNUMBER(I28),F28&gt;0),I28/(F28*1000),"")</f>
        <v>2000</v>
      </c>
      <c r="R28" s="46" t="s">
        <v>637</v>
      </c>
      <c r="S28" s="46" t="s">
        <v>638</v>
      </c>
      <c r="T28" s="12" t="n">
        <f aca="false">IF(AND(N28="",ISNUMBER(G28),G28&lt;=100,ISNUMBER(P28),OR(LEFT(C28,3)="IOU",C28="muni/coop",LEFT(C28,5)="other")),P28,"")</f>
        <v>1000</v>
      </c>
    </row>
    <row r="29" customFormat="false" ht="42" hidden="false" customHeight="true" outlineLevel="0" collapsed="false">
      <c r="A29" s="14" t="s">
        <v>639</v>
      </c>
      <c r="B29" s="14" t="s">
        <v>640</v>
      </c>
      <c r="C29" s="14" t="s">
        <v>452</v>
      </c>
      <c r="D29" s="14" t="s">
        <v>641</v>
      </c>
      <c r="E29" s="14" t="s">
        <v>642</v>
      </c>
      <c r="F29" s="33" t="n">
        <v>150</v>
      </c>
      <c r="G29" s="33" t="n">
        <v>600</v>
      </c>
      <c r="H29" s="33" t="n">
        <v>2026</v>
      </c>
      <c r="I29" s="28" t="n">
        <v>258000000</v>
      </c>
      <c r="J29" s="14" t="s">
        <v>643</v>
      </c>
      <c r="K29" s="14" t="s">
        <v>644</v>
      </c>
      <c r="L29" s="14" t="s">
        <v>645</v>
      </c>
      <c r="M29" s="14" t="s">
        <v>193</v>
      </c>
      <c r="N29" s="14"/>
      <c r="O29" s="45" t="n">
        <f aca="false">IF(AND(ISNUMBER(F29),ISNUMBER(G29),F29&gt;0),G29/F29,"")</f>
        <v>4</v>
      </c>
      <c r="P29" s="12" t="n">
        <f aca="false">IF(AND(ISNUMBER(G29),ISNUMBER(I29),G29&gt;0),I29/(G29*1000),"")</f>
        <v>430</v>
      </c>
      <c r="Q29" s="12" t="n">
        <f aca="false">IF(AND(ISNUMBER(F29),ISNUMBER(I29),F29&gt;0),I29/(F29*1000),"")</f>
        <v>1720</v>
      </c>
      <c r="R29" s="46" t="s">
        <v>646</v>
      </c>
      <c r="S29" s="46" t="s">
        <v>647</v>
      </c>
      <c r="T29" s="12" t="str">
        <f aca="false">IF(AND(N29="",ISNUMBER(G29),G29&lt;=100,ISNUMBER(P29),OR(LEFT(C29,3)="IOU",C29="muni/coop",LEFT(C29,5)="other")),P29,"")</f>
        <v/>
      </c>
    </row>
    <row r="30" customFormat="false" ht="42" hidden="false" customHeight="true" outlineLevel="0" collapsed="false">
      <c r="A30" s="14" t="s">
        <v>648</v>
      </c>
      <c r="B30" s="14" t="s">
        <v>649</v>
      </c>
      <c r="C30" s="14" t="s">
        <v>477</v>
      </c>
      <c r="D30" s="14" t="s">
        <v>650</v>
      </c>
      <c r="E30" s="14" t="s">
        <v>504</v>
      </c>
      <c r="F30" s="33" t="n">
        <v>40</v>
      </c>
      <c r="G30" s="33" t="n">
        <v>22</v>
      </c>
      <c r="H30" s="33"/>
      <c r="I30" s="28" t="n">
        <v>43000000</v>
      </c>
      <c r="J30" s="14" t="s">
        <v>651</v>
      </c>
      <c r="K30" s="14" t="s">
        <v>652</v>
      </c>
      <c r="L30" s="14" t="s">
        <v>653</v>
      </c>
      <c r="M30" s="14" t="s">
        <v>212</v>
      </c>
      <c r="N30" s="14"/>
      <c r="O30" s="45" t="n">
        <f aca="false">IF(AND(ISNUMBER(F30),ISNUMBER(G30),F30&gt;0),G30/F30,"")</f>
        <v>0.55</v>
      </c>
      <c r="P30" s="12" t="n">
        <f aca="false">IF(AND(ISNUMBER(G30),ISNUMBER(I30),G30&gt;0),I30/(G30*1000),"")</f>
        <v>1954.54545454545</v>
      </c>
      <c r="Q30" s="12" t="n">
        <f aca="false">IF(AND(ISNUMBER(F30),ISNUMBER(I30),F30&gt;0),I30/(F30*1000),"")</f>
        <v>1075</v>
      </c>
      <c r="R30" s="46" t="s">
        <v>654</v>
      </c>
      <c r="S30" s="46" t="s">
        <v>655</v>
      </c>
      <c r="T30" s="12" t="n">
        <f aca="false">IF(AND(N30="",ISNUMBER(G30),G30&lt;=100,ISNUMBER(P30),OR(LEFT(C30,3)="IOU",C30="muni/coop",LEFT(C30,5)="other")),P30,"")</f>
        <v>1954.54545454545</v>
      </c>
    </row>
    <row r="31" customFormat="false" ht="42" hidden="false" customHeight="true" outlineLevel="0" collapsed="false">
      <c r="A31" s="14" t="s">
        <v>656</v>
      </c>
      <c r="B31" s="14" t="s">
        <v>657</v>
      </c>
      <c r="C31" s="14" t="s">
        <v>452</v>
      </c>
      <c r="D31" s="14" t="s">
        <v>658</v>
      </c>
      <c r="E31" s="14" t="s">
        <v>572</v>
      </c>
      <c r="F31" s="33" t="n">
        <v>2.5</v>
      </c>
      <c r="G31" s="33" t="n">
        <v>9.74</v>
      </c>
      <c r="H31" s="33" t="n">
        <v>2023</v>
      </c>
      <c r="I31" s="28" t="n">
        <v>16161336</v>
      </c>
      <c r="J31" s="14" t="s">
        <v>659</v>
      </c>
      <c r="K31" s="14" t="s">
        <v>660</v>
      </c>
      <c r="L31" s="14" t="s">
        <v>661</v>
      </c>
      <c r="M31" s="14" t="s">
        <v>193</v>
      </c>
      <c r="N31" s="14"/>
      <c r="O31" s="45" t="n">
        <f aca="false">IF(AND(ISNUMBER(F31),ISNUMBER(G31),F31&gt;0),G31/F31,"")</f>
        <v>3.896</v>
      </c>
      <c r="P31" s="12" t="n">
        <f aca="false">IF(AND(ISNUMBER(G31),ISNUMBER(I31),G31&gt;0),I31/(G31*1000),"")</f>
        <v>1659.27474332649</v>
      </c>
      <c r="Q31" s="12" t="n">
        <f aca="false">IF(AND(ISNUMBER(F31),ISNUMBER(I31),F31&gt;0),I31/(F31*1000),"")</f>
        <v>6464.5344</v>
      </c>
      <c r="R31" s="46" t="s">
        <v>662</v>
      </c>
      <c r="S31" s="46" t="s">
        <v>663</v>
      </c>
      <c r="T31" s="12" t="n">
        <f aca="false">IF(AND(N31="",ISNUMBER(G31),G31&lt;=100,ISNUMBER(P31),OR(LEFT(C31,3)="IOU",C31="muni/coop",LEFT(C31,5)="other")),P31,"")</f>
        <v>1659.27474332649</v>
      </c>
    </row>
    <row r="32" customFormat="false" ht="42" hidden="false" customHeight="true" outlineLevel="0" collapsed="false">
      <c r="A32" s="14" t="s">
        <v>664</v>
      </c>
      <c r="B32" s="14" t="s">
        <v>665</v>
      </c>
      <c r="C32" s="14" t="s">
        <v>666</v>
      </c>
      <c r="D32" s="14" t="s">
        <v>667</v>
      </c>
      <c r="E32" s="14" t="s">
        <v>668</v>
      </c>
      <c r="F32" s="33" t="n">
        <v>20</v>
      </c>
      <c r="G32" s="33"/>
      <c r="H32" s="33" t="n">
        <v>2024</v>
      </c>
      <c r="I32" s="28" t="n">
        <v>25000000</v>
      </c>
      <c r="J32" s="14" t="s">
        <v>455</v>
      </c>
      <c r="K32" s="14" t="s">
        <v>522</v>
      </c>
      <c r="L32" s="14" t="s">
        <v>669</v>
      </c>
      <c r="M32" s="14" t="s">
        <v>193</v>
      </c>
      <c r="N32" s="14"/>
      <c r="O32" s="45" t="str">
        <f aca="false">IF(AND(ISNUMBER(F32),ISNUMBER(G32),F32&gt;0),G32/F32,"")</f>
        <v/>
      </c>
      <c r="P32" s="12" t="str">
        <f aca="false">IF(AND(ISNUMBER(G32),ISNUMBER(I32),G32&gt;0),I32/(G32*1000),"")</f>
        <v/>
      </c>
      <c r="Q32" s="12" t="n">
        <f aca="false">IF(AND(ISNUMBER(F32),ISNUMBER(I32),F32&gt;0),I32/(F32*1000),"")</f>
        <v>1250</v>
      </c>
      <c r="R32" s="46" t="s">
        <v>670</v>
      </c>
      <c r="S32" s="46" t="s">
        <v>671</v>
      </c>
      <c r="T32" s="12" t="str">
        <f aca="false">IF(AND(N32="",ISNUMBER(G32),G32&lt;=100,ISNUMBER(P32),OR(LEFT(C32,3)="IOU",C32="muni/coop",LEFT(C32,5)="other")),P32,"")</f>
        <v/>
      </c>
    </row>
    <row r="33" customFormat="false" ht="42" hidden="false" customHeight="true" outlineLevel="0" collapsed="false">
      <c r="A33" s="14" t="s">
        <v>672</v>
      </c>
      <c r="B33" s="14" t="s">
        <v>538</v>
      </c>
      <c r="C33" s="14" t="s">
        <v>452</v>
      </c>
      <c r="D33" s="14" t="s">
        <v>539</v>
      </c>
      <c r="E33" s="14" t="s">
        <v>454</v>
      </c>
      <c r="F33" s="33" t="n">
        <v>4</v>
      </c>
      <c r="G33" s="33" t="n">
        <v>3.4</v>
      </c>
      <c r="H33" s="33" t="n">
        <v>2015</v>
      </c>
      <c r="I33" s="28" t="n">
        <v>4200000</v>
      </c>
      <c r="J33" s="14" t="s">
        <v>673</v>
      </c>
      <c r="K33" s="14" t="s">
        <v>674</v>
      </c>
      <c r="L33" s="14" t="s">
        <v>675</v>
      </c>
      <c r="M33" s="14" t="s">
        <v>212</v>
      </c>
      <c r="N33" s="14"/>
      <c r="O33" s="45" t="n">
        <f aca="false">IF(AND(ISNUMBER(F33),ISNUMBER(G33),F33&gt;0),G33/F33,"")</f>
        <v>0.85</v>
      </c>
      <c r="P33" s="12" t="n">
        <f aca="false">IF(AND(ISNUMBER(G33),ISNUMBER(I33),G33&gt;0),I33/(G33*1000),"")</f>
        <v>1235.29411764706</v>
      </c>
      <c r="Q33" s="12" t="n">
        <f aca="false">IF(AND(ISNUMBER(F33),ISNUMBER(I33),F33&gt;0),I33/(F33*1000),"")</f>
        <v>1050</v>
      </c>
      <c r="R33" s="46" t="s">
        <v>676</v>
      </c>
      <c r="S33" s="46" t="s">
        <v>677</v>
      </c>
      <c r="T33" s="12" t="n">
        <f aca="false">IF(AND(N33="",ISNUMBER(G33),G33&lt;=100,ISNUMBER(P33),OR(LEFT(C33,3)="IOU",C33="muni/coop",LEFT(C33,5)="other")),P33,"")</f>
        <v>1235.29411764706</v>
      </c>
    </row>
    <row r="34" customFormat="false" ht="42" hidden="false" customHeight="true" outlineLevel="0" collapsed="false">
      <c r="A34" s="14" t="s">
        <v>678</v>
      </c>
      <c r="B34" s="14" t="s">
        <v>679</v>
      </c>
      <c r="C34" s="14" t="s">
        <v>452</v>
      </c>
      <c r="D34" s="14" t="s">
        <v>680</v>
      </c>
      <c r="E34" s="14" t="s">
        <v>681</v>
      </c>
      <c r="F34" s="33" t="n">
        <v>119</v>
      </c>
      <c r="G34" s="33"/>
      <c r="H34" s="33" t="n">
        <v>2024</v>
      </c>
      <c r="I34" s="28" t="n">
        <v>267900000</v>
      </c>
      <c r="J34" s="14" t="s">
        <v>682</v>
      </c>
      <c r="K34" s="14" t="s">
        <v>660</v>
      </c>
      <c r="L34" s="14" t="s">
        <v>683</v>
      </c>
      <c r="M34" s="14" t="s">
        <v>193</v>
      </c>
      <c r="N34" s="14"/>
      <c r="O34" s="45" t="str">
        <f aca="false">IF(AND(ISNUMBER(F34),ISNUMBER(G34),F34&gt;0),G34/F34,"")</f>
        <v/>
      </c>
      <c r="P34" s="12" t="str">
        <f aca="false">IF(AND(ISNUMBER(G34),ISNUMBER(I34),G34&gt;0),I34/(G34*1000),"")</f>
        <v/>
      </c>
      <c r="Q34" s="12" t="n">
        <f aca="false">IF(AND(ISNUMBER(F34),ISNUMBER(I34),F34&gt;0),I34/(F34*1000),"")</f>
        <v>2251.26050420168</v>
      </c>
      <c r="R34" s="46" t="s">
        <v>684</v>
      </c>
      <c r="S34" s="46" t="s">
        <v>685</v>
      </c>
      <c r="T34" s="12" t="str">
        <f aca="false">IF(AND(N34="",ISNUMBER(G34),G34&lt;=100,ISNUMBER(P34),OR(LEFT(C34,3)="IOU",C34="muni/coop",LEFT(C34,5)="other")),P34,"")</f>
        <v/>
      </c>
    </row>
    <row r="35" customFormat="false" ht="42" hidden="false" customHeight="true" outlineLevel="0" collapsed="false">
      <c r="A35" s="14" t="s">
        <v>686</v>
      </c>
      <c r="B35" s="14" t="s">
        <v>679</v>
      </c>
      <c r="C35" s="14" t="s">
        <v>452</v>
      </c>
      <c r="D35" s="14" t="s">
        <v>680</v>
      </c>
      <c r="E35" s="14" t="s">
        <v>681</v>
      </c>
      <c r="F35" s="33" t="n">
        <v>100</v>
      </c>
      <c r="G35" s="33"/>
      <c r="H35" s="33" t="n">
        <v>2025</v>
      </c>
      <c r="I35" s="28" t="n">
        <v>224500000</v>
      </c>
      <c r="J35" s="14" t="s">
        <v>687</v>
      </c>
      <c r="K35" s="14" t="s">
        <v>660</v>
      </c>
      <c r="L35" s="14" t="s">
        <v>688</v>
      </c>
      <c r="M35" s="14" t="s">
        <v>193</v>
      </c>
      <c r="N35" s="14"/>
      <c r="O35" s="45" t="str">
        <f aca="false">IF(AND(ISNUMBER(F35),ISNUMBER(G35),F35&gt;0),G35/F35,"")</f>
        <v/>
      </c>
      <c r="P35" s="12" t="str">
        <f aca="false">IF(AND(ISNUMBER(G35),ISNUMBER(I35),G35&gt;0),I35/(G35*1000),"")</f>
        <v/>
      </c>
      <c r="Q35" s="12" t="n">
        <f aca="false">IF(AND(ISNUMBER(F35),ISNUMBER(I35),F35&gt;0),I35/(F35*1000),"")</f>
        <v>2245</v>
      </c>
      <c r="R35" s="46" t="s">
        <v>684</v>
      </c>
      <c r="S35" s="46" t="s">
        <v>689</v>
      </c>
      <c r="T35" s="12" t="str">
        <f aca="false">IF(AND(N35="",ISNUMBER(G35),G35&lt;=100,ISNUMBER(P35),OR(LEFT(C35,3)="IOU",C35="muni/coop",LEFT(C35,5)="other")),P35,"")</f>
        <v/>
      </c>
    </row>
    <row r="36" customFormat="false" ht="42" hidden="false" customHeight="true" outlineLevel="0" collapsed="false">
      <c r="A36" s="14" t="s">
        <v>690</v>
      </c>
      <c r="B36" s="14" t="s">
        <v>691</v>
      </c>
      <c r="C36" s="14" t="s">
        <v>692</v>
      </c>
      <c r="D36" s="14" t="s">
        <v>693</v>
      </c>
      <c r="E36" s="14" t="s">
        <v>694</v>
      </c>
      <c r="F36" s="33" t="n">
        <v>6</v>
      </c>
      <c r="G36" s="33" t="n">
        <v>10</v>
      </c>
      <c r="H36" s="33" t="n">
        <v>2014</v>
      </c>
      <c r="I36" s="28" t="n">
        <v>29000000</v>
      </c>
      <c r="J36" s="14" t="s">
        <v>695</v>
      </c>
      <c r="K36" s="14" t="s">
        <v>696</v>
      </c>
      <c r="L36" s="14" t="s">
        <v>697</v>
      </c>
      <c r="M36" s="14" t="s">
        <v>193</v>
      </c>
      <c r="N36" s="14" t="s">
        <v>698</v>
      </c>
      <c r="O36" s="45" t="n">
        <f aca="false">IF(AND(ISNUMBER(F36),ISNUMBER(G36),F36&gt;0),G36/F36,"")</f>
        <v>1.66666666666667</v>
      </c>
      <c r="P36" s="12" t="n">
        <f aca="false">IF(AND(ISNUMBER(G36),ISNUMBER(I36),G36&gt;0),I36/(G36*1000),"")</f>
        <v>2900</v>
      </c>
      <c r="Q36" s="12" t="n">
        <f aca="false">IF(AND(ISNUMBER(F36),ISNUMBER(I36),F36&gt;0),I36/(F36*1000),"")</f>
        <v>4833.33333333333</v>
      </c>
      <c r="R36" s="46" t="s">
        <v>699</v>
      </c>
      <c r="S36" s="46" t="s">
        <v>700</v>
      </c>
      <c r="T36" s="12" t="str">
        <f aca="false">IF(AND(N36="",ISNUMBER(G36),G36&lt;=100,ISNUMBER(P36),OR(LEFT(C36,3)="IOU",C36="muni/coop",LEFT(C36,5)="other")),P36,"")</f>
        <v/>
      </c>
    </row>
    <row r="37" customFormat="false" ht="42" hidden="false" customHeight="true" outlineLevel="0" collapsed="false">
      <c r="A37" s="14" t="s">
        <v>701</v>
      </c>
      <c r="B37" s="14" t="s">
        <v>702</v>
      </c>
      <c r="C37" s="14" t="s">
        <v>703</v>
      </c>
      <c r="D37" s="14" t="s">
        <v>704</v>
      </c>
      <c r="E37" s="14" t="s">
        <v>705</v>
      </c>
      <c r="F37" s="33" t="n">
        <v>30</v>
      </c>
      <c r="G37" s="33" t="n">
        <v>8</v>
      </c>
      <c r="H37" s="33" t="n">
        <v>2018</v>
      </c>
      <c r="I37" s="28" t="n">
        <v>22200000</v>
      </c>
      <c r="J37" s="14" t="s">
        <v>455</v>
      </c>
      <c r="K37" s="14" t="s">
        <v>522</v>
      </c>
      <c r="L37" s="14" t="s">
        <v>706</v>
      </c>
      <c r="M37" s="14" t="s">
        <v>193</v>
      </c>
      <c r="N37" s="14"/>
      <c r="O37" s="45" t="n">
        <f aca="false">IF(AND(ISNUMBER(F37),ISNUMBER(G37),F37&gt;0),G37/F37,"")</f>
        <v>0.266666666666667</v>
      </c>
      <c r="P37" s="12" t="n">
        <f aca="false">IF(AND(ISNUMBER(G37),ISNUMBER(I37),G37&gt;0),I37/(G37*1000),"")</f>
        <v>2775</v>
      </c>
      <c r="Q37" s="12" t="n">
        <f aca="false">IF(AND(ISNUMBER(F37),ISNUMBER(I37),F37&gt;0),I37/(F37*1000),"")</f>
        <v>740</v>
      </c>
      <c r="R37" s="46" t="s">
        <v>707</v>
      </c>
      <c r="S37" s="46" t="s">
        <v>708</v>
      </c>
      <c r="T37" s="12" t="n">
        <f aca="false">IF(AND(N37="",ISNUMBER(G37),G37&lt;=100,ISNUMBER(P37),OR(LEFT(C37,3)="IOU",C37="muni/coop",LEFT(C37,5)="other")),P37,"")</f>
        <v>2775</v>
      </c>
    </row>
    <row r="38" customFormat="false" ht="42" hidden="false" customHeight="true" outlineLevel="0" collapsed="false">
      <c r="A38" s="14" t="s">
        <v>709</v>
      </c>
      <c r="B38" s="14" t="s">
        <v>710</v>
      </c>
      <c r="C38" s="14" t="s">
        <v>711</v>
      </c>
      <c r="D38" s="14" t="s">
        <v>712</v>
      </c>
      <c r="E38" s="14" t="s">
        <v>713</v>
      </c>
      <c r="F38" s="33" t="n">
        <v>250</v>
      </c>
      <c r="G38" s="33" t="n">
        <v>1000</v>
      </c>
      <c r="H38" s="33" t="n">
        <v>2025</v>
      </c>
      <c r="I38" s="28" t="n">
        <v>511000000</v>
      </c>
      <c r="J38" s="14" t="s">
        <v>714</v>
      </c>
      <c r="K38" s="14" t="s">
        <v>522</v>
      </c>
      <c r="L38" s="14" t="s">
        <v>715</v>
      </c>
      <c r="M38" s="14" t="s">
        <v>193</v>
      </c>
      <c r="N38" s="14"/>
      <c r="O38" s="45" t="n">
        <f aca="false">IF(AND(ISNUMBER(F38),ISNUMBER(G38),F38&gt;0),G38/F38,"")</f>
        <v>4</v>
      </c>
      <c r="P38" s="12" t="n">
        <f aca="false">IF(AND(ISNUMBER(G38),ISNUMBER(I38),G38&gt;0),I38/(G38*1000),"")</f>
        <v>511</v>
      </c>
      <c r="Q38" s="12" t="n">
        <f aca="false">IF(AND(ISNUMBER(F38),ISNUMBER(I38),F38&gt;0),I38/(F38*1000),"")</f>
        <v>2044</v>
      </c>
      <c r="R38" s="46" t="s">
        <v>716</v>
      </c>
      <c r="S38" s="46" t="s">
        <v>717</v>
      </c>
      <c r="T38" s="12" t="str">
        <f aca="false">IF(AND(N38="",ISNUMBER(G38),G38&lt;=100,ISNUMBER(P38),OR(LEFT(C38,3)="IOU",C38="muni/coop",LEFT(C38,5)="other")),P38,"")</f>
        <v/>
      </c>
    </row>
    <row r="39" customFormat="false" ht="42" hidden="false" customHeight="true" outlineLevel="0" collapsed="false">
      <c r="A39" s="14" t="s">
        <v>718</v>
      </c>
      <c r="B39" s="14" t="s">
        <v>719</v>
      </c>
      <c r="C39" s="14" t="s">
        <v>477</v>
      </c>
      <c r="D39" s="14" t="s">
        <v>633</v>
      </c>
      <c r="E39" s="14" t="s">
        <v>634</v>
      </c>
      <c r="F39" s="33" t="n">
        <v>10</v>
      </c>
      <c r="G39" s="33" t="n">
        <v>10</v>
      </c>
      <c r="H39" s="33" t="n">
        <v>2019</v>
      </c>
      <c r="I39" s="28" t="n">
        <v>16300000</v>
      </c>
      <c r="J39" s="14" t="s">
        <v>720</v>
      </c>
      <c r="K39" s="14" t="s">
        <v>721</v>
      </c>
      <c r="L39" s="14" t="s">
        <v>722</v>
      </c>
      <c r="M39" s="14" t="s">
        <v>212</v>
      </c>
      <c r="N39" s="14" t="s">
        <v>723</v>
      </c>
      <c r="O39" s="45" t="n">
        <f aca="false">IF(AND(ISNUMBER(F39),ISNUMBER(G39),F39&gt;0),G39/F39,"")</f>
        <v>1</v>
      </c>
      <c r="P39" s="12" t="n">
        <f aca="false">IF(AND(ISNUMBER(G39),ISNUMBER(I39),G39&gt;0),I39/(G39*1000),"")</f>
        <v>1630</v>
      </c>
      <c r="Q39" s="12" t="n">
        <f aca="false">IF(AND(ISNUMBER(F39),ISNUMBER(I39),F39&gt;0),I39/(F39*1000),"")</f>
        <v>1630</v>
      </c>
      <c r="R39" s="46" t="s">
        <v>724</v>
      </c>
      <c r="S39" s="46" t="s">
        <v>725</v>
      </c>
      <c r="T39" s="12" t="str">
        <f aca="false">IF(AND(N39="",ISNUMBER(G39),G39&lt;=100,ISNUMBER(P39),OR(LEFT(C39,3)="IOU",C39="muni/coop",LEFT(C39,5)="other")),P39,"")</f>
        <v/>
      </c>
    </row>
    <row r="40" customFormat="false" ht="42" hidden="false" customHeight="true" outlineLevel="0" collapsed="false">
      <c r="A40" s="14" t="s">
        <v>726</v>
      </c>
      <c r="B40" s="14" t="s">
        <v>727</v>
      </c>
      <c r="C40" s="14" t="s">
        <v>452</v>
      </c>
      <c r="D40" s="14" t="s">
        <v>680</v>
      </c>
      <c r="E40" s="14" t="s">
        <v>681</v>
      </c>
      <c r="F40" s="33" t="n">
        <v>537.5</v>
      </c>
      <c r="G40" s="33" t="n">
        <v>2150</v>
      </c>
      <c r="H40" s="33" t="n">
        <v>2022</v>
      </c>
      <c r="I40" s="28" t="n">
        <v>1226000000</v>
      </c>
      <c r="J40" s="14" t="s">
        <v>728</v>
      </c>
      <c r="K40" s="14" t="s">
        <v>729</v>
      </c>
      <c r="L40" s="14" t="s">
        <v>653</v>
      </c>
      <c r="M40" s="14" t="s">
        <v>193</v>
      </c>
      <c r="N40" s="14"/>
      <c r="O40" s="45" t="n">
        <f aca="false">IF(AND(ISNUMBER(F40),ISNUMBER(G40),F40&gt;0),G40/F40,"")</f>
        <v>4</v>
      </c>
      <c r="P40" s="12" t="n">
        <f aca="false">IF(AND(ISNUMBER(G40),ISNUMBER(I40),G40&gt;0),I40/(G40*1000),"")</f>
        <v>570.232558139535</v>
      </c>
      <c r="Q40" s="12" t="n">
        <f aca="false">IF(AND(ISNUMBER(F40),ISNUMBER(I40),F40&gt;0),I40/(F40*1000),"")</f>
        <v>2280.93023255814</v>
      </c>
      <c r="R40" s="46" t="s">
        <v>278</v>
      </c>
      <c r="S40" s="46" t="s">
        <v>730</v>
      </c>
      <c r="T40" s="12" t="str">
        <f aca="false">IF(AND(N40="",ISNUMBER(G40),G40&lt;=100,ISNUMBER(P40),OR(LEFT(C40,3)="IOU",C40="muni/coop",LEFT(C40,5)="other")),P40,"")</f>
        <v/>
      </c>
    </row>
    <row r="41" customFormat="false" ht="42" hidden="false" customHeight="true" outlineLevel="0" collapsed="false">
      <c r="A41" s="14" t="s">
        <v>731</v>
      </c>
      <c r="B41" s="14" t="s">
        <v>732</v>
      </c>
      <c r="C41" s="14" t="s">
        <v>666</v>
      </c>
      <c r="D41" s="14" t="s">
        <v>733</v>
      </c>
      <c r="E41" s="14" t="s">
        <v>734</v>
      </c>
      <c r="F41" s="33" t="n">
        <v>7</v>
      </c>
      <c r="G41" s="33" t="n">
        <v>40</v>
      </c>
      <c r="H41" s="33"/>
      <c r="I41" s="28" t="n">
        <v>23600000</v>
      </c>
      <c r="J41" s="14" t="s">
        <v>735</v>
      </c>
      <c r="K41" s="14" t="s">
        <v>522</v>
      </c>
      <c r="L41" s="14" t="s">
        <v>736</v>
      </c>
      <c r="M41" s="14" t="s">
        <v>193</v>
      </c>
      <c r="N41" s="14"/>
      <c r="O41" s="45" t="n">
        <f aca="false">IF(AND(ISNUMBER(F41),ISNUMBER(G41),F41&gt;0),G41/F41,"")</f>
        <v>5.71428571428571</v>
      </c>
      <c r="P41" s="12" t="n">
        <f aca="false">IF(AND(ISNUMBER(G41),ISNUMBER(I41),G41&gt;0),I41/(G41*1000),"")</f>
        <v>590</v>
      </c>
      <c r="Q41" s="12" t="n">
        <f aca="false">IF(AND(ISNUMBER(F41),ISNUMBER(I41),F41&gt;0),I41/(F41*1000),"")</f>
        <v>3371.42857142857</v>
      </c>
      <c r="R41" s="46" t="s">
        <v>737</v>
      </c>
      <c r="S41" s="46" t="s">
        <v>738</v>
      </c>
      <c r="T41" s="12" t="n">
        <f aca="false">IF(AND(N41="",ISNUMBER(G41),G41&lt;=100,ISNUMBER(P41),OR(LEFT(C41,3)="IOU",C41="muni/coop",LEFT(C41,5)="other")),P41,"")</f>
        <v>590</v>
      </c>
    </row>
    <row r="42" customFormat="false" ht="42" hidden="false" customHeight="true" outlineLevel="0" collapsed="false">
      <c r="A42" s="14" t="s">
        <v>739</v>
      </c>
      <c r="B42" s="14" t="s">
        <v>561</v>
      </c>
      <c r="C42" s="14" t="s">
        <v>452</v>
      </c>
      <c r="D42" s="14" t="s">
        <v>562</v>
      </c>
      <c r="E42" s="14" t="s">
        <v>563</v>
      </c>
      <c r="F42" s="33" t="n">
        <v>9</v>
      </c>
      <c r="G42" s="33"/>
      <c r="H42" s="33" t="n">
        <v>2020</v>
      </c>
      <c r="I42" s="28" t="n">
        <v>15000000</v>
      </c>
      <c r="J42" s="14" t="s">
        <v>740</v>
      </c>
      <c r="K42" s="14" t="s">
        <v>522</v>
      </c>
      <c r="L42" s="14" t="s">
        <v>741</v>
      </c>
      <c r="M42" s="14" t="s">
        <v>212</v>
      </c>
      <c r="N42" s="14"/>
      <c r="O42" s="45" t="str">
        <f aca="false">IF(AND(ISNUMBER(F42),ISNUMBER(G42),F42&gt;0),G42/F42,"")</f>
        <v/>
      </c>
      <c r="P42" s="12" t="str">
        <f aca="false">IF(AND(ISNUMBER(G42),ISNUMBER(I42),G42&gt;0),I42/(G42*1000),"")</f>
        <v/>
      </c>
      <c r="Q42" s="12" t="n">
        <f aca="false">IF(AND(ISNUMBER(F42),ISNUMBER(I42),F42&gt;0),I42/(F42*1000),"")</f>
        <v>1666.66666666667</v>
      </c>
      <c r="R42" s="46" t="s">
        <v>742</v>
      </c>
      <c r="S42" s="46" t="s">
        <v>743</v>
      </c>
      <c r="T42" s="12" t="str">
        <f aca="false">IF(AND(N42="",ISNUMBER(G42),G42&lt;=100,ISNUMBER(P42),OR(LEFT(C42,3)="IOU",C42="muni/coop",LEFT(C42,5)="other")),P42,"")</f>
        <v/>
      </c>
    </row>
    <row r="43" customFormat="false" ht="42" hidden="false" customHeight="true" outlineLevel="0" collapsed="false">
      <c r="A43" s="14" t="s">
        <v>744</v>
      </c>
      <c r="B43" s="14" t="s">
        <v>745</v>
      </c>
      <c r="C43" s="14" t="s">
        <v>711</v>
      </c>
      <c r="D43" s="14" t="s">
        <v>680</v>
      </c>
      <c r="E43" s="14" t="s">
        <v>681</v>
      </c>
      <c r="F43" s="33" t="n">
        <v>600</v>
      </c>
      <c r="G43" s="33" t="n">
        <v>2400</v>
      </c>
      <c r="H43" s="33"/>
      <c r="I43" s="28" t="n">
        <v>550000000</v>
      </c>
      <c r="J43" s="14" t="s">
        <v>746</v>
      </c>
      <c r="K43" s="14" t="s">
        <v>522</v>
      </c>
      <c r="L43" s="14" t="s">
        <v>747</v>
      </c>
      <c r="M43" s="14" t="s">
        <v>192</v>
      </c>
      <c r="N43" s="14" t="s">
        <v>748</v>
      </c>
      <c r="O43" s="45" t="n">
        <f aca="false">IF(AND(ISNUMBER(F43),ISNUMBER(G43),F43&gt;0),G43/F43,"")</f>
        <v>4</v>
      </c>
      <c r="P43" s="12" t="n">
        <f aca="false">IF(AND(ISNUMBER(G43),ISNUMBER(I43),G43&gt;0),I43/(G43*1000),"")</f>
        <v>229.166666666667</v>
      </c>
      <c r="Q43" s="12" t="n">
        <f aca="false">IF(AND(ISNUMBER(F43),ISNUMBER(I43),F43&gt;0),I43/(F43*1000),"")</f>
        <v>916.666666666667</v>
      </c>
      <c r="R43" s="46" t="s">
        <v>749</v>
      </c>
      <c r="S43" s="46" t="s">
        <v>750</v>
      </c>
      <c r="T43" s="12" t="str">
        <f aca="false">IF(AND(N43="",ISNUMBER(G43),G43&lt;=100,ISNUMBER(P43),OR(LEFT(C43,3)="IOU",C43="muni/coop",LEFT(C43,5)="other")),P43,"")</f>
        <v/>
      </c>
    </row>
    <row r="44" customFormat="false" ht="42" hidden="false" customHeight="true" outlineLevel="0" collapsed="false">
      <c r="A44" s="14" t="s">
        <v>751</v>
      </c>
      <c r="B44" s="14" t="s">
        <v>752</v>
      </c>
      <c r="C44" s="14" t="s">
        <v>753</v>
      </c>
      <c r="D44" s="14" t="s">
        <v>754</v>
      </c>
      <c r="E44" s="14" t="s">
        <v>755</v>
      </c>
      <c r="F44" s="33" t="n">
        <v>100</v>
      </c>
      <c r="G44" s="33" t="n">
        <v>200</v>
      </c>
      <c r="H44" s="33" t="n">
        <v>2023</v>
      </c>
      <c r="I44" s="28" t="n">
        <v>103500000</v>
      </c>
      <c r="J44" s="14" t="s">
        <v>756</v>
      </c>
      <c r="K44" s="14" t="s">
        <v>522</v>
      </c>
      <c r="L44" s="14" t="s">
        <v>757</v>
      </c>
      <c r="M44" s="14" t="s">
        <v>212</v>
      </c>
      <c r="N44" s="14"/>
      <c r="O44" s="45" t="n">
        <f aca="false">IF(AND(ISNUMBER(F44),ISNUMBER(G44),F44&gt;0),G44/F44,"")</f>
        <v>2</v>
      </c>
      <c r="P44" s="12" t="n">
        <f aca="false">IF(AND(ISNUMBER(G44),ISNUMBER(I44),G44&gt;0),I44/(G44*1000),"")</f>
        <v>517.5</v>
      </c>
      <c r="Q44" s="12" t="n">
        <f aca="false">IF(AND(ISNUMBER(F44),ISNUMBER(I44),F44&gt;0),I44/(F44*1000),"")</f>
        <v>1035</v>
      </c>
      <c r="R44" s="46" t="s">
        <v>758</v>
      </c>
      <c r="S44" s="46" t="s">
        <v>759</v>
      </c>
      <c r="T44" s="12" t="str">
        <f aca="false">IF(AND(N44="",ISNUMBER(G44),G44&lt;=100,ISNUMBER(P44),OR(LEFT(C44,3)="IOU",C44="muni/coop",LEFT(C44,5)="other")),P44,"")</f>
        <v/>
      </c>
    </row>
    <row r="45" customFormat="false" ht="42" hidden="false" customHeight="true" outlineLevel="0" collapsed="false">
      <c r="A45" s="14" t="s">
        <v>760</v>
      </c>
      <c r="B45" s="14" t="s">
        <v>761</v>
      </c>
      <c r="C45" s="14" t="s">
        <v>711</v>
      </c>
      <c r="D45" s="14" t="s">
        <v>762</v>
      </c>
      <c r="E45" s="14" t="s">
        <v>763</v>
      </c>
      <c r="F45" s="33" t="n">
        <v>10</v>
      </c>
      <c r="G45" s="33" t="n">
        <v>20</v>
      </c>
      <c r="H45" s="33" t="n">
        <v>2020</v>
      </c>
      <c r="I45" s="28" t="n">
        <v>11000000</v>
      </c>
      <c r="J45" s="14" t="s">
        <v>764</v>
      </c>
      <c r="K45" s="14" t="s">
        <v>522</v>
      </c>
      <c r="L45" s="14" t="s">
        <v>765</v>
      </c>
      <c r="M45" s="14" t="s">
        <v>212</v>
      </c>
      <c r="N45" s="14"/>
      <c r="O45" s="45" t="n">
        <f aca="false">IF(AND(ISNUMBER(F45),ISNUMBER(G45),F45&gt;0),G45/F45,"")</f>
        <v>2</v>
      </c>
      <c r="P45" s="12" t="n">
        <f aca="false">IF(AND(ISNUMBER(G45),ISNUMBER(I45),G45&gt;0),I45/(G45*1000),"")</f>
        <v>550</v>
      </c>
      <c r="Q45" s="12" t="n">
        <f aca="false">IF(AND(ISNUMBER(F45),ISNUMBER(I45),F45&gt;0),I45/(F45*1000),"")</f>
        <v>1100</v>
      </c>
      <c r="R45" s="46" t="s">
        <v>766</v>
      </c>
      <c r="S45" s="46" t="s">
        <v>767</v>
      </c>
      <c r="T45" s="12" t="str">
        <f aca="false">IF(AND(N45="",ISNUMBER(G45),G45&lt;=100,ISNUMBER(P45),OR(LEFT(C45,3)="IOU",C45="muni/coop",LEFT(C45,5)="other")),P45,"")</f>
        <v/>
      </c>
    </row>
    <row r="46" customFormat="false" ht="42" hidden="false" customHeight="true" outlineLevel="0" collapsed="false">
      <c r="A46" s="14" t="s">
        <v>768</v>
      </c>
      <c r="B46" s="14" t="s">
        <v>769</v>
      </c>
      <c r="C46" s="14" t="s">
        <v>711</v>
      </c>
      <c r="D46" s="14" t="s">
        <v>770</v>
      </c>
      <c r="E46" s="14" t="s">
        <v>771</v>
      </c>
      <c r="F46" s="33"/>
      <c r="G46" s="33" t="n">
        <v>400</v>
      </c>
      <c r="H46" s="33" t="n">
        <v>2026</v>
      </c>
      <c r="I46" s="28" t="n">
        <v>141000000</v>
      </c>
      <c r="J46" s="14" t="s">
        <v>772</v>
      </c>
      <c r="K46" s="14" t="s">
        <v>522</v>
      </c>
      <c r="L46" s="14" t="s">
        <v>773</v>
      </c>
      <c r="M46" s="14" t="s">
        <v>212</v>
      </c>
      <c r="N46" s="14"/>
      <c r="O46" s="45" t="str">
        <f aca="false">IF(AND(ISNUMBER(F46),ISNUMBER(G46),F46&gt;0),G46/F46,"")</f>
        <v/>
      </c>
      <c r="P46" s="12" t="n">
        <f aca="false">IF(AND(ISNUMBER(G46),ISNUMBER(I46),G46&gt;0),I46/(G46*1000),"")</f>
        <v>352.5</v>
      </c>
      <c r="Q46" s="12" t="str">
        <f aca="false">IF(AND(ISNUMBER(F46),ISNUMBER(I46),F46&gt;0),I46/(F46*1000),"")</f>
        <v/>
      </c>
      <c r="R46" s="46" t="s">
        <v>774</v>
      </c>
      <c r="S46" s="46" t="s">
        <v>775</v>
      </c>
      <c r="T46" s="12" t="str">
        <f aca="false">IF(AND(N46="",ISNUMBER(G46),G46&lt;=100,ISNUMBER(P46),OR(LEFT(C46,3)="IOU",C46="muni/coop",LEFT(C46,5)="other")),P46,"")</f>
        <v/>
      </c>
    </row>
    <row r="47" customFormat="false" ht="42" hidden="false" customHeight="true" outlineLevel="0" collapsed="false">
      <c r="A47" s="14" t="s">
        <v>776</v>
      </c>
      <c r="B47" s="14" t="s">
        <v>777</v>
      </c>
      <c r="C47" s="14" t="s">
        <v>711</v>
      </c>
      <c r="D47" s="14" t="s">
        <v>680</v>
      </c>
      <c r="E47" s="14" t="s">
        <v>681</v>
      </c>
      <c r="F47" s="33" t="n">
        <v>25</v>
      </c>
      <c r="G47" s="33" t="n">
        <v>100</v>
      </c>
      <c r="H47" s="33" t="n">
        <v>2027</v>
      </c>
      <c r="I47" s="28" t="n">
        <v>55300000</v>
      </c>
      <c r="J47" s="14" t="s">
        <v>778</v>
      </c>
      <c r="K47" s="14" t="s">
        <v>779</v>
      </c>
      <c r="L47" s="14" t="s">
        <v>780</v>
      </c>
      <c r="M47" s="14" t="s">
        <v>212</v>
      </c>
      <c r="N47" s="14" t="s">
        <v>781</v>
      </c>
      <c r="O47" s="45" t="n">
        <f aca="false">IF(AND(ISNUMBER(F47),ISNUMBER(G47),F47&gt;0),G47/F47,"")</f>
        <v>4</v>
      </c>
      <c r="P47" s="12" t="n">
        <f aca="false">IF(AND(ISNUMBER(G47),ISNUMBER(I47),G47&gt;0),I47/(G47*1000),"")</f>
        <v>553</v>
      </c>
      <c r="Q47" s="12" t="n">
        <f aca="false">IF(AND(ISNUMBER(F47),ISNUMBER(I47),F47&gt;0),I47/(F47*1000),"")</f>
        <v>2212</v>
      </c>
      <c r="R47" s="46" t="s">
        <v>782</v>
      </c>
      <c r="S47" s="46" t="s">
        <v>783</v>
      </c>
      <c r="T47" s="12" t="str">
        <f aca="false">IF(AND(N47="",ISNUMBER(G47),G47&lt;=100,ISNUMBER(P47),OR(LEFT(C47,3)="IOU",C47="muni/coop",LEFT(C47,5)="other")),P47,"")</f>
        <v/>
      </c>
    </row>
    <row r="49" customFormat="false" ht="15" hidden="false" customHeight="true" outlineLevel="0" collapsed="false">
      <c r="A49" s="3" t="s">
        <v>784</v>
      </c>
      <c r="P49" s="18" t="n">
        <f aca="false">MEDIAN(T4:T47)</f>
        <v>1242.64705882353</v>
      </c>
      <c r="Q49" s="47" t="n">
        <f aca="false">COUNT(T4:T47)</f>
        <v>16</v>
      </c>
    </row>
    <row r="50" customFormat="false" ht="15" hidden="false" customHeight="true" outlineLevel="0" collapsed="false">
      <c r="A50" s="48" t="s">
        <v>785</v>
      </c>
    </row>
  </sheetData>
  <autoFilter ref="A3:S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6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49" t="s">
        <v>786</v>
      </c>
    </row>
    <row r="2" customFormat="false" ht="15" hidden="false" customHeight="false" outlineLevel="0" collapsed="false">
      <c r="A2" s="50" t="s">
        <v>787</v>
      </c>
    </row>
    <row r="4" customFormat="false" ht="15" hidden="false" customHeight="false" outlineLevel="0" collapsed="false">
      <c r="A4" s="0" t="s">
        <v>788</v>
      </c>
      <c r="B4" s="51" t="n">
        <v>0.4</v>
      </c>
    </row>
    <row r="5" customFormat="false" ht="15" hidden="false" customHeight="false" outlineLevel="0" collapsed="false">
      <c r="A5" s="0" t="s">
        <v>789</v>
      </c>
      <c r="B5" s="52" t="n">
        <v>0.035</v>
      </c>
    </row>
    <row r="6" customFormat="false" ht="15" hidden="false" customHeight="false" outlineLevel="0" collapsed="false">
      <c r="A6" s="0" t="s">
        <v>790</v>
      </c>
      <c r="B6" s="51" t="n">
        <v>1</v>
      </c>
    </row>
    <row r="8" customFormat="false" ht="15" hidden="false" customHeight="false" outlineLevel="0" collapsed="false">
      <c r="A8" s="7" t="s">
        <v>791</v>
      </c>
    </row>
    <row r="9" customFormat="false" ht="23.85" hidden="false" customHeight="false" outlineLevel="0" collapsed="false">
      <c r="A9" s="36" t="s">
        <v>198</v>
      </c>
      <c r="B9" s="36" t="s">
        <v>792</v>
      </c>
      <c r="C9" s="36" t="s">
        <v>793</v>
      </c>
      <c r="D9" s="36" t="s">
        <v>794</v>
      </c>
      <c r="E9" s="36" t="s">
        <v>381</v>
      </c>
    </row>
    <row r="10" customFormat="false" ht="15" hidden="false" customHeight="false" outlineLevel="0" collapsed="false">
      <c r="A10" s="8" t="n">
        <v>2015</v>
      </c>
      <c r="B10" s="51" t="n">
        <v>2152</v>
      </c>
      <c r="C10" s="51" t="n">
        <v>373</v>
      </c>
      <c r="D10" s="51" t="n">
        <v>245</v>
      </c>
      <c r="E10" s="50" t="s">
        <v>795</v>
      </c>
    </row>
    <row r="11" customFormat="false" ht="15" hidden="false" customHeight="false" outlineLevel="0" collapsed="false">
      <c r="A11" s="8" t="n">
        <v>2016</v>
      </c>
      <c r="B11" s="8" t="n">
        <v>1493</v>
      </c>
      <c r="C11" s="51" t="n">
        <v>288</v>
      </c>
      <c r="D11" s="8" t="n">
        <v>245</v>
      </c>
      <c r="E11" s="50" t="s">
        <v>795</v>
      </c>
    </row>
    <row r="12" customFormat="false" ht="15" hidden="false" customHeight="false" outlineLevel="0" collapsed="false">
      <c r="A12" s="8" t="n">
        <v>2017</v>
      </c>
      <c r="B12" s="51" t="n">
        <v>834</v>
      </c>
      <c r="C12" s="51" t="n">
        <v>214</v>
      </c>
      <c r="D12" s="8" t="n">
        <v>245</v>
      </c>
      <c r="E12" s="50" t="s">
        <v>795</v>
      </c>
    </row>
    <row r="13" customFormat="false" ht="15" hidden="false" customHeight="false" outlineLevel="0" collapsed="false">
      <c r="A13" s="8" t="n">
        <v>2018</v>
      </c>
      <c r="B13" s="51" t="n">
        <v>625</v>
      </c>
      <c r="C13" s="51" t="n">
        <v>176</v>
      </c>
      <c r="D13" s="8" t="n">
        <v>245</v>
      </c>
      <c r="E13" s="50" t="s">
        <v>795</v>
      </c>
    </row>
    <row r="14" customFormat="false" ht="15" hidden="false" customHeight="false" outlineLevel="0" collapsed="false">
      <c r="A14" s="8" t="n">
        <v>2019</v>
      </c>
      <c r="B14" s="8" t="n">
        <v>597</v>
      </c>
      <c r="C14" s="51" t="n">
        <v>156</v>
      </c>
      <c r="D14" s="51" t="n">
        <v>245</v>
      </c>
      <c r="E14" s="50" t="s">
        <v>795</v>
      </c>
    </row>
    <row r="15" customFormat="false" ht="15" hidden="false" customHeight="false" outlineLevel="0" collapsed="false">
      <c r="A15" s="8" t="n">
        <v>2020</v>
      </c>
      <c r="B15" s="8" t="n">
        <v>569</v>
      </c>
      <c r="C15" s="51" t="n">
        <v>137</v>
      </c>
      <c r="D15" s="51" t="n">
        <v>191</v>
      </c>
      <c r="E15" s="50" t="s">
        <v>795</v>
      </c>
    </row>
    <row r="16" customFormat="false" ht="15" hidden="false" customHeight="false" outlineLevel="0" collapsed="false">
      <c r="A16" s="8" t="n">
        <v>2021</v>
      </c>
      <c r="B16" s="8" t="n">
        <v>542</v>
      </c>
      <c r="C16" s="51" t="n">
        <v>132</v>
      </c>
      <c r="D16" s="8" t="n">
        <v>202</v>
      </c>
      <c r="E16" s="50" t="s">
        <v>795</v>
      </c>
    </row>
    <row r="17" customFormat="false" ht="15" hidden="false" customHeight="false" outlineLevel="0" collapsed="false">
      <c r="A17" s="8" t="n">
        <v>2022</v>
      </c>
      <c r="B17" s="8" t="n">
        <v>514</v>
      </c>
      <c r="C17" s="51" t="n">
        <v>151</v>
      </c>
      <c r="D17" s="8" t="n">
        <v>212</v>
      </c>
      <c r="E17" s="50" t="s">
        <v>795</v>
      </c>
    </row>
    <row r="18" customFormat="false" ht="15" hidden="false" customHeight="false" outlineLevel="0" collapsed="false">
      <c r="A18" s="8" t="n">
        <v>2023</v>
      </c>
      <c r="B18" s="8" t="n">
        <v>486</v>
      </c>
      <c r="C18" s="51" t="n">
        <v>139</v>
      </c>
      <c r="D18" s="8" t="n">
        <v>222</v>
      </c>
      <c r="E18" s="50" t="s">
        <v>795</v>
      </c>
    </row>
    <row r="19" customFormat="false" ht="15" hidden="false" customHeight="false" outlineLevel="0" collapsed="false">
      <c r="A19" s="8" t="n">
        <v>2024</v>
      </c>
      <c r="B19" s="51" t="n">
        <v>458</v>
      </c>
      <c r="C19" s="51" t="n">
        <v>115</v>
      </c>
      <c r="D19" s="51" t="n">
        <v>233</v>
      </c>
      <c r="E19" s="50" t="s">
        <v>795</v>
      </c>
    </row>
    <row r="20" customFormat="false" ht="15" hidden="false" customHeight="false" outlineLevel="0" collapsed="false">
      <c r="A20" s="8" t="n">
        <v>2025</v>
      </c>
      <c r="B20" s="8" t="n">
        <v>458</v>
      </c>
      <c r="C20" s="51" t="n">
        <v>108</v>
      </c>
      <c r="D20" s="51" t="n">
        <v>185</v>
      </c>
      <c r="E20" s="50" t="s">
        <v>795</v>
      </c>
    </row>
    <row r="21" customFormat="false" ht="15" hidden="false" customHeight="false" outlineLevel="0" collapsed="false">
      <c r="A21" s="8" t="n">
        <v>2026</v>
      </c>
      <c r="B21" s="51" t="n">
        <v>458</v>
      </c>
      <c r="C21" s="51" t="n">
        <v>108</v>
      </c>
      <c r="D21" s="51" t="n">
        <v>251</v>
      </c>
      <c r="E21" s="50" t="s">
        <v>795</v>
      </c>
    </row>
    <row r="22" customFormat="false" ht="15" hidden="false" customHeight="false" outlineLevel="0" collapsed="false">
      <c r="A22" s="50" t="s">
        <v>796</v>
      </c>
    </row>
    <row r="24" customFormat="false" ht="15" hidden="false" customHeight="false" outlineLevel="0" collapsed="false">
      <c r="A24" s="7" t="s">
        <v>797</v>
      </c>
    </row>
    <row r="25" customFormat="false" ht="23.85" hidden="false" customHeight="false" outlineLevel="0" collapsed="false">
      <c r="A25" s="36" t="s">
        <v>434</v>
      </c>
      <c r="B25" s="36" t="s">
        <v>441</v>
      </c>
      <c r="C25" s="36" t="s">
        <v>798</v>
      </c>
      <c r="D25" s="36" t="s">
        <v>799</v>
      </c>
      <c r="E25" s="36" t="s">
        <v>800</v>
      </c>
      <c r="F25" s="36" t="s">
        <v>801</v>
      </c>
      <c r="G25" s="36" t="s">
        <v>802</v>
      </c>
      <c r="H25" s="36" t="s">
        <v>803</v>
      </c>
    </row>
    <row r="26" customFormat="false" ht="15" hidden="false" customHeight="false" outlineLevel="0" collapsed="false">
      <c r="A26" s="8" t="s">
        <v>473</v>
      </c>
      <c r="B26" s="51" t="n">
        <v>2019</v>
      </c>
      <c r="C26" s="53" t="n">
        <v>437.5</v>
      </c>
      <c r="D26" s="8" t="n">
        <f aca="false">INDEX(CHOOSE($B$6,$B$10:$B$21,$C$10:$C$21,$D$10:$D$21),MATCH(B26,$A$10:$A$21,0))</f>
        <v>597</v>
      </c>
      <c r="E26" s="8" t="n">
        <f aca="false">INDEX(CHOOSE($B$6,$B$10:$B$21,$C$10:$C$21,$D$10:$D$21),MATCH(2026,$A$10:$A$21,0))</f>
        <v>458</v>
      </c>
      <c r="F26" s="54" t="n">
        <f aca="false">$B$4*E26/D26+(1-$B$4)*(1+$B$5)^(2026-B26)</f>
        <v>1.07023522935174</v>
      </c>
      <c r="G26" s="55" t="n">
        <f aca="false">C26*F26</f>
        <v>468.227912841385</v>
      </c>
      <c r="H26" s="55" t="n">
        <f aca="false">C26*E26/D26</f>
        <v>335.636515912898</v>
      </c>
    </row>
    <row r="27" customFormat="false" ht="15" hidden="false" customHeight="false" outlineLevel="0" collapsed="false">
      <c r="A27" s="8" t="s">
        <v>482</v>
      </c>
      <c r="B27" s="51" t="n">
        <v>2021</v>
      </c>
      <c r="C27" s="53" t="n">
        <v>616.7</v>
      </c>
      <c r="D27" s="8" t="n">
        <f aca="false">INDEX(CHOOSE($B$6,$B$10:$B$21,$C$10:$C$21,$D$10:$D$21),MATCH(B27,$A$10:$A$21,0))</f>
        <v>542</v>
      </c>
      <c r="E27" s="8" t="n">
        <f aca="false">INDEX(CHOOSE($B$6,$B$10:$B$21,$C$10:$C$21,$D$10:$D$21),MATCH(2026,$A$10:$A$21,0))</f>
        <v>458</v>
      </c>
      <c r="F27" s="54" t="n">
        <f aca="false">$B$4*E27/D27+(1-$B$4)*(1+$B$5)^(2026-B27)</f>
        <v>1.05061916346193</v>
      </c>
      <c r="G27" s="55" t="n">
        <f aca="false">C27*F27</f>
        <v>647.91683810697</v>
      </c>
      <c r="H27" s="55" t="n">
        <f aca="false">C27*E27/D27</f>
        <v>521.122878228782</v>
      </c>
    </row>
    <row r="28" customFormat="false" ht="15" hidden="false" customHeight="false" outlineLevel="0" collapsed="false">
      <c r="A28" s="8" t="s">
        <v>475</v>
      </c>
      <c r="B28" s="51" t="n">
        <v>2016</v>
      </c>
      <c r="C28" s="53" t="n">
        <v>692.3</v>
      </c>
      <c r="D28" s="8" t="n">
        <f aca="false">INDEX(CHOOSE($B$6,$B$10:$B$21,$C$10:$C$21,$D$10:$D$21),MATCH(B28,$A$10:$A$21,0))</f>
        <v>1493</v>
      </c>
      <c r="E28" s="8" t="n">
        <f aca="false">INDEX(CHOOSE($B$6,$B$10:$B$21,$C$10:$C$21,$D$10:$D$21),MATCH(2026,$A$10:$A$21,0))</f>
        <v>458</v>
      </c>
      <c r="F28" s="54" t="n">
        <f aca="false">$B$4*E28/D28+(1-$B$4)*(1+$B$5)^(2026-B28)</f>
        <v>0.969065217524716</v>
      </c>
      <c r="G28" s="55" t="n">
        <f aca="false">C28*F28</f>
        <v>670.883850092361</v>
      </c>
      <c r="H28" s="55" t="n">
        <f aca="false">C28*E28/D28</f>
        <v>212.373342263898</v>
      </c>
    </row>
    <row r="29" customFormat="false" ht="15" hidden="false" customHeight="false" outlineLevel="0" collapsed="false">
      <c r="A29" s="8" t="s">
        <v>467</v>
      </c>
      <c r="B29" s="51" t="n">
        <v>2019</v>
      </c>
      <c r="C29" s="53" t="n">
        <v>750</v>
      </c>
      <c r="D29" s="8" t="n">
        <f aca="false">INDEX(CHOOSE($B$6,$B$10:$B$21,$C$10:$C$21,$D$10:$D$21),MATCH(B29,$A$10:$A$21,0))</f>
        <v>597</v>
      </c>
      <c r="E29" s="8" t="n">
        <f aca="false">INDEX(CHOOSE($B$6,$B$10:$B$21,$C$10:$C$21,$D$10:$D$21),MATCH(2026,$A$10:$A$21,0))</f>
        <v>458</v>
      </c>
      <c r="F29" s="54" t="n">
        <f aca="false">$B$4*E29/D29+(1-$B$4)*(1+$B$5)^(2026-B29)</f>
        <v>1.07023522935174</v>
      </c>
      <c r="G29" s="55" t="n">
        <f aca="false">C29*F29</f>
        <v>802.676422013802</v>
      </c>
      <c r="H29" s="55" t="n">
        <f aca="false">C29*E29/D29</f>
        <v>575.376884422111</v>
      </c>
    </row>
    <row r="30" customFormat="false" ht="15" hidden="false" customHeight="false" outlineLevel="0" collapsed="false">
      <c r="A30" s="8" t="s">
        <v>585</v>
      </c>
      <c r="B30" s="51" t="n">
        <v>2024</v>
      </c>
      <c r="C30" s="53" t="n">
        <v>812.5</v>
      </c>
      <c r="D30" s="8" t="n">
        <f aca="false">INDEX(CHOOSE($B$6,$B$10:$B$21,$C$10:$C$21,$D$10:$D$21),MATCH(B30,$A$10:$A$21,0))</f>
        <v>458</v>
      </c>
      <c r="E30" s="8" t="n">
        <f aca="false">INDEX(CHOOSE($B$6,$B$10:$B$21,$C$10:$C$21,$D$10:$D$21),MATCH(2026,$A$10:$A$21,0))</f>
        <v>458</v>
      </c>
      <c r="F30" s="54" t="n">
        <f aca="false">$B$4*E30/D30+(1-$B$4)*(1+$B$5)^(2026-B30)</f>
        <v>1.042735</v>
      </c>
      <c r="G30" s="55" t="n">
        <f aca="false">C30*F30</f>
        <v>847.2221875</v>
      </c>
      <c r="H30" s="55" t="n">
        <f aca="false">C30*E30/D30</f>
        <v>812.5</v>
      </c>
    </row>
    <row r="31" customFormat="false" ht="15" hidden="false" customHeight="false" outlineLevel="0" collapsed="false">
      <c r="A31" s="8" t="s">
        <v>631</v>
      </c>
      <c r="B31" s="51" t="n">
        <v>2016</v>
      </c>
      <c r="C31" s="53" t="n">
        <v>1000</v>
      </c>
      <c r="D31" s="8" t="n">
        <f aca="false">INDEX(CHOOSE($B$6,$B$10:$B$21,$C$10:$C$21,$D$10:$D$21),MATCH(B31,$A$10:$A$21,0))</f>
        <v>1493</v>
      </c>
      <c r="E31" s="8" t="n">
        <f aca="false">INDEX(CHOOSE($B$6,$B$10:$B$21,$C$10:$C$21,$D$10:$D$21),MATCH(2026,$A$10:$A$21,0))</f>
        <v>458</v>
      </c>
      <c r="F31" s="54" t="n">
        <f aca="false">$B$4*E31/D31+(1-$B$4)*(1+$B$5)^(2026-B31)</f>
        <v>0.969065217524716</v>
      </c>
      <c r="G31" s="55" t="n">
        <f aca="false">C31*F31</f>
        <v>969.065217524716</v>
      </c>
      <c r="H31" s="55" t="n">
        <f aca="false">C31*E31/D31</f>
        <v>306.764902880107</v>
      </c>
    </row>
    <row r="32" customFormat="false" ht="15" hidden="false" customHeight="false" outlineLevel="0" collapsed="false">
      <c r="A32" s="8" t="s">
        <v>672</v>
      </c>
      <c r="B32" s="51" t="n">
        <v>2015</v>
      </c>
      <c r="C32" s="53" t="n">
        <v>1235.3</v>
      </c>
      <c r="D32" s="8" t="n">
        <f aca="false">INDEX(CHOOSE($B$6,$B$10:$B$21,$C$10:$C$21,$D$10:$D$21),MATCH(B32,$A$10:$A$21,0))</f>
        <v>2152</v>
      </c>
      <c r="E32" s="8" t="n">
        <f aca="false">INDEX(CHOOSE($B$6,$B$10:$B$21,$C$10:$C$21,$D$10:$D$21),MATCH(2026,$A$10:$A$21,0))</f>
        <v>458</v>
      </c>
      <c r="F32" s="54" t="n">
        <f aca="false">$B$4*E32/D32+(1-$B$4)*(1+$B$5)^(2026-B32)</f>
        <v>0.96111194186988</v>
      </c>
      <c r="G32" s="55" t="n">
        <f aca="false">C32*F32</f>
        <v>1187.26158179186</v>
      </c>
      <c r="H32" s="55" t="n">
        <f aca="false">C32*E32/D32</f>
        <v>262.903066914498</v>
      </c>
    </row>
    <row r="33" customFormat="false" ht="15" hidden="false" customHeight="false" outlineLevel="0" collapsed="false">
      <c r="A33" s="8" t="s">
        <v>553</v>
      </c>
      <c r="B33" s="51" t="n">
        <v>2019</v>
      </c>
      <c r="C33" s="53" t="n">
        <v>1250</v>
      </c>
      <c r="D33" s="8" t="n">
        <f aca="false">INDEX(CHOOSE($B$6,$B$10:$B$21,$C$10:$C$21,$D$10:$D$21),MATCH(B33,$A$10:$A$21,0))</f>
        <v>597</v>
      </c>
      <c r="E33" s="8" t="n">
        <f aca="false">INDEX(CHOOSE($B$6,$B$10:$B$21,$C$10:$C$21,$D$10:$D$21),MATCH(2026,$A$10:$A$21,0))</f>
        <v>458</v>
      </c>
      <c r="F33" s="54" t="n">
        <f aca="false">$B$4*E33/D33+(1-$B$4)*(1+$B$5)^(2026-B33)</f>
        <v>1.07023522935174</v>
      </c>
      <c r="G33" s="55" t="n">
        <f aca="false">C33*F33</f>
        <v>1337.79403668967</v>
      </c>
      <c r="H33" s="55" t="n">
        <f aca="false">C33*E33/D33</f>
        <v>958.961474036851</v>
      </c>
    </row>
    <row r="34" customFormat="false" ht="15" hidden="false" customHeight="false" outlineLevel="0" collapsed="false">
      <c r="A34" s="8" t="s">
        <v>624</v>
      </c>
      <c r="B34" s="51" t="n">
        <v>2016</v>
      </c>
      <c r="C34" s="53" t="n">
        <v>1250</v>
      </c>
      <c r="D34" s="8" t="n">
        <f aca="false">INDEX(CHOOSE($B$6,$B$10:$B$21,$C$10:$C$21,$D$10:$D$21),MATCH(B34,$A$10:$A$21,0))</f>
        <v>1493</v>
      </c>
      <c r="E34" s="8" t="n">
        <f aca="false">INDEX(CHOOSE($B$6,$B$10:$B$21,$C$10:$C$21,$D$10:$D$21),MATCH(2026,$A$10:$A$21,0))</f>
        <v>458</v>
      </c>
      <c r="F34" s="54" t="n">
        <f aca="false">$B$4*E34/D34+(1-$B$4)*(1+$B$5)^(2026-B34)</f>
        <v>0.969065217524716</v>
      </c>
      <c r="G34" s="55" t="n">
        <f aca="false">C34*F34</f>
        <v>1211.33152190589</v>
      </c>
      <c r="H34" s="55" t="n">
        <f aca="false">C34*E34/D34</f>
        <v>383.456128600134</v>
      </c>
    </row>
    <row r="35" customFormat="false" ht="15" hidden="false" customHeight="false" outlineLevel="0" collapsed="false">
      <c r="A35" s="8" t="s">
        <v>450</v>
      </c>
      <c r="B35" s="51" t="n">
        <v>2022</v>
      </c>
      <c r="C35" s="53" t="n">
        <v>1289.5</v>
      </c>
      <c r="D35" s="8" t="n">
        <f aca="false">INDEX(CHOOSE($B$6,$B$10:$B$21,$C$10:$C$21,$D$10:$D$21),MATCH(B35,$A$10:$A$21,0))</f>
        <v>514</v>
      </c>
      <c r="E35" s="8" t="n">
        <f aca="false">INDEX(CHOOSE($B$6,$B$10:$B$21,$C$10:$C$21,$D$10:$D$21),MATCH(2026,$A$10:$A$21,0))</f>
        <v>458</v>
      </c>
      <c r="F35" s="54" t="n">
        <f aca="false">$B$4*E35/D35+(1-$B$4)*(1+$B$5)^(2026-B35)</f>
        <v>1.04493403383803</v>
      </c>
      <c r="G35" s="55" t="n">
        <f aca="false">C35*F35</f>
        <v>1347.44243663415</v>
      </c>
      <c r="H35" s="55" t="n">
        <f aca="false">C35*E35/D35</f>
        <v>1149.00972762646</v>
      </c>
    </row>
    <row r="36" customFormat="false" ht="15" hidden="false" customHeight="false" outlineLevel="0" collapsed="false">
      <c r="A36" s="8" t="s">
        <v>656</v>
      </c>
      <c r="B36" s="51" t="n">
        <v>2023</v>
      </c>
      <c r="C36" s="53" t="n">
        <v>1659.3</v>
      </c>
      <c r="D36" s="8" t="n">
        <f aca="false">INDEX(CHOOSE($B$6,$B$10:$B$21,$C$10:$C$21,$D$10:$D$21),MATCH(B36,$A$10:$A$21,0))</f>
        <v>486</v>
      </c>
      <c r="E36" s="8" t="n">
        <f aca="false">INDEX(CHOOSE($B$6,$B$10:$B$21,$C$10:$C$21,$D$10:$D$21),MATCH(2026,$A$10:$A$21,0))</f>
        <v>458</v>
      </c>
      <c r="F36" s="54" t="n">
        <f aca="false">$B$4*E36/D36+(1-$B$4)*(1+$B$5)^(2026-B36)</f>
        <v>1.04218545751029</v>
      </c>
      <c r="G36" s="55" t="n">
        <f aca="false">C36*F36</f>
        <v>1729.29832964682</v>
      </c>
      <c r="H36" s="55" t="n">
        <f aca="false">C36*E36/D36</f>
        <v>1563.7024691358</v>
      </c>
    </row>
    <row r="37" customFormat="false" ht="15" hidden="false" customHeight="false" outlineLevel="0" collapsed="false">
      <c r="A37" s="8" t="s">
        <v>578</v>
      </c>
      <c r="B37" s="51" t="n">
        <v>2016</v>
      </c>
      <c r="C37" s="53" t="n">
        <v>2545.5</v>
      </c>
      <c r="D37" s="8" t="n">
        <f aca="false">INDEX(CHOOSE($B$6,$B$10:$B$21,$C$10:$C$21,$D$10:$D$21),MATCH(B37,$A$10:$A$21,0))</f>
        <v>1493</v>
      </c>
      <c r="E37" s="8" t="n">
        <f aca="false">INDEX(CHOOSE($B$6,$B$10:$B$21,$C$10:$C$21,$D$10:$D$21),MATCH(2026,$A$10:$A$21,0))</f>
        <v>458</v>
      </c>
      <c r="F37" s="54" t="n">
        <f aca="false">$B$4*E37/D37+(1-$B$4)*(1+$B$5)^(2026-B37)</f>
        <v>0.969065217524716</v>
      </c>
      <c r="G37" s="55" t="n">
        <f aca="false">C37*F37</f>
        <v>2466.75551120916</v>
      </c>
      <c r="H37" s="55" t="n">
        <f aca="false">C37*E37/D37</f>
        <v>780.870060281313</v>
      </c>
    </row>
    <row r="38" customFormat="false" ht="15" hidden="false" customHeight="false" outlineLevel="0" collapsed="false">
      <c r="A38" s="8" t="s">
        <v>701</v>
      </c>
      <c r="B38" s="51" t="n">
        <v>2018</v>
      </c>
      <c r="C38" s="53" t="n">
        <v>2775</v>
      </c>
      <c r="D38" s="8" t="n">
        <f aca="false">INDEX(CHOOSE($B$6,$B$10:$B$21,$C$10:$C$21,$D$10:$D$21),MATCH(B38,$A$10:$A$21,0))</f>
        <v>625</v>
      </c>
      <c r="E38" s="8" t="n">
        <f aca="false">INDEX(CHOOSE($B$6,$B$10:$B$21,$C$10:$C$21,$D$10:$D$21),MATCH(2026,$A$10:$A$21,0))</f>
        <v>458</v>
      </c>
      <c r="F38" s="54" t="n">
        <f aca="false">$B$4*E38/D38+(1-$B$4)*(1+$B$5)^(2026-B38)</f>
        <v>1.08320542217804</v>
      </c>
      <c r="G38" s="55" t="n">
        <f aca="false">C38*F38</f>
        <v>3005.89504654407</v>
      </c>
      <c r="H38" s="55" t="n">
        <f aca="false">C38*E38/D38</f>
        <v>2033.52</v>
      </c>
    </row>
    <row r="39" customFormat="false" ht="15" hidden="false" customHeight="false" outlineLevel="0" collapsed="false">
      <c r="A39" s="7" t="s">
        <v>194</v>
      </c>
      <c r="C39" s="56" t="n">
        <f aca="false">MEDIAN(C26:C38)</f>
        <v>1235.3</v>
      </c>
      <c r="G39" s="56" t="n">
        <f aca="false">MEDIAN(G26:G38)</f>
        <v>1187.26158179186</v>
      </c>
      <c r="H39" s="56" t="n">
        <f aca="false">MEDIAN(H26:H38)</f>
        <v>575.376884422111</v>
      </c>
    </row>
    <row r="40" customFormat="false" ht="15" hidden="false" customHeight="false" outlineLevel="0" collapsed="false">
      <c r="A40" s="8" t="s">
        <v>804</v>
      </c>
      <c r="C40" s="57" t="n">
        <f aca="false">COUNTIF(C26:C38,"&lt;"&amp;833)/COUNT(C26:C38)</f>
        <v>0.384615384615385</v>
      </c>
      <c r="G40" s="57" t="n">
        <f aca="false">COUNTIF(G26:G38,"&lt;"&amp;833)/COUNT(G26:G38)</f>
        <v>0.307692307692308</v>
      </c>
    </row>
    <row r="41" customFormat="false" ht="15" hidden="false" customHeight="false" outlineLevel="0" collapsed="false">
      <c r="A41" s="8" t="s">
        <v>805</v>
      </c>
      <c r="C41" s="57" t="n">
        <f aca="false">COUNTIF(C26:C38,"&lt;"&amp;1483)/COUNT(C26:C38)</f>
        <v>0.769230769230769</v>
      </c>
      <c r="G41" s="57" t="n">
        <f aca="false">COUNTIF(G26:G38,"&lt;"&amp;1483)/COUNT(G26:G38)</f>
        <v>0.769230769230769</v>
      </c>
    </row>
    <row r="42" customFormat="false" ht="15" hidden="false" customHeight="false" outlineLevel="0" collapsed="false">
      <c r="A42" s="8" t="s">
        <v>806</v>
      </c>
      <c r="C42" s="57" t="n">
        <f aca="false">COUNTIF(C26:C38,"&lt;"&amp;2862)/COUNT(C26:C38)</f>
        <v>1</v>
      </c>
      <c r="G42" s="57" t="n">
        <f aca="false">COUNTIF(G26:G38,"&lt;"&amp;2862)/COUNT(G26:G38)</f>
        <v>0.923076923076923</v>
      </c>
    </row>
    <row r="44" customFormat="false" ht="15" hidden="false" customHeight="false" outlineLevel="0" collapsed="false">
      <c r="A44" s="7" t="s">
        <v>807</v>
      </c>
    </row>
    <row r="45" customFormat="false" ht="15" hidden="false" customHeight="false" outlineLevel="0" collapsed="false">
      <c r="A45" s="36" t="s">
        <v>434</v>
      </c>
      <c r="B45" s="36" t="s">
        <v>435</v>
      </c>
      <c r="C45" s="36" t="s">
        <v>439</v>
      </c>
      <c r="D45" s="36" t="s">
        <v>440</v>
      </c>
      <c r="E45" s="36" t="s">
        <v>441</v>
      </c>
      <c r="F45" s="36" t="s">
        <v>808</v>
      </c>
      <c r="G45" s="36" t="s">
        <v>81</v>
      </c>
      <c r="H45" s="36" t="s">
        <v>80</v>
      </c>
      <c r="I45" s="36" t="s">
        <v>809</v>
      </c>
      <c r="J45" s="36" t="s">
        <v>443</v>
      </c>
      <c r="K45" s="36" t="s">
        <v>205</v>
      </c>
      <c r="L45" s="36" t="s">
        <v>197</v>
      </c>
    </row>
    <row r="46" customFormat="false" ht="15" hidden="false" customHeight="false" outlineLevel="0" collapsed="false">
      <c r="A46" s="8" t="s">
        <v>810</v>
      </c>
      <c r="B46" s="8" t="s">
        <v>811</v>
      </c>
      <c r="C46" s="51" t="n">
        <v>9.8</v>
      </c>
      <c r="D46" s="51" t="n">
        <v>39.1</v>
      </c>
      <c r="E46" s="51" t="n">
        <v>2025</v>
      </c>
      <c r="F46" s="53" t="n">
        <v>43384000</v>
      </c>
      <c r="G46" s="55" t="n">
        <f aca="false">F46/D46/1000</f>
        <v>1109.5652173913</v>
      </c>
      <c r="H46" s="55" t="n">
        <f aca="false">F46/C46/1000</f>
        <v>4426.9387755102</v>
      </c>
      <c r="I46" s="58" t="n">
        <f aca="false">D46/C46</f>
        <v>3.98979591836735</v>
      </c>
      <c r="J46" s="8" t="s">
        <v>812</v>
      </c>
      <c r="K46" s="8" t="s">
        <v>193</v>
      </c>
      <c r="L46" s="8" t="s">
        <v>813</v>
      </c>
    </row>
    <row r="47" customFormat="false" ht="15" hidden="false" customHeight="false" outlineLevel="0" collapsed="false">
      <c r="A47" s="8" t="s">
        <v>814</v>
      </c>
      <c r="B47" s="8" t="s">
        <v>815</v>
      </c>
      <c r="C47" s="51" t="n">
        <v>15.1</v>
      </c>
      <c r="D47" s="51" t="n">
        <v>60.4</v>
      </c>
      <c r="E47" s="51" t="n">
        <v>2025</v>
      </c>
      <c r="F47" s="53" t="n">
        <v>31650000</v>
      </c>
      <c r="G47" s="55" t="n">
        <f aca="false">F47/D47/1000</f>
        <v>524.006622516556</v>
      </c>
      <c r="H47" s="55" t="n">
        <f aca="false">F47/C47/1000</f>
        <v>2096.02649006623</v>
      </c>
      <c r="I47" s="58" t="n">
        <f aca="false">D47/C47</f>
        <v>4</v>
      </c>
      <c r="J47" s="8" t="s">
        <v>816</v>
      </c>
      <c r="K47" s="8" t="s">
        <v>193</v>
      </c>
      <c r="L47" s="8" t="s">
        <v>817</v>
      </c>
    </row>
    <row r="48" customFormat="false" ht="15" hidden="false" customHeight="false" outlineLevel="0" collapsed="false">
      <c r="A48" s="8" t="s">
        <v>818</v>
      </c>
      <c r="B48" s="8" t="s">
        <v>819</v>
      </c>
      <c r="C48" s="51" t="n">
        <v>5</v>
      </c>
      <c r="D48" s="51" t="n">
        <v>20</v>
      </c>
      <c r="E48" s="51" t="n">
        <v>2025</v>
      </c>
      <c r="F48" s="53" t="n">
        <v>16104493</v>
      </c>
      <c r="G48" s="55" t="n">
        <f aca="false">F48/D48/1000</f>
        <v>805.22465</v>
      </c>
      <c r="H48" s="55" t="n">
        <f aca="false">F48/C48/1000</f>
        <v>3220.8986</v>
      </c>
      <c r="I48" s="58" t="n">
        <f aca="false">D48/C48</f>
        <v>4</v>
      </c>
      <c r="J48" s="8" t="s">
        <v>820</v>
      </c>
      <c r="K48" s="8" t="s">
        <v>821</v>
      </c>
      <c r="L48" s="8" t="s">
        <v>822</v>
      </c>
    </row>
    <row r="49" customFormat="false" ht="15" hidden="false" customHeight="false" outlineLevel="0" collapsed="false">
      <c r="A49" s="8" t="s">
        <v>823</v>
      </c>
      <c r="B49" s="8" t="s">
        <v>811</v>
      </c>
      <c r="C49" s="51" t="n">
        <v>124</v>
      </c>
      <c r="D49" s="51" t="n">
        <v>494</v>
      </c>
      <c r="E49" s="51" t="n">
        <v>2027</v>
      </c>
      <c r="F49" s="53" t="n">
        <v>431000000</v>
      </c>
      <c r="G49" s="55" t="n">
        <f aca="false">F49/D49/1000</f>
        <v>872.46963562753</v>
      </c>
      <c r="H49" s="55" t="n">
        <f aca="false">F49/C49/1000</f>
        <v>3475.8064516129</v>
      </c>
      <c r="I49" s="58" t="n">
        <f aca="false">D49/C49</f>
        <v>3.98387096774194</v>
      </c>
      <c r="J49" s="8" t="s">
        <v>824</v>
      </c>
      <c r="K49" s="8" t="s">
        <v>825</v>
      </c>
      <c r="L49" s="8" t="s">
        <v>826</v>
      </c>
    </row>
    <row r="50" customFormat="false" ht="15" hidden="false" customHeight="false" outlineLevel="0" collapsed="false">
      <c r="A50" s="8" t="s">
        <v>827</v>
      </c>
      <c r="B50" s="8" t="s">
        <v>828</v>
      </c>
      <c r="E50" s="51" t="n">
        <v>2023</v>
      </c>
      <c r="G50" s="53" t="n">
        <v>567</v>
      </c>
      <c r="J50" s="8" t="s">
        <v>829</v>
      </c>
      <c r="K50" s="8" t="s">
        <v>193</v>
      </c>
      <c r="L50" s="8" t="s">
        <v>830</v>
      </c>
    </row>
    <row r="51" customFormat="false" ht="15" hidden="false" customHeight="false" outlineLevel="0" collapsed="false">
      <c r="A51" s="8" t="s">
        <v>831</v>
      </c>
      <c r="B51" s="8" t="s">
        <v>828</v>
      </c>
      <c r="E51" s="51" t="n">
        <v>2021</v>
      </c>
      <c r="G51" s="53" t="n">
        <v>464</v>
      </c>
      <c r="J51" s="8" t="s">
        <v>385</v>
      </c>
      <c r="K51" s="8" t="s">
        <v>193</v>
      </c>
      <c r="L51" s="8" t="s">
        <v>830</v>
      </c>
    </row>
    <row r="52" customFormat="false" ht="15" hidden="false" customHeight="false" outlineLevel="0" collapsed="false">
      <c r="A52" s="8" t="s">
        <v>832</v>
      </c>
      <c r="C52" s="51" t="n">
        <v>161</v>
      </c>
      <c r="F52" s="53" t="n">
        <v>21000000</v>
      </c>
      <c r="J52" s="8" t="s">
        <v>833</v>
      </c>
      <c r="K52" s="8" t="s">
        <v>212</v>
      </c>
      <c r="L52" s="8" t="s">
        <v>834</v>
      </c>
    </row>
    <row r="53" customFormat="false" ht="15" hidden="false" customHeight="false" outlineLevel="0" collapsed="false">
      <c r="A53" s="50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7.25" hidden="false" customHeight="true" outlineLevel="0" collapsed="false">
      <c r="A1" s="2" t="s">
        <v>836</v>
      </c>
    </row>
    <row r="3" customFormat="false" ht="15" hidden="false" customHeight="true" outlineLevel="0" collapsed="false">
      <c r="A3" s="3" t="s">
        <v>837</v>
      </c>
    </row>
    <row r="4" customFormat="false" ht="15" hidden="false" customHeight="true" outlineLevel="0" collapsed="false">
      <c r="A4" s="17" t="s">
        <v>838</v>
      </c>
      <c r="B4" s="21" t="n">
        <v>13</v>
      </c>
      <c r="C4" s="59"/>
    </row>
    <row r="5" customFormat="false" ht="15" hidden="false" customHeight="true" outlineLevel="0" collapsed="false">
      <c r="A5" s="17" t="s">
        <v>839</v>
      </c>
      <c r="B5" s="20" t="n">
        <v>1235.29411764706</v>
      </c>
      <c r="C5" s="59"/>
    </row>
    <row r="6" customFormat="false" ht="15" hidden="false" customHeight="true" outlineLevel="0" collapsed="false">
      <c r="A6" s="17" t="s">
        <v>840</v>
      </c>
      <c r="B6" s="20" t="n">
        <v>750</v>
      </c>
      <c r="C6" s="59"/>
    </row>
    <row r="7" customFormat="false" ht="15" hidden="false" customHeight="true" outlineLevel="0" collapsed="false">
      <c r="A7" s="17" t="s">
        <v>841</v>
      </c>
      <c r="B7" s="20" t="n">
        <v>1289.47368421053</v>
      </c>
      <c r="C7" s="59"/>
    </row>
    <row r="8" customFormat="false" ht="15" hidden="false" customHeight="true" outlineLevel="0" collapsed="false">
      <c r="A8" s="17" t="s">
        <v>842</v>
      </c>
      <c r="B8" s="20" t="n">
        <v>437.5</v>
      </c>
      <c r="C8" s="59"/>
    </row>
    <row r="9" customFormat="false" ht="15" hidden="false" customHeight="true" outlineLevel="0" collapsed="false">
      <c r="A9" s="17" t="s">
        <v>843</v>
      </c>
      <c r="B9" s="20" t="n">
        <v>2775</v>
      </c>
      <c r="C9" s="59"/>
    </row>
    <row r="10" customFormat="false" ht="15" hidden="false" customHeight="true" outlineLevel="0" collapsed="false">
      <c r="A10" s="17" t="s">
        <v>844</v>
      </c>
      <c r="B10" s="60" t="n">
        <v>0.0769230769230769</v>
      </c>
      <c r="C10" s="59"/>
    </row>
    <row r="11" customFormat="false" ht="15" hidden="false" customHeight="true" outlineLevel="0" collapsed="false">
      <c r="A11" s="17" t="s">
        <v>845</v>
      </c>
      <c r="B11" s="60" t="n">
        <v>0.384615384615385</v>
      </c>
      <c r="C11" s="59"/>
    </row>
    <row r="12" customFormat="false" ht="15" hidden="false" customHeight="true" outlineLevel="0" collapsed="false">
      <c r="A12" s="17" t="s">
        <v>846</v>
      </c>
      <c r="B12" s="60" t="n">
        <v>0.769230769230769</v>
      </c>
      <c r="C12" s="59"/>
    </row>
    <row r="13" customFormat="false" ht="15" hidden="false" customHeight="true" outlineLevel="0" collapsed="false">
      <c r="A13" s="17" t="s">
        <v>847</v>
      </c>
      <c r="B13" s="60" t="n">
        <v>1</v>
      </c>
      <c r="C13" s="59"/>
    </row>
    <row r="15" customFormat="false" ht="15" hidden="false" customHeight="true" outlineLevel="0" collapsed="false">
      <c r="A15" s="3" t="s">
        <v>848</v>
      </c>
    </row>
    <row r="16" customFormat="false" ht="15" hidden="false" customHeight="true" outlineLevel="0" collapsed="false">
      <c r="A16" s="17" t="s">
        <v>838</v>
      </c>
      <c r="B16" s="21" t="n">
        <v>26</v>
      </c>
      <c r="C16" s="59"/>
    </row>
    <row r="17" customFormat="false" ht="15" hidden="false" customHeight="true" outlineLevel="0" collapsed="false">
      <c r="A17" s="17" t="s">
        <v>849</v>
      </c>
      <c r="B17" s="61" t="n">
        <v>0.645073344185673</v>
      </c>
      <c r="C17" s="59"/>
    </row>
    <row r="18" customFormat="false" ht="15" hidden="false" customHeight="true" outlineLevel="0" collapsed="false">
      <c r="A18" s="17" t="s">
        <v>850</v>
      </c>
      <c r="B18" s="61" t="n">
        <v>0.596674254756446</v>
      </c>
      <c r="C18" s="59"/>
    </row>
    <row r="19" customFormat="false" ht="15" hidden="false" customHeight="true" outlineLevel="0" collapsed="false">
      <c r="A19" s="17" t="s">
        <v>851</v>
      </c>
      <c r="B19" s="61" t="n">
        <v>0.361010666711986</v>
      </c>
      <c r="C19" s="59"/>
    </row>
    <row r="20" customFormat="false" ht="15" hidden="false" customHeight="true" outlineLevel="0" collapsed="false">
      <c r="A20" s="17" t="s">
        <v>852</v>
      </c>
      <c r="B20" s="61" t="n">
        <v>7.61938233073117</v>
      </c>
      <c r="C20" s="59" t="s">
        <v>853</v>
      </c>
    </row>
    <row r="21" customFormat="false" ht="15" hidden="false" customHeight="true" outlineLevel="0" collapsed="false">
      <c r="A21" s="17" t="s">
        <v>854</v>
      </c>
      <c r="B21" s="61" t="n">
        <v>-0.173112558761912</v>
      </c>
      <c r="C21" s="59" t="s">
        <v>855</v>
      </c>
    </row>
    <row r="22" customFormat="false" ht="15" hidden="false" customHeight="true" outlineLevel="0" collapsed="false">
      <c r="A22" s="17" t="s">
        <v>856</v>
      </c>
      <c r="B22" s="61" t="n">
        <v>-0.2923793286419</v>
      </c>
      <c r="C22" s="59" t="s">
        <v>857</v>
      </c>
    </row>
    <row r="23" customFormat="false" ht="15" hidden="false" customHeight="true" outlineLevel="0" collapsed="false">
      <c r="A23" s="17" t="s">
        <v>858</v>
      </c>
      <c r="B23" s="61" t="n">
        <v>0.0148755161793271</v>
      </c>
      <c r="C23" s="59" t="s">
        <v>859</v>
      </c>
    </row>
    <row r="24" customFormat="false" ht="15" hidden="false" customHeight="true" outlineLevel="0" collapsed="false">
      <c r="A24" s="17" t="s">
        <v>860</v>
      </c>
      <c r="B24" s="20" t="n">
        <v>1115.57547700502</v>
      </c>
      <c r="C24" s="59"/>
    </row>
    <row r="25" customFormat="false" ht="15" hidden="false" customHeight="true" outlineLevel="0" collapsed="false">
      <c r="A25" s="17" t="s">
        <v>861</v>
      </c>
      <c r="B25" s="20" t="n">
        <v>611.093763972734</v>
      </c>
      <c r="C25" s="59"/>
    </row>
    <row r="26" customFormat="false" ht="15" hidden="false" customHeight="true" outlineLevel="0" collapsed="false">
      <c r="A26" s="17" t="s">
        <v>862</v>
      </c>
      <c r="B26" s="20" t="n">
        <v>2036.52650094871</v>
      </c>
      <c r="C26" s="59"/>
    </row>
    <row r="27" customFormat="false" ht="15" hidden="false" customHeight="true" outlineLevel="0" collapsed="false">
      <c r="A27" s="17" t="s">
        <v>863</v>
      </c>
      <c r="B27" s="60" t="n">
        <v>0.0964779232384427</v>
      </c>
      <c r="C27" s="59"/>
    </row>
    <row r="28" customFormat="false" ht="15" hidden="false" customHeight="true" outlineLevel="0" collapsed="false">
      <c r="A28" s="17" t="s">
        <v>864</v>
      </c>
      <c r="B28" s="60" t="n">
        <v>0.266898508941132</v>
      </c>
      <c r="C28" s="59"/>
    </row>
    <row r="29" customFormat="false" ht="15" hidden="false" customHeight="true" outlineLevel="0" collapsed="false">
      <c r="A29" s="17" t="s">
        <v>865</v>
      </c>
      <c r="B29" s="60" t="n">
        <v>0.727957761640331</v>
      </c>
      <c r="C29" s="59"/>
    </row>
    <row r="30" customFormat="false" ht="15" hidden="false" customHeight="true" outlineLevel="0" collapsed="false">
      <c r="A30" s="17" t="s">
        <v>866</v>
      </c>
      <c r="B30" s="60" t="n">
        <v>0.977596427496157</v>
      </c>
      <c r="C30" s="59"/>
    </row>
    <row r="32" customFormat="false" ht="15" hidden="false" customHeight="true" outlineLevel="0" collapsed="false">
      <c r="A32" s="3" t="s">
        <v>867</v>
      </c>
    </row>
    <row r="33" customFormat="false" ht="15" hidden="false" customHeight="true" outlineLevel="0" collapsed="false">
      <c r="A33" s="17" t="s">
        <v>868</v>
      </c>
      <c r="B33" s="20" t="n">
        <v>48910799.6142003</v>
      </c>
      <c r="C33" s="59"/>
    </row>
    <row r="34" customFormat="false" ht="15" hidden="false" customHeight="true" outlineLevel="0" collapsed="false">
      <c r="A34" s="17" t="s">
        <v>869</v>
      </c>
      <c r="B34" s="20" t="n">
        <v>51293414.50617</v>
      </c>
      <c r="C34" s="59"/>
    </row>
    <row r="35" customFormat="false" ht="15" hidden="false" customHeight="true" outlineLevel="0" collapsed="false">
      <c r="A35" s="17" t="s">
        <v>870</v>
      </c>
      <c r="B35" s="20" t="n">
        <v>53040842.9068577</v>
      </c>
      <c r="C35" s="59"/>
    </row>
    <row r="36" customFormat="false" ht="15" hidden="false" customHeight="true" outlineLevel="0" collapsed="false">
      <c r="A36" s="17" t="s">
        <v>871</v>
      </c>
      <c r="B36" s="20" t="n">
        <v>53991966.9618618</v>
      </c>
      <c r="C36" s="59"/>
    </row>
    <row r="37" customFormat="false" ht="15" hidden="false" customHeight="true" outlineLevel="0" collapsed="false">
      <c r="A37" s="17" t="s">
        <v>872</v>
      </c>
      <c r="B37" s="20" t="n">
        <v>3376815.97261616</v>
      </c>
      <c r="C37" s="59" t="s">
        <v>873</v>
      </c>
    </row>
    <row r="38" customFormat="false" ht="15" hidden="false" customHeight="true" outlineLevel="0" collapsed="false">
      <c r="A38" s="17" t="s">
        <v>874</v>
      </c>
      <c r="B38" s="62" t="n">
        <v>0.0031</v>
      </c>
      <c r="C38" s="59"/>
    </row>
    <row r="39" customFormat="false" ht="15" hidden="false" customHeight="true" outlineLevel="0" collapsed="false">
      <c r="A39" s="17" t="s">
        <v>875</v>
      </c>
      <c r="B39" s="62" t="n">
        <v>0.242386345867807</v>
      </c>
      <c r="C39" s="59"/>
    </row>
    <row r="40" customFormat="false" ht="15" hidden="false" customHeight="true" outlineLevel="0" collapsed="false">
      <c r="A40" s="17" t="s">
        <v>876</v>
      </c>
      <c r="B40" s="20" t="n">
        <v>50163521.9743739</v>
      </c>
      <c r="C40" s="59"/>
    </row>
    <row r="41" customFormat="false" ht="15" hidden="false" customHeight="true" outlineLevel="0" collapsed="false">
      <c r="A41" s="17" t="s">
        <v>877</v>
      </c>
      <c r="B41" s="20" t="n">
        <v>53420558.018494</v>
      </c>
      <c r="C41" s="59"/>
    </row>
    <row r="42" customFormat="false" ht="15" hidden="false" customHeight="true" outlineLevel="0" collapsed="false">
      <c r="A42" s="17" t="s">
        <v>878</v>
      </c>
      <c r="B42" s="20" t="n">
        <v>55912637.4163745</v>
      </c>
      <c r="C42" s="59"/>
    </row>
    <row r="43" customFormat="false" ht="15" hidden="false" customHeight="true" outlineLevel="0" collapsed="false">
      <c r="A43" s="17" t="s">
        <v>879</v>
      </c>
      <c r="B43" s="20" t="n">
        <v>57312478.6438365</v>
      </c>
      <c r="C43" s="59"/>
    </row>
    <row r="44" customFormat="false" ht="15" hidden="false" customHeight="true" outlineLevel="0" collapsed="false">
      <c r="A44" s="17" t="s">
        <v>880</v>
      </c>
      <c r="B44" s="20" t="n">
        <v>6248610.48213293</v>
      </c>
      <c r="C44" s="59" t="s">
        <v>873</v>
      </c>
    </row>
    <row r="45" customFormat="false" ht="15" hidden="false" customHeight="true" outlineLevel="0" collapsed="false">
      <c r="A45" s="17" t="s">
        <v>881</v>
      </c>
      <c r="B45" s="62" t="n">
        <v>0.10365</v>
      </c>
      <c r="C45" s="59"/>
    </row>
    <row r="46" customFormat="false" ht="15" hidden="false" customHeight="true" outlineLevel="0" collapsed="false">
      <c r="A46" s="17" t="s">
        <v>882</v>
      </c>
      <c r="B46" s="62" t="n">
        <v>0.234030282925687</v>
      </c>
      <c r="C46" s="59"/>
    </row>
    <row r="48" customFormat="false" ht="15" hidden="false" customHeight="true" outlineLevel="0" collapsed="false">
      <c r="A48" s="3" t="s">
        <v>883</v>
      </c>
    </row>
    <row r="49" customFormat="false" ht="15" hidden="false" customHeight="true" outlineLevel="0" collapsed="false">
      <c r="A49" s="17" t="s">
        <v>884</v>
      </c>
      <c r="B49" s="20" t="n">
        <v>173279.182512038</v>
      </c>
      <c r="C49" s="59" t="s">
        <v>885</v>
      </c>
    </row>
    <row r="50" customFormat="false" ht="15" hidden="false" customHeight="true" outlineLevel="0" collapsed="false">
      <c r="A50" s="17" t="s">
        <v>886</v>
      </c>
      <c r="B50" s="20" t="n">
        <v>326886.102266792</v>
      </c>
      <c r="C50" s="59" t="s">
        <v>887</v>
      </c>
    </row>
    <row r="51" customFormat="false" ht="15" hidden="false" customHeight="true" outlineLevel="0" collapsed="false">
      <c r="A51" s="17" t="s">
        <v>888</v>
      </c>
      <c r="B51" s="20" t="n">
        <v>176401.130651003</v>
      </c>
      <c r="C51" s="59" t="s">
        <v>889</v>
      </c>
    </row>
    <row r="52" customFormat="false" ht="15" hidden="false" customHeight="true" outlineLevel="0" collapsed="false">
      <c r="A52" s="17" t="s">
        <v>890</v>
      </c>
      <c r="B52" s="20" t="n">
        <v>456422.879790741</v>
      </c>
      <c r="C52" s="59" t="s">
        <v>891</v>
      </c>
    </row>
    <row r="53" customFormat="false" ht="15" hidden="false" customHeight="true" outlineLevel="0" collapsed="false">
      <c r="A53" s="17" t="s">
        <v>892</v>
      </c>
      <c r="B53" s="20" t="n">
        <v>934979.618572824</v>
      </c>
      <c r="C53" s="59" t="s">
        <v>893</v>
      </c>
    </row>
    <row r="54" customFormat="false" ht="15" hidden="false" customHeight="true" outlineLevel="0" collapsed="false">
      <c r="A54" s="17" t="s">
        <v>894</v>
      </c>
      <c r="B54" s="20" t="n">
        <v>799004.553820044</v>
      </c>
      <c r="C54" s="59" t="s">
        <v>895</v>
      </c>
    </row>
    <row r="55" customFormat="false" ht="15" hidden="false" customHeight="true" outlineLevel="0" collapsed="false">
      <c r="A55" s="17" t="s">
        <v>896</v>
      </c>
      <c r="B55" s="20" t="n">
        <v>159057.490497989</v>
      </c>
      <c r="C55" s="59" t="s">
        <v>897</v>
      </c>
    </row>
    <row r="56" customFormat="false" ht="15" hidden="false" customHeight="true" outlineLevel="0" collapsed="false">
      <c r="A56" s="17" t="s">
        <v>898</v>
      </c>
      <c r="B56" s="20" t="n">
        <v>514608.685543055</v>
      </c>
      <c r="C56" s="59" t="s">
        <v>899</v>
      </c>
    </row>
    <row r="57" customFormat="false" ht="15" hidden="false" customHeight="true" outlineLevel="0" collapsed="false">
      <c r="A57" s="17" t="s">
        <v>900</v>
      </c>
      <c r="B57" s="20" t="n">
        <v>43557.1507740385</v>
      </c>
      <c r="C57" s="59" t="s">
        <v>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60"/>
    <col collapsed="false" customWidth="true" hidden="false" outlineLevel="0" max="6" min="6" style="1" width="8"/>
    <col collapsed="false" customWidth="true" hidden="false" outlineLevel="0" max="7" min="7" style="1" width="6"/>
    <col collapsed="false" customWidth="true" hidden="false" outlineLevel="0" max="8" min="8" style="1" width="15"/>
    <col collapsed="false" customWidth="true" hidden="false" outlineLevel="0" max="9" min="9" style="1" width="10"/>
    <col collapsed="false" customWidth="true" hidden="false" outlineLevel="0" max="10" min="10" style="1" width="50"/>
    <col collapsed="false" customWidth="true" hidden="false" outlineLevel="0" max="11" min="11" style="1" width="60"/>
    <col collapsed="false" customWidth="true" hidden="false" outlineLevel="0" max="12" min="12" style="1" width="8"/>
  </cols>
  <sheetData>
    <row r="1" customFormat="false" ht="23.25" hidden="false" customHeight="true" outlineLevel="0" collapsed="false">
      <c r="A1" s="10" t="s">
        <v>902</v>
      </c>
      <c r="B1" s="10" t="s">
        <v>903</v>
      </c>
      <c r="C1" s="10" t="s">
        <v>904</v>
      </c>
      <c r="D1" s="10" t="s">
        <v>905</v>
      </c>
      <c r="E1" s="10" t="s">
        <v>906</v>
      </c>
      <c r="F1" s="10" t="s">
        <v>907</v>
      </c>
      <c r="G1" s="10" t="s">
        <v>908</v>
      </c>
      <c r="H1" s="10" t="s">
        <v>909</v>
      </c>
      <c r="I1" s="10" t="s">
        <v>910</v>
      </c>
      <c r="J1" s="10" t="s">
        <v>381</v>
      </c>
      <c r="K1" s="10" t="s">
        <v>35</v>
      </c>
      <c r="L1" s="10" t="s">
        <v>911</v>
      </c>
    </row>
    <row r="2" customFormat="false" ht="15" hidden="false" customHeight="true" outlineLevel="0" collapsed="false">
      <c r="A2" s="11" t="s">
        <v>912</v>
      </c>
      <c r="B2" s="11" t="s">
        <v>913</v>
      </c>
      <c r="C2" s="11" t="s">
        <v>914</v>
      </c>
      <c r="D2" s="11" t="n">
        <v>0</v>
      </c>
      <c r="E2" s="11" t="s">
        <v>915</v>
      </c>
      <c r="F2" s="11" t="n">
        <v>1</v>
      </c>
      <c r="G2" s="11" t="s">
        <v>916</v>
      </c>
      <c r="H2" s="63" t="n">
        <v>5456.87223235797</v>
      </c>
      <c r="I2" s="11" t="n">
        <v>0</v>
      </c>
      <c r="J2" s="11"/>
      <c r="K2" s="11" t="s">
        <v>52</v>
      </c>
      <c r="L2" s="11" t="str">
        <f aca="false">LEFT(K2,1)</f>
        <v>F</v>
      </c>
    </row>
    <row r="3" customFormat="false" ht="15" hidden="false" customHeight="true" outlineLevel="0" collapsed="false">
      <c r="A3" s="11" t="s">
        <v>912</v>
      </c>
      <c r="B3" s="11" t="s">
        <v>913</v>
      </c>
      <c r="C3" s="11" t="s">
        <v>917</v>
      </c>
      <c r="D3" s="11" t="n">
        <v>0</v>
      </c>
      <c r="E3" s="11" t="s">
        <v>918</v>
      </c>
      <c r="F3" s="11" t="n">
        <v>1</v>
      </c>
      <c r="G3" s="11" t="s">
        <v>916</v>
      </c>
      <c r="H3" s="63" t="n">
        <v>8185.30834853695</v>
      </c>
      <c r="I3" s="11" t="n">
        <v>0</v>
      </c>
      <c r="J3" s="11"/>
      <c r="K3" s="11" t="s">
        <v>52</v>
      </c>
      <c r="L3" s="11" t="str">
        <f aca="false">LEFT(K3,1)</f>
        <v>F</v>
      </c>
    </row>
    <row r="4" customFormat="false" ht="15" hidden="false" customHeight="true" outlineLevel="0" collapsed="false">
      <c r="A4" s="11" t="s">
        <v>912</v>
      </c>
      <c r="B4" s="11" t="s">
        <v>919</v>
      </c>
      <c r="C4" s="11" t="s">
        <v>920</v>
      </c>
      <c r="D4" s="11" t="n">
        <v>0</v>
      </c>
      <c r="E4" s="11" t="s">
        <v>921</v>
      </c>
      <c r="F4" s="11" t="n">
        <v>1</v>
      </c>
      <c r="G4" s="11" t="s">
        <v>916</v>
      </c>
      <c r="H4" s="63" t="n">
        <v>17393.780240641</v>
      </c>
      <c r="I4" s="11" t="n">
        <v>0</v>
      </c>
      <c r="J4" s="11"/>
      <c r="K4" s="11" t="s">
        <v>52</v>
      </c>
      <c r="L4" s="11" t="str">
        <f aca="false">LEFT(K4,1)</f>
        <v>F</v>
      </c>
    </row>
    <row r="5" customFormat="false" ht="15" hidden="false" customHeight="true" outlineLevel="0" collapsed="false">
      <c r="A5" s="11" t="s">
        <v>912</v>
      </c>
      <c r="B5" s="11" t="s">
        <v>919</v>
      </c>
      <c r="C5" s="11" t="s">
        <v>922</v>
      </c>
      <c r="D5" s="11" t="n">
        <v>0</v>
      </c>
      <c r="E5" s="11" t="s">
        <v>923</v>
      </c>
      <c r="F5" s="11" t="n">
        <v>1</v>
      </c>
      <c r="G5" s="11" t="s">
        <v>916</v>
      </c>
      <c r="H5" s="63" t="n">
        <v>156544.022165769</v>
      </c>
      <c r="I5" s="11" t="n">
        <v>0</v>
      </c>
      <c r="J5" s="11"/>
      <c r="K5" s="11" t="s">
        <v>52</v>
      </c>
      <c r="L5" s="11" t="str">
        <f aca="false">LEFT(K5,1)</f>
        <v>F</v>
      </c>
    </row>
    <row r="6" customFormat="false" ht="15" hidden="false" customHeight="true" outlineLevel="0" collapsed="false">
      <c r="A6" s="11" t="s">
        <v>912</v>
      </c>
      <c r="B6" s="11" t="s">
        <v>924</v>
      </c>
      <c r="C6" s="11" t="s">
        <v>925</v>
      </c>
      <c r="D6" s="11" t="n">
        <v>238</v>
      </c>
      <c r="E6" s="11" t="s">
        <v>926</v>
      </c>
      <c r="F6" s="11" t="n">
        <v>40</v>
      </c>
      <c r="G6" s="11" t="s">
        <v>927</v>
      </c>
      <c r="H6" s="63" t="n">
        <v>2719.56232258065</v>
      </c>
      <c r="I6" s="11" t="n">
        <v>40</v>
      </c>
      <c r="J6" s="11"/>
      <c r="K6" s="11" t="s">
        <v>52</v>
      </c>
      <c r="L6" s="11" t="str">
        <f aca="false">LEFT(K6,1)</f>
        <v>F</v>
      </c>
    </row>
    <row r="7" customFormat="false" ht="15" hidden="false" customHeight="true" outlineLevel="0" collapsed="false">
      <c r="A7" s="11" t="s">
        <v>912</v>
      </c>
      <c r="B7" s="11" t="s">
        <v>924</v>
      </c>
      <c r="C7" s="11" t="s">
        <v>928</v>
      </c>
      <c r="D7" s="11" t="n">
        <v>239</v>
      </c>
      <c r="E7" s="11" t="s">
        <v>929</v>
      </c>
      <c r="F7" s="11" t="n">
        <v>120</v>
      </c>
      <c r="G7" s="11" t="s">
        <v>927</v>
      </c>
      <c r="H7" s="63" t="n">
        <v>21359.4910451613</v>
      </c>
      <c r="I7" s="11" t="n">
        <v>120</v>
      </c>
      <c r="J7" s="11"/>
      <c r="K7" s="11" t="s">
        <v>52</v>
      </c>
      <c r="L7" s="11" t="str">
        <f aca="false">LEFT(K7,1)</f>
        <v>F</v>
      </c>
    </row>
    <row r="8" customFormat="false" ht="15" hidden="false" customHeight="true" outlineLevel="0" collapsed="false">
      <c r="A8" s="11" t="s">
        <v>912</v>
      </c>
      <c r="B8" s="11" t="s">
        <v>924</v>
      </c>
      <c r="C8" s="11" t="s">
        <v>930</v>
      </c>
      <c r="D8" s="11" t="n">
        <v>242</v>
      </c>
      <c r="E8" s="11" t="s">
        <v>931</v>
      </c>
      <c r="F8" s="11" t="n">
        <v>80</v>
      </c>
      <c r="G8" s="11" t="s">
        <v>927</v>
      </c>
      <c r="H8" s="63" t="n">
        <v>5439.12464516129</v>
      </c>
      <c r="I8" s="11" t="n">
        <v>80</v>
      </c>
      <c r="J8" s="11"/>
      <c r="K8" s="11" t="s">
        <v>52</v>
      </c>
      <c r="L8" s="11" t="str">
        <f aca="false">LEFT(K8,1)</f>
        <v>F</v>
      </c>
    </row>
    <row r="9" customFormat="false" ht="15" hidden="false" customHeight="true" outlineLevel="0" collapsed="false">
      <c r="A9" s="11" t="s">
        <v>912</v>
      </c>
      <c r="B9" s="11" t="s">
        <v>924</v>
      </c>
      <c r="C9" s="11" t="s">
        <v>932</v>
      </c>
      <c r="D9" s="11" t="n">
        <v>243</v>
      </c>
      <c r="E9" s="11" t="s">
        <v>933</v>
      </c>
      <c r="F9" s="11" t="n">
        <v>160</v>
      </c>
      <c r="G9" s="11" t="s">
        <v>927</v>
      </c>
      <c r="H9" s="63" t="n">
        <v>28832.2169806452</v>
      </c>
      <c r="I9" s="11" t="n">
        <v>160</v>
      </c>
      <c r="J9" s="11"/>
      <c r="K9" s="11" t="s">
        <v>52</v>
      </c>
      <c r="L9" s="11" t="str">
        <f aca="false">LEFT(K9,1)</f>
        <v>F</v>
      </c>
    </row>
    <row r="10" customFormat="false" ht="15" hidden="false" customHeight="true" outlineLevel="0" collapsed="false">
      <c r="A10" s="11" t="s">
        <v>912</v>
      </c>
      <c r="B10" s="11" t="s">
        <v>924</v>
      </c>
      <c r="C10" s="11" t="s">
        <v>934</v>
      </c>
      <c r="D10" s="11" t="n">
        <v>247</v>
      </c>
      <c r="E10" s="11" t="s">
        <v>935</v>
      </c>
      <c r="F10" s="11" t="n">
        <v>40</v>
      </c>
      <c r="G10" s="11" t="s">
        <v>927</v>
      </c>
      <c r="H10" s="63" t="n">
        <v>2817.09424516129</v>
      </c>
      <c r="I10" s="11" t="n">
        <v>40</v>
      </c>
      <c r="J10" s="11"/>
      <c r="K10" s="11" t="s">
        <v>52</v>
      </c>
      <c r="L10" s="11" t="str">
        <f aca="false">LEFT(K10,1)</f>
        <v>F</v>
      </c>
    </row>
    <row r="11" customFormat="false" ht="15" hidden="false" customHeight="true" outlineLevel="0" collapsed="false">
      <c r="A11" s="11" t="s">
        <v>912</v>
      </c>
      <c r="B11" s="11" t="s">
        <v>936</v>
      </c>
      <c r="C11" s="11" t="s">
        <v>937</v>
      </c>
      <c r="D11" s="11" t="n">
        <v>480</v>
      </c>
      <c r="E11" s="11" t="s">
        <v>938</v>
      </c>
      <c r="F11" s="11" t="n">
        <v>8</v>
      </c>
      <c r="G11" s="11" t="s">
        <v>939</v>
      </c>
      <c r="H11" s="63" t="n">
        <v>6371.41805309735</v>
      </c>
      <c r="I11" s="11" t="n">
        <v>0</v>
      </c>
      <c r="J11" s="11"/>
      <c r="K11" s="11" t="s">
        <v>52</v>
      </c>
      <c r="L11" s="11" t="str">
        <f aca="false">LEFT(K11,1)</f>
        <v>F</v>
      </c>
    </row>
    <row r="12" customFormat="false" ht="15" hidden="false" customHeight="true" outlineLevel="0" collapsed="false">
      <c r="A12" s="11" t="s">
        <v>912</v>
      </c>
      <c r="B12" s="11" t="s">
        <v>936</v>
      </c>
      <c r="C12" s="11" t="s">
        <v>937</v>
      </c>
      <c r="D12" s="11" t="n">
        <v>478</v>
      </c>
      <c r="E12" s="11" t="s">
        <v>940</v>
      </c>
      <c r="F12" s="11" t="n">
        <v>40</v>
      </c>
      <c r="G12" s="11" t="s">
        <v>939</v>
      </c>
      <c r="H12" s="63" t="n">
        <v>29202.3327433628</v>
      </c>
      <c r="I12" s="11" t="n">
        <v>0</v>
      </c>
      <c r="J12" s="11"/>
      <c r="K12" s="11" t="s">
        <v>52</v>
      </c>
      <c r="L12" s="11" t="str">
        <f aca="false">LEFT(K12,1)</f>
        <v>F</v>
      </c>
    </row>
    <row r="13" customFormat="false" ht="15" hidden="false" customHeight="true" outlineLevel="0" collapsed="false">
      <c r="A13" s="11" t="s">
        <v>912</v>
      </c>
      <c r="B13" s="11" t="s">
        <v>936</v>
      </c>
      <c r="C13" s="11" t="s">
        <v>937</v>
      </c>
      <c r="D13" s="11" t="n">
        <v>470</v>
      </c>
      <c r="E13" s="11" t="s">
        <v>941</v>
      </c>
      <c r="F13" s="11" t="n">
        <v>8</v>
      </c>
      <c r="G13" s="11" t="s">
        <v>939</v>
      </c>
      <c r="H13" s="63" t="n">
        <v>40639.0281486726</v>
      </c>
      <c r="I13" s="11" t="n">
        <v>0</v>
      </c>
      <c r="J13" s="11"/>
      <c r="K13" s="11" t="s">
        <v>52</v>
      </c>
      <c r="L13" s="11" t="str">
        <f aca="false">LEFT(K13,1)</f>
        <v>F</v>
      </c>
    </row>
    <row r="14" customFormat="false" ht="15" hidden="false" customHeight="true" outlineLevel="0" collapsed="false">
      <c r="A14" s="11" t="s">
        <v>912</v>
      </c>
      <c r="B14" s="11" t="s">
        <v>936</v>
      </c>
      <c r="C14" s="11" t="s">
        <v>937</v>
      </c>
      <c r="D14" s="11" t="n">
        <v>476</v>
      </c>
      <c r="E14" s="11" t="s">
        <v>942</v>
      </c>
      <c r="F14" s="11" t="n">
        <v>4</v>
      </c>
      <c r="G14" s="11" t="s">
        <v>939</v>
      </c>
      <c r="H14" s="63" t="n">
        <v>16932.9283952802</v>
      </c>
      <c r="I14" s="11" t="n">
        <v>0</v>
      </c>
      <c r="J14" s="11"/>
      <c r="K14" s="11" t="s">
        <v>52</v>
      </c>
      <c r="L14" s="11" t="str">
        <f aca="false">LEFT(K14,1)</f>
        <v>F</v>
      </c>
    </row>
    <row r="15" customFormat="false" ht="15" hidden="false" customHeight="true" outlineLevel="0" collapsed="false">
      <c r="A15" s="11" t="s">
        <v>912</v>
      </c>
      <c r="B15" s="11" t="s">
        <v>936</v>
      </c>
      <c r="C15" s="11" t="s">
        <v>937</v>
      </c>
      <c r="D15" s="11" t="n">
        <v>472</v>
      </c>
      <c r="E15" s="11" t="s">
        <v>943</v>
      </c>
      <c r="F15" s="11" t="n">
        <v>8</v>
      </c>
      <c r="G15" s="11" t="s">
        <v>939</v>
      </c>
      <c r="H15" s="63" t="n">
        <v>33865.8567905605</v>
      </c>
      <c r="I15" s="11" t="n">
        <v>0</v>
      </c>
      <c r="J15" s="11"/>
      <c r="K15" s="11" t="s">
        <v>52</v>
      </c>
      <c r="L15" s="11" t="str">
        <f aca="false">LEFT(K15,1)</f>
        <v>F</v>
      </c>
    </row>
    <row r="16" customFormat="false" ht="15" hidden="false" customHeight="true" outlineLevel="0" collapsed="false">
      <c r="A16" s="11" t="s">
        <v>912</v>
      </c>
      <c r="B16" s="11" t="s">
        <v>936</v>
      </c>
      <c r="C16" s="11" t="s">
        <v>944</v>
      </c>
      <c r="D16" s="11" t="n">
        <v>488</v>
      </c>
      <c r="E16" s="11" t="s">
        <v>945</v>
      </c>
      <c r="F16" s="11" t="n">
        <v>200</v>
      </c>
      <c r="G16" s="11" t="s">
        <v>946</v>
      </c>
      <c r="H16" s="63" t="n">
        <v>124.773603539823</v>
      </c>
      <c r="I16" s="11" t="n">
        <v>0</v>
      </c>
      <c r="J16" s="11"/>
      <c r="K16" s="11" t="s">
        <v>52</v>
      </c>
      <c r="L16" s="11" t="str">
        <f aca="false">LEFT(K16,1)</f>
        <v>F</v>
      </c>
    </row>
    <row r="17" customFormat="false" ht="15" hidden="false" customHeight="true" outlineLevel="0" collapsed="false">
      <c r="A17" s="11" t="s">
        <v>912</v>
      </c>
      <c r="B17" s="11" t="s">
        <v>936</v>
      </c>
      <c r="C17" s="11" t="s">
        <v>944</v>
      </c>
      <c r="D17" s="11" t="n">
        <v>486</v>
      </c>
      <c r="E17" s="11" t="s">
        <v>947</v>
      </c>
      <c r="F17" s="11" t="n">
        <v>200</v>
      </c>
      <c r="G17" s="11" t="s">
        <v>946</v>
      </c>
      <c r="H17" s="63" t="n">
        <v>57.0772867256637</v>
      </c>
      <c r="I17" s="11" t="n">
        <v>0</v>
      </c>
      <c r="J17" s="11"/>
      <c r="K17" s="11" t="s">
        <v>52</v>
      </c>
      <c r="L17" s="11" t="str">
        <f aca="false">LEFT(K17,1)</f>
        <v>F</v>
      </c>
    </row>
    <row r="18" customFormat="false" ht="15" hidden="false" customHeight="true" outlineLevel="0" collapsed="false">
      <c r="A18" s="11" t="s">
        <v>912</v>
      </c>
      <c r="B18" s="11" t="s">
        <v>936</v>
      </c>
      <c r="C18" s="11" t="s">
        <v>944</v>
      </c>
      <c r="D18" s="11" t="n">
        <v>482</v>
      </c>
      <c r="E18" s="11" t="s">
        <v>948</v>
      </c>
      <c r="F18" s="11" t="n">
        <v>100</v>
      </c>
      <c r="G18" s="11" t="s">
        <v>939</v>
      </c>
      <c r="H18" s="63" t="n">
        <v>94.2438920353982</v>
      </c>
      <c r="I18" s="11" t="n">
        <v>0</v>
      </c>
      <c r="J18" s="11"/>
      <c r="K18" s="11" t="s">
        <v>52</v>
      </c>
      <c r="L18" s="11" t="str">
        <f aca="false">LEFT(K18,1)</f>
        <v>F</v>
      </c>
    </row>
    <row r="19" customFormat="false" ht="15" hidden="false" customHeight="true" outlineLevel="0" collapsed="false">
      <c r="A19" s="11" t="s">
        <v>912</v>
      </c>
      <c r="B19" s="11" t="s">
        <v>936</v>
      </c>
      <c r="C19" s="11" t="s">
        <v>944</v>
      </c>
      <c r="D19" s="11" t="n">
        <v>484</v>
      </c>
      <c r="E19" s="11" t="s">
        <v>949</v>
      </c>
      <c r="F19" s="11" t="n">
        <v>100</v>
      </c>
      <c r="G19" s="11" t="s">
        <v>939</v>
      </c>
      <c r="H19" s="63" t="n">
        <v>70.3510743362832</v>
      </c>
      <c r="I19" s="11" t="n">
        <v>0</v>
      </c>
      <c r="J19" s="11"/>
      <c r="K19" s="11" t="s">
        <v>52</v>
      </c>
      <c r="L19" s="11" t="str">
        <f aca="false">LEFT(K19,1)</f>
        <v>F</v>
      </c>
    </row>
    <row r="20" customFormat="false" ht="15" hidden="false" customHeight="true" outlineLevel="0" collapsed="false">
      <c r="A20" s="11" t="s">
        <v>912</v>
      </c>
      <c r="B20" s="11" t="s">
        <v>936</v>
      </c>
      <c r="C20" s="11" t="s">
        <v>944</v>
      </c>
      <c r="D20" s="11" t="n">
        <v>298</v>
      </c>
      <c r="E20" s="11" t="s">
        <v>950</v>
      </c>
      <c r="F20" s="11" t="n">
        <v>10000</v>
      </c>
      <c r="G20" s="11" t="s">
        <v>946</v>
      </c>
      <c r="H20" s="63" t="n">
        <v>19578.8367256637</v>
      </c>
      <c r="I20" s="11" t="n">
        <v>0</v>
      </c>
      <c r="J20" s="11" t="s">
        <v>951</v>
      </c>
      <c r="K20" s="11" t="s">
        <v>52</v>
      </c>
      <c r="L20" s="11" t="str">
        <f aca="false">LEFT(K20,1)</f>
        <v>F</v>
      </c>
    </row>
    <row r="21" customFormat="false" ht="15" hidden="false" customHeight="true" outlineLevel="0" collapsed="false">
      <c r="A21" s="11" t="s">
        <v>912</v>
      </c>
      <c r="B21" s="11" t="s">
        <v>952</v>
      </c>
      <c r="C21" s="11" t="s">
        <v>953</v>
      </c>
      <c r="D21" s="11" t="n">
        <v>132</v>
      </c>
      <c r="E21" s="11" t="s">
        <v>954</v>
      </c>
      <c r="F21" s="11" t="n">
        <v>320</v>
      </c>
      <c r="G21" s="11" t="s">
        <v>927</v>
      </c>
      <c r="H21" s="63" t="n">
        <v>21146.70752</v>
      </c>
      <c r="I21" s="11" t="n">
        <v>320</v>
      </c>
      <c r="J21" s="11" t="s">
        <v>955</v>
      </c>
      <c r="K21" s="11" t="s">
        <v>52</v>
      </c>
      <c r="L21" s="11" t="str">
        <f aca="false">LEFT(K21,1)</f>
        <v>F</v>
      </c>
    </row>
    <row r="22" customFormat="false" ht="15" hidden="false" customHeight="true" outlineLevel="0" collapsed="false">
      <c r="A22" s="11" t="s">
        <v>912</v>
      </c>
      <c r="B22" s="11" t="s">
        <v>952</v>
      </c>
      <c r="C22" s="11" t="s">
        <v>956</v>
      </c>
      <c r="D22" s="11" t="n">
        <v>0</v>
      </c>
      <c r="E22" s="11" t="s">
        <v>957</v>
      </c>
      <c r="F22" s="11" t="n">
        <v>1</v>
      </c>
      <c r="G22" s="11" t="s">
        <v>916</v>
      </c>
      <c r="H22" s="63" t="n">
        <v>33081.5768431</v>
      </c>
      <c r="I22" s="11" t="n">
        <v>0</v>
      </c>
      <c r="J22" s="11"/>
      <c r="K22" s="11" t="s">
        <v>52</v>
      </c>
      <c r="L22" s="11" t="str">
        <f aca="false">LEFT(K22,1)</f>
        <v>F</v>
      </c>
    </row>
    <row r="23" customFormat="false" ht="15" hidden="false" customHeight="true" outlineLevel="0" collapsed="false">
      <c r="A23" s="11" t="s">
        <v>912</v>
      </c>
      <c r="B23" s="11" t="s">
        <v>952</v>
      </c>
      <c r="C23" s="11" t="s">
        <v>956</v>
      </c>
      <c r="D23" s="11" t="n">
        <v>0</v>
      </c>
      <c r="E23" s="11" t="s">
        <v>958</v>
      </c>
      <c r="F23" s="11" t="n">
        <v>1</v>
      </c>
      <c r="G23" s="11" t="s">
        <v>916</v>
      </c>
      <c r="H23" s="63" t="n">
        <v>33081.5768431</v>
      </c>
      <c r="I23" s="11" t="n">
        <v>0</v>
      </c>
      <c r="J23" s="11"/>
      <c r="K23" s="11" t="s">
        <v>52</v>
      </c>
      <c r="L23" s="11" t="str">
        <f aca="false">LEFT(K23,1)</f>
        <v>F</v>
      </c>
    </row>
    <row r="24" customFormat="false" ht="15" hidden="false" customHeight="true" outlineLevel="0" collapsed="false">
      <c r="A24" s="11" t="s">
        <v>912</v>
      </c>
      <c r="B24" s="11" t="s">
        <v>952</v>
      </c>
      <c r="C24" s="11" t="s">
        <v>959</v>
      </c>
      <c r="D24" s="11" t="n">
        <v>489</v>
      </c>
      <c r="E24" s="11" t="s">
        <v>960</v>
      </c>
      <c r="F24" s="11" t="n">
        <v>200</v>
      </c>
      <c r="G24" s="11" t="s">
        <v>946</v>
      </c>
      <c r="H24" s="63" t="n">
        <v>230.798795</v>
      </c>
      <c r="I24" s="11" t="n">
        <v>1.2</v>
      </c>
      <c r="J24" s="11"/>
      <c r="K24" s="11" t="s">
        <v>52</v>
      </c>
      <c r="L24" s="11" t="str">
        <f aca="false">LEFT(K24,1)</f>
        <v>F</v>
      </c>
    </row>
    <row r="25" customFormat="false" ht="15" hidden="false" customHeight="true" outlineLevel="0" collapsed="false">
      <c r="A25" s="11" t="s">
        <v>912</v>
      </c>
      <c r="B25" s="11" t="s">
        <v>952</v>
      </c>
      <c r="C25" s="11" t="s">
        <v>959</v>
      </c>
      <c r="D25" s="11" t="n">
        <v>487</v>
      </c>
      <c r="E25" s="11" t="s">
        <v>961</v>
      </c>
      <c r="F25" s="11" t="n">
        <v>200</v>
      </c>
      <c r="G25" s="11" t="s">
        <v>946</v>
      </c>
      <c r="H25" s="63" t="n">
        <v>192.330561</v>
      </c>
      <c r="I25" s="11" t="n">
        <v>1</v>
      </c>
      <c r="J25" s="11"/>
      <c r="K25" s="11" t="s">
        <v>52</v>
      </c>
      <c r="L25" s="11" t="str">
        <f aca="false">LEFT(K25,1)</f>
        <v>F</v>
      </c>
    </row>
    <row r="26" customFormat="false" ht="15" hidden="false" customHeight="true" outlineLevel="0" collapsed="false">
      <c r="A26" s="11" t="s">
        <v>912</v>
      </c>
      <c r="B26" s="11" t="s">
        <v>952</v>
      </c>
      <c r="C26" s="11" t="s">
        <v>959</v>
      </c>
      <c r="D26" s="11" t="n">
        <v>483</v>
      </c>
      <c r="E26" s="11" t="s">
        <v>962</v>
      </c>
      <c r="F26" s="11" t="n">
        <v>100</v>
      </c>
      <c r="G26" s="11" t="s">
        <v>939</v>
      </c>
      <c r="H26" s="63" t="n">
        <v>2307.966732</v>
      </c>
      <c r="I26" s="11" t="n">
        <v>12</v>
      </c>
      <c r="J26" s="11"/>
      <c r="K26" s="11" t="s">
        <v>52</v>
      </c>
      <c r="L26" s="11" t="str">
        <f aca="false">LEFT(K26,1)</f>
        <v>F</v>
      </c>
    </row>
    <row r="27" customFormat="false" ht="15" hidden="false" customHeight="true" outlineLevel="0" collapsed="false">
      <c r="A27" s="11" t="s">
        <v>912</v>
      </c>
      <c r="B27" s="11" t="s">
        <v>952</v>
      </c>
      <c r="C27" s="11" t="s">
        <v>959</v>
      </c>
      <c r="D27" s="11" t="n">
        <v>485</v>
      </c>
      <c r="E27" s="11" t="s">
        <v>963</v>
      </c>
      <c r="F27" s="11" t="n">
        <v>100</v>
      </c>
      <c r="G27" s="11" t="s">
        <v>939</v>
      </c>
      <c r="H27" s="63" t="n">
        <v>1538.644488</v>
      </c>
      <c r="I27" s="11" t="n">
        <v>8</v>
      </c>
      <c r="J27" s="11"/>
      <c r="K27" s="11" t="s">
        <v>52</v>
      </c>
      <c r="L27" s="11" t="str">
        <f aca="false">LEFT(K27,1)</f>
        <v>F</v>
      </c>
    </row>
    <row r="28" customFormat="false" ht="15" hidden="false" customHeight="true" outlineLevel="0" collapsed="false">
      <c r="A28" s="11" t="s">
        <v>912</v>
      </c>
      <c r="B28" s="11" t="s">
        <v>952</v>
      </c>
      <c r="C28" s="11" t="s">
        <v>959</v>
      </c>
      <c r="D28" s="11" t="n">
        <v>299</v>
      </c>
      <c r="E28" s="11" t="s">
        <v>964</v>
      </c>
      <c r="F28" s="11" t="n">
        <v>10000</v>
      </c>
      <c r="G28" s="11" t="s">
        <v>946</v>
      </c>
      <c r="H28" s="63" t="n">
        <v>46159.33464</v>
      </c>
      <c r="I28" s="11" t="n">
        <v>240</v>
      </c>
      <c r="J28" s="11" t="s">
        <v>951</v>
      </c>
      <c r="K28" s="11" t="s">
        <v>52</v>
      </c>
      <c r="L28" s="11" t="str">
        <f aca="false">LEFT(K28,1)</f>
        <v>F</v>
      </c>
    </row>
    <row r="29" customFormat="false" ht="15" hidden="false" customHeight="true" outlineLevel="0" collapsed="false">
      <c r="A29" s="11" t="s">
        <v>912</v>
      </c>
      <c r="B29" s="11" t="s">
        <v>952</v>
      </c>
      <c r="C29" s="11" t="s">
        <v>965</v>
      </c>
      <c r="D29" s="11" t="n">
        <v>481</v>
      </c>
      <c r="E29" s="11" t="s">
        <v>966</v>
      </c>
      <c r="F29" s="11" t="n">
        <v>8</v>
      </c>
      <c r="G29" s="11" t="s">
        <v>939</v>
      </c>
      <c r="H29" s="63" t="n">
        <v>1538.644488</v>
      </c>
      <c r="I29" s="11" t="n">
        <v>8</v>
      </c>
      <c r="J29" s="11"/>
      <c r="K29" s="11" t="s">
        <v>52</v>
      </c>
      <c r="L29" s="11" t="str">
        <f aca="false">LEFT(K29,1)</f>
        <v>F</v>
      </c>
    </row>
    <row r="30" customFormat="false" ht="15" hidden="false" customHeight="true" outlineLevel="0" collapsed="false">
      <c r="A30" s="11" t="s">
        <v>912</v>
      </c>
      <c r="B30" s="11" t="s">
        <v>952</v>
      </c>
      <c r="C30" s="11" t="s">
        <v>965</v>
      </c>
      <c r="D30" s="11" t="n">
        <v>479</v>
      </c>
      <c r="E30" s="11" t="s">
        <v>967</v>
      </c>
      <c r="F30" s="11" t="n">
        <v>40</v>
      </c>
      <c r="G30" s="11" t="s">
        <v>939</v>
      </c>
      <c r="H30" s="63" t="n">
        <v>19233.0561</v>
      </c>
      <c r="I30" s="11" t="n">
        <v>100</v>
      </c>
      <c r="J30" s="11"/>
      <c r="K30" s="11" t="s">
        <v>52</v>
      </c>
      <c r="L30" s="11" t="str">
        <f aca="false">LEFT(K30,1)</f>
        <v>F</v>
      </c>
    </row>
    <row r="31" customFormat="false" ht="15" hidden="false" customHeight="true" outlineLevel="0" collapsed="false">
      <c r="A31" s="11" t="s">
        <v>912</v>
      </c>
      <c r="B31" s="11" t="s">
        <v>952</v>
      </c>
      <c r="C31" s="11" t="s">
        <v>965</v>
      </c>
      <c r="D31" s="11" t="n">
        <v>471</v>
      </c>
      <c r="E31" s="11" t="s">
        <v>968</v>
      </c>
      <c r="F31" s="11" t="n">
        <v>8</v>
      </c>
      <c r="G31" s="11" t="s">
        <v>939</v>
      </c>
      <c r="H31" s="63" t="n">
        <v>492366.23616</v>
      </c>
      <c r="I31" s="11" t="n">
        <v>2560</v>
      </c>
      <c r="J31" s="11"/>
      <c r="K31" s="11" t="s">
        <v>52</v>
      </c>
      <c r="L31" s="11" t="str">
        <f aca="false">LEFT(K31,1)</f>
        <v>F</v>
      </c>
    </row>
    <row r="32" customFormat="false" ht="15" hidden="false" customHeight="true" outlineLevel="0" collapsed="false">
      <c r="A32" s="11" t="s">
        <v>912</v>
      </c>
      <c r="B32" s="11" t="s">
        <v>952</v>
      </c>
      <c r="C32" s="11" t="s">
        <v>965</v>
      </c>
      <c r="D32" s="11" t="n">
        <v>477</v>
      </c>
      <c r="E32" s="11" t="s">
        <v>969</v>
      </c>
      <c r="F32" s="11" t="n">
        <v>4</v>
      </c>
      <c r="G32" s="11" t="s">
        <v>939</v>
      </c>
      <c r="H32" s="63" t="n">
        <v>246183.11808</v>
      </c>
      <c r="I32" s="11" t="n">
        <v>1280</v>
      </c>
      <c r="J32" s="11"/>
      <c r="K32" s="11" t="s">
        <v>52</v>
      </c>
      <c r="L32" s="11" t="str">
        <f aca="false">LEFT(K32,1)</f>
        <v>F</v>
      </c>
    </row>
    <row r="33" customFormat="false" ht="15" hidden="false" customHeight="true" outlineLevel="0" collapsed="false">
      <c r="A33" s="11" t="s">
        <v>912</v>
      </c>
      <c r="B33" s="11" t="s">
        <v>952</v>
      </c>
      <c r="C33" s="11" t="s">
        <v>965</v>
      </c>
      <c r="D33" s="11" t="n">
        <v>473</v>
      </c>
      <c r="E33" s="11" t="s">
        <v>970</v>
      </c>
      <c r="F33" s="11" t="n">
        <v>8</v>
      </c>
      <c r="G33" s="11" t="s">
        <v>939</v>
      </c>
      <c r="H33" s="63" t="n">
        <v>492366.23616</v>
      </c>
      <c r="I33" s="11" t="n">
        <v>2560</v>
      </c>
      <c r="J33" s="11"/>
      <c r="K33" s="11" t="s">
        <v>52</v>
      </c>
      <c r="L33" s="11" t="str">
        <f aca="false">LEFT(K33,1)</f>
        <v>F</v>
      </c>
    </row>
    <row r="34" customFormat="false" ht="15" hidden="false" customHeight="true" outlineLevel="0" collapsed="false">
      <c r="A34" s="11" t="s">
        <v>912</v>
      </c>
      <c r="B34" s="11" t="s">
        <v>971</v>
      </c>
      <c r="C34" s="11" t="s">
        <v>972</v>
      </c>
      <c r="D34" s="11" t="n">
        <v>138</v>
      </c>
      <c r="E34" s="11" t="s">
        <v>973</v>
      </c>
      <c r="F34" s="11" t="n">
        <v>2600</v>
      </c>
      <c r="G34" s="11" t="s">
        <v>927</v>
      </c>
      <c r="H34" s="63" t="n">
        <v>663104.936</v>
      </c>
      <c r="I34" s="11" t="n">
        <v>2600</v>
      </c>
      <c r="J34" s="11" t="s">
        <v>974</v>
      </c>
      <c r="K34" s="11" t="s">
        <v>52</v>
      </c>
      <c r="L34" s="11" t="str">
        <f aca="false">LEFT(K34,1)</f>
        <v>F</v>
      </c>
    </row>
    <row r="35" customFormat="false" ht="15" hidden="false" customHeight="true" outlineLevel="0" collapsed="false">
      <c r="A35" s="11" t="s">
        <v>912</v>
      </c>
      <c r="B35" s="11" t="s">
        <v>971</v>
      </c>
      <c r="C35" s="11" t="s">
        <v>975</v>
      </c>
      <c r="D35" s="11" t="n">
        <v>140</v>
      </c>
      <c r="E35" s="11" t="s">
        <v>976</v>
      </c>
      <c r="F35" s="11" t="n">
        <v>5200</v>
      </c>
      <c r="G35" s="11" t="s">
        <v>927</v>
      </c>
      <c r="H35" s="63" t="n">
        <v>1151386.2828</v>
      </c>
      <c r="I35" s="11" t="n">
        <v>5200</v>
      </c>
      <c r="J35" s="27" t="s">
        <v>977</v>
      </c>
      <c r="K35" s="11" t="s">
        <v>52</v>
      </c>
      <c r="L35" s="11" t="str">
        <f aca="false">LEFT(K35,1)</f>
        <v>F</v>
      </c>
    </row>
    <row r="36" customFormat="false" ht="15" hidden="false" customHeight="true" outlineLevel="0" collapsed="false">
      <c r="A36" s="11" t="s">
        <v>912</v>
      </c>
      <c r="B36" s="11" t="s">
        <v>978</v>
      </c>
      <c r="C36" s="11" t="s">
        <v>979</v>
      </c>
      <c r="D36" s="11" t="n">
        <v>148</v>
      </c>
      <c r="E36" s="11" t="s">
        <v>980</v>
      </c>
      <c r="F36" s="11" t="n">
        <v>138</v>
      </c>
      <c r="G36" s="11" t="s">
        <v>927</v>
      </c>
      <c r="H36" s="63" t="n">
        <v>25029.7922385914</v>
      </c>
      <c r="I36" s="11" t="n">
        <v>138</v>
      </c>
      <c r="J36" s="27" t="s">
        <v>981</v>
      </c>
      <c r="K36" s="11" t="s">
        <v>52</v>
      </c>
      <c r="L36" s="11" t="str">
        <f aca="false">LEFT(K36,1)</f>
        <v>F</v>
      </c>
    </row>
    <row r="37" customFormat="false" ht="15" hidden="false" customHeight="true" outlineLevel="0" collapsed="false">
      <c r="A37" s="11" t="s">
        <v>912</v>
      </c>
      <c r="B37" s="11" t="s">
        <v>978</v>
      </c>
      <c r="C37" s="11" t="s">
        <v>982</v>
      </c>
      <c r="D37" s="11" t="n">
        <v>149</v>
      </c>
      <c r="E37" s="11" t="s">
        <v>983</v>
      </c>
      <c r="F37" s="11" t="n">
        <v>24</v>
      </c>
      <c r="G37" s="11" t="s">
        <v>927</v>
      </c>
      <c r="H37" s="63" t="n">
        <v>1790.10082455982</v>
      </c>
      <c r="I37" s="11" t="n">
        <v>24</v>
      </c>
      <c r="J37" s="11"/>
      <c r="K37" s="11" t="s">
        <v>52</v>
      </c>
      <c r="L37" s="11" t="str">
        <f aca="false">LEFT(K37,1)</f>
        <v>F</v>
      </c>
    </row>
    <row r="38" customFormat="false" ht="15" hidden="false" customHeight="true" outlineLevel="0" collapsed="false">
      <c r="A38" s="11" t="s">
        <v>912</v>
      </c>
      <c r="B38" s="11" t="s">
        <v>978</v>
      </c>
      <c r="C38" s="11" t="s">
        <v>984</v>
      </c>
      <c r="D38" s="11" t="n">
        <v>167</v>
      </c>
      <c r="E38" s="11" t="s">
        <v>985</v>
      </c>
      <c r="F38" s="11" t="n">
        <v>40</v>
      </c>
      <c r="G38" s="11" t="s">
        <v>927</v>
      </c>
      <c r="H38" s="63" t="n">
        <v>3104.71613559322</v>
      </c>
      <c r="I38" s="11" t="n">
        <v>40</v>
      </c>
      <c r="J38" s="11"/>
      <c r="K38" s="11" t="s">
        <v>52</v>
      </c>
      <c r="L38" s="11" t="str">
        <f aca="false">LEFT(K38,1)</f>
        <v>F</v>
      </c>
    </row>
    <row r="39" customFormat="false" ht="15" hidden="false" customHeight="true" outlineLevel="0" collapsed="false">
      <c r="A39" s="11" t="s">
        <v>912</v>
      </c>
      <c r="B39" s="11" t="s">
        <v>978</v>
      </c>
      <c r="C39" s="11" t="s">
        <v>986</v>
      </c>
      <c r="D39" s="11" t="n">
        <v>159</v>
      </c>
      <c r="E39" s="11" t="s">
        <v>987</v>
      </c>
      <c r="F39" s="11" t="n">
        <v>40</v>
      </c>
      <c r="G39" s="11" t="s">
        <v>927</v>
      </c>
      <c r="H39" s="63" t="n">
        <v>2705.71810169492</v>
      </c>
      <c r="I39" s="11" t="n">
        <v>40</v>
      </c>
      <c r="J39" s="11"/>
      <c r="K39" s="11" t="s">
        <v>52</v>
      </c>
      <c r="L39" s="11" t="str">
        <f aca="false">LEFT(K39,1)</f>
        <v>F</v>
      </c>
    </row>
    <row r="40" customFormat="false" ht="15" hidden="false" customHeight="true" outlineLevel="0" collapsed="false">
      <c r="A40" s="11" t="s">
        <v>912</v>
      </c>
      <c r="B40" s="11" t="s">
        <v>978</v>
      </c>
      <c r="C40" s="11" t="s">
        <v>988</v>
      </c>
      <c r="D40" s="11" t="n">
        <v>157</v>
      </c>
      <c r="E40" s="11" t="s">
        <v>989</v>
      </c>
      <c r="F40" s="11" t="n">
        <v>24</v>
      </c>
      <c r="G40" s="11" t="s">
        <v>927</v>
      </c>
      <c r="H40" s="63" t="n">
        <v>1278.13055623219</v>
      </c>
      <c r="I40" s="11" t="n">
        <v>24</v>
      </c>
      <c r="J40" s="11"/>
      <c r="K40" s="11" t="s">
        <v>52</v>
      </c>
      <c r="L40" s="11" t="str">
        <f aca="false">LEFT(K40,1)</f>
        <v>F</v>
      </c>
    </row>
    <row r="41" customFormat="false" ht="15" hidden="false" customHeight="true" outlineLevel="0" collapsed="false">
      <c r="A41" s="11" t="s">
        <v>912</v>
      </c>
      <c r="B41" s="11" t="s">
        <v>978</v>
      </c>
      <c r="C41" s="11" t="s">
        <v>988</v>
      </c>
      <c r="D41" s="11" t="n">
        <v>155</v>
      </c>
      <c r="E41" s="11" t="s">
        <v>990</v>
      </c>
      <c r="F41" s="11" t="n">
        <v>24</v>
      </c>
      <c r="G41" s="11" t="s">
        <v>927</v>
      </c>
      <c r="H41" s="63" t="n">
        <v>1278.13055623219</v>
      </c>
      <c r="I41" s="11" t="n">
        <v>24</v>
      </c>
      <c r="J41" s="11"/>
      <c r="K41" s="11" t="s">
        <v>52</v>
      </c>
      <c r="L41" s="11" t="str">
        <f aca="false">LEFT(K41,1)</f>
        <v>F</v>
      </c>
    </row>
    <row r="42" customFormat="false" ht="15" hidden="false" customHeight="true" outlineLevel="0" collapsed="false">
      <c r="A42" s="11" t="s">
        <v>912</v>
      </c>
      <c r="B42" s="11" t="s">
        <v>978</v>
      </c>
      <c r="C42" s="11" t="s">
        <v>991</v>
      </c>
      <c r="D42" s="11" t="n">
        <v>161</v>
      </c>
      <c r="E42" s="11" t="s">
        <v>992</v>
      </c>
      <c r="F42" s="11" t="n">
        <v>40</v>
      </c>
      <c r="G42" s="11" t="s">
        <v>927</v>
      </c>
      <c r="H42" s="63" t="n">
        <v>2568.90011320755</v>
      </c>
      <c r="I42" s="11" t="n">
        <v>40</v>
      </c>
      <c r="J42" s="11"/>
      <c r="K42" s="11" t="s">
        <v>52</v>
      </c>
      <c r="L42" s="11" t="str">
        <f aca="false">LEFT(K42,1)</f>
        <v>F</v>
      </c>
    </row>
    <row r="43" customFormat="false" ht="15" hidden="false" customHeight="true" outlineLevel="0" collapsed="false">
      <c r="A43" s="11" t="s">
        <v>912</v>
      </c>
      <c r="B43" s="11" t="s">
        <v>978</v>
      </c>
      <c r="C43" s="11" t="s">
        <v>993</v>
      </c>
      <c r="D43" s="11" t="n">
        <v>452</v>
      </c>
      <c r="E43" s="11" t="s">
        <v>994</v>
      </c>
      <c r="F43" s="11" t="n">
        <v>344</v>
      </c>
      <c r="G43" s="11" t="s">
        <v>927</v>
      </c>
      <c r="H43" s="63" t="n">
        <v>59170.1897761121</v>
      </c>
      <c r="I43" s="11" t="n">
        <v>344</v>
      </c>
      <c r="J43" s="11" t="s">
        <v>995</v>
      </c>
      <c r="K43" s="11" t="s">
        <v>52</v>
      </c>
      <c r="L43" s="11" t="str">
        <f aca="false">LEFT(K43,1)</f>
        <v>F</v>
      </c>
    </row>
    <row r="44" customFormat="false" ht="15" hidden="false" customHeight="true" outlineLevel="0" collapsed="false">
      <c r="A44" s="11" t="s">
        <v>912</v>
      </c>
      <c r="B44" s="11" t="s">
        <v>996</v>
      </c>
      <c r="C44" s="11" t="s">
        <v>997</v>
      </c>
      <c r="D44" s="11" t="n">
        <v>475</v>
      </c>
      <c r="E44" s="11" t="s">
        <v>998</v>
      </c>
      <c r="F44" s="11" t="n">
        <v>8</v>
      </c>
      <c r="G44" s="11" t="s">
        <v>939</v>
      </c>
      <c r="H44" s="63" t="n">
        <v>49236.623616</v>
      </c>
      <c r="I44" s="11" t="n">
        <v>256</v>
      </c>
      <c r="J44" s="11" t="s">
        <v>999</v>
      </c>
      <c r="K44" s="11" t="s">
        <v>52</v>
      </c>
      <c r="L44" s="11" t="str">
        <f aca="false">LEFT(K44,1)</f>
        <v>F</v>
      </c>
    </row>
    <row r="45" customFormat="false" ht="15" hidden="false" customHeight="true" outlineLevel="0" collapsed="false">
      <c r="A45" s="11" t="s">
        <v>912</v>
      </c>
      <c r="B45" s="11" t="s">
        <v>996</v>
      </c>
      <c r="C45" s="11" t="s">
        <v>997</v>
      </c>
      <c r="D45" s="11" t="n">
        <v>474</v>
      </c>
      <c r="E45" s="11" t="s">
        <v>1000</v>
      </c>
      <c r="F45" s="11" t="n">
        <v>8</v>
      </c>
      <c r="G45" s="11" t="s">
        <v>939</v>
      </c>
      <c r="H45" s="63" t="n">
        <v>49236.623616</v>
      </c>
      <c r="I45" s="11" t="n">
        <v>256</v>
      </c>
      <c r="J45" s="11" t="s">
        <v>999</v>
      </c>
      <c r="K45" s="11" t="s">
        <v>52</v>
      </c>
      <c r="L45" s="11" t="str">
        <f aca="false">LEFT(K45,1)</f>
        <v>F</v>
      </c>
    </row>
    <row r="46" customFormat="false" ht="15" hidden="false" customHeight="true" outlineLevel="0" collapsed="false">
      <c r="A46" s="11" t="s">
        <v>912</v>
      </c>
      <c r="B46" s="11" t="s">
        <v>996</v>
      </c>
      <c r="C46" s="11" t="s">
        <v>997</v>
      </c>
      <c r="D46" s="11" t="n">
        <v>491</v>
      </c>
      <c r="E46" s="11" t="s">
        <v>1001</v>
      </c>
      <c r="F46" s="11" t="n">
        <v>40</v>
      </c>
      <c r="G46" s="11" t="s">
        <v>939</v>
      </c>
      <c r="H46" s="63" t="n">
        <v>9616.52805</v>
      </c>
      <c r="I46" s="11" t="n">
        <v>50</v>
      </c>
      <c r="J46" s="11" t="s">
        <v>1002</v>
      </c>
      <c r="K46" s="11" t="s">
        <v>52</v>
      </c>
      <c r="L46" s="11" t="str">
        <f aca="false">LEFT(K46,1)</f>
        <v>F</v>
      </c>
    </row>
    <row r="47" customFormat="false" ht="15" hidden="false" customHeight="true" outlineLevel="0" collapsed="false">
      <c r="A47" s="11" t="s">
        <v>912</v>
      </c>
      <c r="B47" s="11" t="s">
        <v>996</v>
      </c>
      <c r="C47" s="11" t="s">
        <v>997</v>
      </c>
      <c r="D47" s="11" t="n">
        <v>492</v>
      </c>
      <c r="E47" s="11" t="s">
        <v>1003</v>
      </c>
      <c r="F47" s="11" t="n">
        <v>1</v>
      </c>
      <c r="G47" s="11" t="s">
        <v>939</v>
      </c>
      <c r="H47" s="63" t="n">
        <v>15386.44488</v>
      </c>
      <c r="I47" s="11" t="n">
        <v>80</v>
      </c>
      <c r="J47" s="11" t="s">
        <v>1004</v>
      </c>
      <c r="K47" s="11" t="s">
        <v>52</v>
      </c>
      <c r="L47" s="11" t="str">
        <f aca="false">LEFT(K47,1)</f>
        <v>F</v>
      </c>
    </row>
    <row r="48" customFormat="false" ht="15" hidden="false" customHeight="true" outlineLevel="0" collapsed="false">
      <c r="A48" s="11" t="s">
        <v>912</v>
      </c>
      <c r="B48" s="11" t="s">
        <v>1005</v>
      </c>
      <c r="C48" s="11" t="s">
        <v>1006</v>
      </c>
      <c r="D48" s="11" t="n">
        <v>0</v>
      </c>
      <c r="E48" s="11" t="s">
        <v>1007</v>
      </c>
      <c r="F48" s="11" t="n">
        <v>1</v>
      </c>
      <c r="G48" s="11" t="s">
        <v>916</v>
      </c>
      <c r="H48" s="63" t="n">
        <v>76400.0732722743</v>
      </c>
      <c r="I48" s="11" t="n">
        <v>0</v>
      </c>
      <c r="J48" s="11"/>
      <c r="K48" s="11" t="s">
        <v>52</v>
      </c>
      <c r="L48" s="11" t="str">
        <f aca="false">LEFT(K48,1)</f>
        <v>F</v>
      </c>
    </row>
    <row r="49" customFormat="false" ht="15" hidden="false" customHeight="true" outlineLevel="0" collapsed="false">
      <c r="A49" s="11" t="s">
        <v>912</v>
      </c>
      <c r="B49" s="11" t="s">
        <v>1008</v>
      </c>
      <c r="C49" s="11" t="s">
        <v>1009</v>
      </c>
      <c r="D49" s="11" t="n">
        <v>455</v>
      </c>
      <c r="E49" s="11" t="s">
        <v>1010</v>
      </c>
      <c r="F49" s="11" t="n">
        <v>1</v>
      </c>
      <c r="G49" s="11" t="s">
        <v>916</v>
      </c>
      <c r="H49" s="63" t="n">
        <v>200000</v>
      </c>
      <c r="I49" s="11" t="n">
        <v>0</v>
      </c>
      <c r="J49" s="27" t="s">
        <v>1011</v>
      </c>
      <c r="K49" s="11" t="s">
        <v>52</v>
      </c>
      <c r="L49" s="11" t="str">
        <f aca="false">LEFT(K49,1)</f>
        <v>F</v>
      </c>
    </row>
    <row r="50" customFormat="false" ht="15" hidden="false" customHeight="true" outlineLevel="0" collapsed="false">
      <c r="A50" s="11" t="s">
        <v>912</v>
      </c>
      <c r="B50" s="11" t="s">
        <v>1008</v>
      </c>
      <c r="C50" s="11" t="s">
        <v>1009</v>
      </c>
      <c r="D50" s="11" t="n">
        <v>461</v>
      </c>
      <c r="E50" s="11" t="s">
        <v>1012</v>
      </c>
      <c r="F50" s="11" t="n">
        <v>1</v>
      </c>
      <c r="G50" s="11" t="s">
        <v>916</v>
      </c>
      <c r="H50" s="63" t="n">
        <v>220000</v>
      </c>
      <c r="I50" s="11" t="n">
        <v>0</v>
      </c>
      <c r="J50" s="27" t="s">
        <v>1013</v>
      </c>
      <c r="K50" s="11" t="s">
        <v>52</v>
      </c>
      <c r="L50" s="11" t="str">
        <f aca="false">LEFT(K50,1)</f>
        <v>F</v>
      </c>
    </row>
    <row r="51" customFormat="false" ht="15" hidden="false" customHeight="true" outlineLevel="0" collapsed="false">
      <c r="A51" s="11" t="s">
        <v>912</v>
      </c>
      <c r="B51" s="11" t="s">
        <v>1008</v>
      </c>
      <c r="C51" s="11" t="s">
        <v>1009</v>
      </c>
      <c r="D51" s="11" t="n">
        <v>460</v>
      </c>
      <c r="E51" s="11" t="s">
        <v>1014</v>
      </c>
      <c r="F51" s="11" t="n">
        <v>1</v>
      </c>
      <c r="G51" s="11" t="s">
        <v>916</v>
      </c>
      <c r="H51" s="63" t="n">
        <v>300000</v>
      </c>
      <c r="I51" s="11" t="n">
        <v>0</v>
      </c>
      <c r="J51" s="11" t="s">
        <v>1015</v>
      </c>
      <c r="K51" s="11" t="s">
        <v>52</v>
      </c>
      <c r="L51" s="11" t="str">
        <f aca="false">LEFT(K51,1)</f>
        <v>F</v>
      </c>
    </row>
    <row r="52" customFormat="false" ht="15" hidden="false" customHeight="true" outlineLevel="0" collapsed="false">
      <c r="A52" s="11" t="s">
        <v>912</v>
      </c>
      <c r="B52" s="11" t="s">
        <v>1008</v>
      </c>
      <c r="C52" s="11" t="s">
        <v>1009</v>
      </c>
      <c r="D52" s="11" t="n">
        <v>454</v>
      </c>
      <c r="E52" s="11" t="s">
        <v>1016</v>
      </c>
      <c r="F52" s="11" t="n">
        <v>1</v>
      </c>
      <c r="G52" s="11" t="s">
        <v>916</v>
      </c>
      <c r="H52" s="63" t="n">
        <v>50000</v>
      </c>
      <c r="I52" s="11" t="n">
        <v>0</v>
      </c>
      <c r="J52" s="27" t="s">
        <v>1017</v>
      </c>
      <c r="K52" s="11" t="s">
        <v>52</v>
      </c>
      <c r="L52" s="11" t="str">
        <f aca="false">LEFT(K52,1)</f>
        <v>F</v>
      </c>
    </row>
    <row r="53" customFormat="false" ht="15" hidden="false" customHeight="true" outlineLevel="0" collapsed="false">
      <c r="A53" s="11" t="s">
        <v>912</v>
      </c>
      <c r="B53" s="11" t="s">
        <v>1018</v>
      </c>
      <c r="C53" s="11" t="s">
        <v>1019</v>
      </c>
      <c r="D53" s="11" t="n">
        <v>0</v>
      </c>
      <c r="E53" s="11" t="s">
        <v>1020</v>
      </c>
      <c r="F53" s="11" t="n">
        <v>1</v>
      </c>
      <c r="G53" s="11" t="s">
        <v>916</v>
      </c>
      <c r="H53" s="63" t="n">
        <v>55403.6879789297</v>
      </c>
      <c r="I53" s="11" t="n">
        <v>0</v>
      </c>
      <c r="J53" s="11"/>
      <c r="K53" s="11" t="s">
        <v>52</v>
      </c>
      <c r="L53" s="11" t="str">
        <f aca="false">LEFT(K53,1)</f>
        <v>F</v>
      </c>
    </row>
    <row r="54" customFormat="false" ht="15" hidden="false" customHeight="true" outlineLevel="0" collapsed="false">
      <c r="A54" s="11" t="s">
        <v>912</v>
      </c>
      <c r="B54" s="11" t="s">
        <v>1018</v>
      </c>
      <c r="C54" s="11" t="s">
        <v>1021</v>
      </c>
      <c r="D54" s="11" t="n">
        <v>0</v>
      </c>
      <c r="E54" s="11" t="s">
        <v>1022</v>
      </c>
      <c r="F54" s="11" t="n">
        <v>1</v>
      </c>
      <c r="G54" s="11" t="s">
        <v>916</v>
      </c>
      <c r="H54" s="63" t="n">
        <v>26548.6773744497</v>
      </c>
      <c r="I54" s="11" t="n">
        <v>0</v>
      </c>
      <c r="J54" s="11"/>
      <c r="K54" s="11" t="s">
        <v>52</v>
      </c>
      <c r="L54" s="11" t="str">
        <f aca="false">LEFT(K54,1)</f>
        <v>F</v>
      </c>
    </row>
    <row r="55" customFormat="false" ht="15" hidden="false" customHeight="true" outlineLevel="0" collapsed="false">
      <c r="A55" s="11" t="s">
        <v>912</v>
      </c>
      <c r="B55" s="11" t="s">
        <v>1018</v>
      </c>
      <c r="C55" s="11" t="s">
        <v>1023</v>
      </c>
      <c r="D55" s="11" t="n">
        <v>0</v>
      </c>
      <c r="E55" s="11" t="s">
        <v>1024</v>
      </c>
      <c r="F55" s="11" t="n">
        <v>1</v>
      </c>
      <c r="G55" s="11" t="s">
        <v>916</v>
      </c>
      <c r="H55" s="63" t="n">
        <v>10600.5050075041</v>
      </c>
      <c r="I55" s="11" t="n">
        <v>0</v>
      </c>
      <c r="J55" s="11"/>
      <c r="K55" s="11" t="s">
        <v>52</v>
      </c>
      <c r="L55" s="11" t="str">
        <f aca="false">LEFT(K55,1)</f>
        <v>F</v>
      </c>
    </row>
    <row r="56" customFormat="false" ht="15" hidden="false" customHeight="true" outlineLevel="0" collapsed="false">
      <c r="A56" s="11" t="s">
        <v>912</v>
      </c>
      <c r="B56" s="11" t="s">
        <v>1018</v>
      </c>
      <c r="C56" s="11" t="s">
        <v>1025</v>
      </c>
      <c r="D56" s="11" t="n">
        <v>0</v>
      </c>
      <c r="E56" s="11" t="s">
        <v>1026</v>
      </c>
      <c r="F56" s="11" t="n">
        <v>1</v>
      </c>
      <c r="G56" s="11" t="s">
        <v>916</v>
      </c>
      <c r="H56" s="63" t="n">
        <v>1458437.16878613</v>
      </c>
      <c r="I56" s="11" t="n">
        <v>0</v>
      </c>
      <c r="J56" s="11"/>
      <c r="K56" s="11" t="s">
        <v>52</v>
      </c>
      <c r="L56" s="11" t="str">
        <f aca="false">LEFT(K56,1)</f>
        <v>F</v>
      </c>
    </row>
    <row r="57" customFormat="false" ht="15" hidden="false" customHeight="true" outlineLevel="0" collapsed="false">
      <c r="A57" s="11" t="s">
        <v>912</v>
      </c>
      <c r="B57" s="11" t="s">
        <v>1018</v>
      </c>
      <c r="C57" s="11" t="s">
        <v>1027</v>
      </c>
      <c r="D57" s="11" t="n">
        <v>0</v>
      </c>
      <c r="E57" s="11" t="s">
        <v>1028</v>
      </c>
      <c r="F57" s="11" t="n">
        <v>1</v>
      </c>
      <c r="G57" s="11" t="s">
        <v>916</v>
      </c>
      <c r="H57" s="63" t="n">
        <v>58085.0383057693</v>
      </c>
      <c r="I57" s="11" t="n">
        <v>0</v>
      </c>
      <c r="J57" s="11"/>
      <c r="K57" s="11" t="s">
        <v>52</v>
      </c>
      <c r="L57" s="11" t="str">
        <f aca="false">LEFT(K57,1)</f>
        <v>F</v>
      </c>
    </row>
    <row r="58" customFormat="false" ht="15" hidden="false" customHeight="true" outlineLevel="0" collapsed="false">
      <c r="A58" s="11" t="s">
        <v>912</v>
      </c>
      <c r="B58" s="11" t="s">
        <v>1018</v>
      </c>
      <c r="C58" s="11" t="s">
        <v>1029</v>
      </c>
      <c r="D58" s="11" t="n">
        <v>0</v>
      </c>
      <c r="E58" s="11" t="s">
        <v>1030</v>
      </c>
      <c r="F58" s="11" t="n">
        <v>1</v>
      </c>
      <c r="G58" s="11" t="s">
        <v>916</v>
      </c>
      <c r="H58" s="63" t="n">
        <v>0</v>
      </c>
      <c r="I58" s="11" t="n">
        <v>0</v>
      </c>
      <c r="J58" s="11"/>
      <c r="K58" s="11" t="s">
        <v>52</v>
      </c>
      <c r="L58" s="11" t="str">
        <f aca="false">LEFT(K58,1)</f>
        <v>F</v>
      </c>
    </row>
    <row r="59" customFormat="false" ht="15" hidden="false" customHeight="true" outlineLevel="0" collapsed="false">
      <c r="A59" s="11" t="s">
        <v>912</v>
      </c>
      <c r="B59" s="11" t="s">
        <v>1018</v>
      </c>
      <c r="C59" s="11" t="s">
        <v>1031</v>
      </c>
      <c r="D59" s="11" t="n">
        <v>0</v>
      </c>
      <c r="E59" s="11" t="s">
        <v>1032</v>
      </c>
      <c r="F59" s="11" t="n">
        <v>1</v>
      </c>
      <c r="G59" s="11" t="s">
        <v>916</v>
      </c>
      <c r="H59" s="63" t="n">
        <v>248747.803612311</v>
      </c>
      <c r="I59" s="11" t="n">
        <v>0</v>
      </c>
      <c r="J59" s="11"/>
      <c r="K59" s="11" t="s">
        <v>52</v>
      </c>
      <c r="L59" s="11" t="str">
        <f aca="false">LEFT(K59,1)</f>
        <v>F</v>
      </c>
    </row>
    <row r="60" customFormat="false" ht="15" hidden="false" customHeight="true" outlineLevel="0" collapsed="false">
      <c r="A60" s="11" t="s">
        <v>912</v>
      </c>
      <c r="B60" s="11" t="s">
        <v>1018</v>
      </c>
      <c r="C60" s="11" t="s">
        <v>1033</v>
      </c>
      <c r="D60" s="11" t="n">
        <v>0</v>
      </c>
      <c r="E60" s="11" t="s">
        <v>1034</v>
      </c>
      <c r="F60" s="11" t="n">
        <v>1</v>
      </c>
      <c r="G60" s="11" t="s">
        <v>916</v>
      </c>
      <c r="H60" s="63" t="n">
        <v>64151.6387124449</v>
      </c>
      <c r="I60" s="11" t="n">
        <v>0</v>
      </c>
      <c r="J60" s="11"/>
      <c r="K60" s="11" t="s">
        <v>52</v>
      </c>
      <c r="L60" s="11" t="str">
        <f aca="false">LEFT(K60,1)</f>
        <v>F</v>
      </c>
    </row>
    <row r="61" customFormat="false" ht="15" hidden="false" customHeight="true" outlineLevel="0" collapsed="false">
      <c r="A61" s="11" t="s">
        <v>912</v>
      </c>
      <c r="B61" s="11" t="s">
        <v>1035</v>
      </c>
      <c r="C61" s="11" t="s">
        <v>1036</v>
      </c>
      <c r="D61" s="11" t="n">
        <v>0</v>
      </c>
      <c r="E61" s="11" t="s">
        <v>1037</v>
      </c>
      <c r="F61" s="11" t="n">
        <v>1</v>
      </c>
      <c r="G61" s="11" t="s">
        <v>916</v>
      </c>
      <c r="H61" s="63" t="n">
        <v>333060.488627401</v>
      </c>
      <c r="I61" s="11" t="n">
        <v>0</v>
      </c>
      <c r="J61" s="11"/>
      <c r="K61" s="11" t="s">
        <v>52</v>
      </c>
      <c r="L61" s="11" t="str">
        <f aca="false">LEFT(K61,1)</f>
        <v>F</v>
      </c>
    </row>
    <row r="62" customFormat="false" ht="15" hidden="false" customHeight="true" outlineLevel="0" collapsed="false">
      <c r="A62" s="11" t="s">
        <v>912</v>
      </c>
      <c r="B62" s="11" t="s">
        <v>1038</v>
      </c>
      <c r="C62" s="11" t="s">
        <v>1039</v>
      </c>
      <c r="D62" s="11" t="n">
        <v>217</v>
      </c>
      <c r="E62" s="11" t="s">
        <v>1040</v>
      </c>
      <c r="F62" s="11" t="n">
        <v>1</v>
      </c>
      <c r="G62" s="11" t="s">
        <v>916</v>
      </c>
      <c r="H62" s="63" t="n">
        <v>331723</v>
      </c>
      <c r="I62" s="11" t="n">
        <v>0</v>
      </c>
      <c r="J62" s="11"/>
      <c r="K62" s="11" t="s">
        <v>52</v>
      </c>
      <c r="L62" s="11" t="str">
        <f aca="false">LEFT(K62,1)</f>
        <v>F</v>
      </c>
    </row>
    <row r="63" customFormat="false" ht="15" hidden="false" customHeight="true" outlineLevel="0" collapsed="false">
      <c r="A63" s="11" t="s">
        <v>1041</v>
      </c>
      <c r="B63" s="11" t="s">
        <v>1042</v>
      </c>
      <c r="C63" s="11" t="s">
        <v>1043</v>
      </c>
      <c r="D63" s="11" t="n">
        <v>85</v>
      </c>
      <c r="E63" s="11" t="s">
        <v>1044</v>
      </c>
      <c r="F63" s="11" t="n">
        <v>1</v>
      </c>
      <c r="G63" s="11" t="s">
        <v>916</v>
      </c>
      <c r="H63" s="63" t="n">
        <v>2532</v>
      </c>
      <c r="I63" s="11" t="n">
        <v>0</v>
      </c>
      <c r="J63" s="11" t="s">
        <v>1045</v>
      </c>
      <c r="K63" s="11" t="s">
        <v>56</v>
      </c>
      <c r="L63" s="11" t="str">
        <f aca="false">LEFT(K63,1)</f>
        <v>H</v>
      </c>
    </row>
    <row r="64" customFormat="false" ht="15" hidden="false" customHeight="true" outlineLevel="0" collapsed="false">
      <c r="A64" s="11" t="s">
        <v>1041</v>
      </c>
      <c r="B64" s="11" t="s">
        <v>1042</v>
      </c>
      <c r="C64" s="11" t="s">
        <v>1043</v>
      </c>
      <c r="D64" s="11" t="n">
        <v>84</v>
      </c>
      <c r="E64" s="11" t="s">
        <v>1046</v>
      </c>
      <c r="F64" s="11" t="n">
        <v>1</v>
      </c>
      <c r="G64" s="11" t="s">
        <v>916</v>
      </c>
      <c r="H64" s="63" t="n">
        <v>578.37</v>
      </c>
      <c r="I64" s="11" t="n">
        <v>0</v>
      </c>
      <c r="J64" s="11" t="s">
        <v>1045</v>
      </c>
      <c r="K64" s="11" t="s">
        <v>56</v>
      </c>
      <c r="L64" s="11" t="str">
        <f aca="false">LEFT(K64,1)</f>
        <v>H</v>
      </c>
    </row>
    <row r="65" customFormat="false" ht="15" hidden="false" customHeight="true" outlineLevel="0" collapsed="false">
      <c r="A65" s="11" t="s">
        <v>1041</v>
      </c>
      <c r="B65" s="11" t="s">
        <v>1047</v>
      </c>
      <c r="C65" s="11" t="s">
        <v>1048</v>
      </c>
      <c r="D65" s="11" t="n">
        <v>93</v>
      </c>
      <c r="E65" s="11" t="s">
        <v>1049</v>
      </c>
      <c r="F65" s="11" t="n">
        <v>160</v>
      </c>
      <c r="G65" s="11" t="s">
        <v>927</v>
      </c>
      <c r="H65" s="63" t="n">
        <v>9793.51430508475</v>
      </c>
      <c r="I65" s="11" t="n">
        <v>160</v>
      </c>
      <c r="J65" s="11" t="s">
        <v>1050</v>
      </c>
      <c r="K65" s="11" t="s">
        <v>56</v>
      </c>
      <c r="L65" s="11" t="str">
        <f aca="false">LEFT(K65,1)</f>
        <v>H</v>
      </c>
    </row>
    <row r="66" customFormat="false" ht="15" hidden="false" customHeight="true" outlineLevel="0" collapsed="false">
      <c r="A66" s="11" t="s">
        <v>1041</v>
      </c>
      <c r="B66" s="11" t="s">
        <v>1047</v>
      </c>
      <c r="C66" s="11" t="s">
        <v>1051</v>
      </c>
      <c r="D66" s="11" t="n">
        <v>346</v>
      </c>
      <c r="E66" s="11" t="s">
        <v>1052</v>
      </c>
      <c r="F66" s="11" t="n">
        <v>40</v>
      </c>
      <c r="G66" s="11" t="s">
        <v>939</v>
      </c>
      <c r="H66" s="63" t="n">
        <v>7096.7259661017</v>
      </c>
      <c r="I66" s="11" t="n">
        <v>40</v>
      </c>
      <c r="J66" s="11" t="s">
        <v>1053</v>
      </c>
      <c r="K66" s="11" t="s">
        <v>56</v>
      </c>
      <c r="L66" s="11" t="str">
        <f aca="false">LEFT(K66,1)</f>
        <v>H</v>
      </c>
    </row>
    <row r="67" customFormat="false" ht="15" hidden="false" customHeight="true" outlineLevel="0" collapsed="false">
      <c r="A67" s="11" t="s">
        <v>1041</v>
      </c>
      <c r="B67" s="11" t="s">
        <v>1047</v>
      </c>
      <c r="C67" s="11" t="s">
        <v>1051</v>
      </c>
      <c r="D67" s="11" t="n">
        <v>345</v>
      </c>
      <c r="E67" s="11" t="s">
        <v>1054</v>
      </c>
      <c r="F67" s="11" t="n">
        <v>40</v>
      </c>
      <c r="G67" s="11" t="s">
        <v>939</v>
      </c>
      <c r="H67" s="63" t="n">
        <v>7096.7259661017</v>
      </c>
      <c r="I67" s="11" t="n">
        <v>40</v>
      </c>
      <c r="J67" s="11" t="s">
        <v>1055</v>
      </c>
      <c r="K67" s="11" t="s">
        <v>56</v>
      </c>
      <c r="L67" s="11" t="str">
        <f aca="false">LEFT(K67,1)</f>
        <v>H</v>
      </c>
    </row>
    <row r="68" customFormat="false" ht="15" hidden="false" customHeight="true" outlineLevel="0" collapsed="false">
      <c r="A68" s="11" t="s">
        <v>1041</v>
      </c>
      <c r="B68" s="11" t="s">
        <v>1047</v>
      </c>
      <c r="C68" s="11" t="s">
        <v>1051</v>
      </c>
      <c r="D68" s="11" t="n">
        <v>350</v>
      </c>
      <c r="E68" s="11" t="s">
        <v>1056</v>
      </c>
      <c r="F68" s="11" t="n">
        <v>24</v>
      </c>
      <c r="G68" s="11" t="s">
        <v>939</v>
      </c>
      <c r="H68" s="63" t="n">
        <v>4258.03557966102</v>
      </c>
      <c r="I68" s="11" t="n">
        <v>24</v>
      </c>
      <c r="J68" s="11" t="s">
        <v>1057</v>
      </c>
      <c r="K68" s="11" t="s">
        <v>56</v>
      </c>
      <c r="L68" s="11" t="str">
        <f aca="false">LEFT(K68,1)</f>
        <v>H</v>
      </c>
    </row>
    <row r="69" customFormat="false" ht="15" hidden="false" customHeight="true" outlineLevel="0" collapsed="false">
      <c r="A69" s="11" t="s">
        <v>1041</v>
      </c>
      <c r="B69" s="11" t="s">
        <v>1047</v>
      </c>
      <c r="C69" s="11" t="s">
        <v>1051</v>
      </c>
      <c r="D69" s="11" t="n">
        <v>94</v>
      </c>
      <c r="E69" s="11" t="s">
        <v>1058</v>
      </c>
      <c r="F69" s="11" t="n">
        <v>160</v>
      </c>
      <c r="G69" s="11" t="s">
        <v>927</v>
      </c>
      <c r="H69" s="63" t="n">
        <v>28386.9038644068</v>
      </c>
      <c r="I69" s="11" t="n">
        <v>160</v>
      </c>
      <c r="J69" s="11" t="s">
        <v>1050</v>
      </c>
      <c r="K69" s="11" t="s">
        <v>56</v>
      </c>
      <c r="L69" s="11" t="str">
        <f aca="false">LEFT(K69,1)</f>
        <v>H</v>
      </c>
    </row>
    <row r="70" customFormat="false" ht="15" hidden="false" customHeight="true" outlineLevel="0" collapsed="false">
      <c r="A70" s="11" t="s">
        <v>1041</v>
      </c>
      <c r="B70" s="11" t="s">
        <v>1047</v>
      </c>
      <c r="C70" s="11" t="s">
        <v>1051</v>
      </c>
      <c r="D70" s="11" t="n">
        <v>348</v>
      </c>
      <c r="E70" s="11" t="s">
        <v>1059</v>
      </c>
      <c r="F70" s="11" t="n">
        <v>24</v>
      </c>
      <c r="G70" s="11" t="s">
        <v>939</v>
      </c>
      <c r="H70" s="63" t="n">
        <v>4258.03557966102</v>
      </c>
      <c r="I70" s="11" t="n">
        <v>24</v>
      </c>
      <c r="J70" s="11" t="s">
        <v>1060</v>
      </c>
      <c r="K70" s="11" t="s">
        <v>56</v>
      </c>
      <c r="L70" s="11" t="str">
        <f aca="false">LEFT(K70,1)</f>
        <v>H</v>
      </c>
    </row>
    <row r="71" customFormat="false" ht="15" hidden="false" customHeight="true" outlineLevel="0" collapsed="false">
      <c r="A71" s="11" t="s">
        <v>1041</v>
      </c>
      <c r="B71" s="11" t="s">
        <v>1047</v>
      </c>
      <c r="C71" s="11" t="s">
        <v>1051</v>
      </c>
      <c r="D71" s="11" t="n">
        <v>347</v>
      </c>
      <c r="E71" s="11" t="s">
        <v>1061</v>
      </c>
      <c r="F71" s="11" t="n">
        <v>120</v>
      </c>
      <c r="G71" s="11" t="s">
        <v>939</v>
      </c>
      <c r="H71" s="63" t="n">
        <v>23141.0741694915</v>
      </c>
      <c r="I71" s="11" t="n">
        <v>120</v>
      </c>
      <c r="J71" s="11" t="s">
        <v>1062</v>
      </c>
      <c r="K71" s="11" t="s">
        <v>56</v>
      </c>
      <c r="L71" s="11" t="str">
        <f aca="false">LEFT(K71,1)</f>
        <v>H</v>
      </c>
    </row>
    <row r="72" customFormat="false" ht="15" hidden="false" customHeight="true" outlineLevel="0" collapsed="false">
      <c r="A72" s="11" t="s">
        <v>1041</v>
      </c>
      <c r="B72" s="11" t="s">
        <v>1047</v>
      </c>
      <c r="C72" s="11" t="s">
        <v>1051</v>
      </c>
      <c r="D72" s="11" t="n">
        <v>349</v>
      </c>
      <c r="E72" s="11" t="s">
        <v>1063</v>
      </c>
      <c r="F72" s="11" t="n">
        <v>80</v>
      </c>
      <c r="G72" s="11" t="s">
        <v>939</v>
      </c>
      <c r="H72" s="63" t="n">
        <v>14193.4519322034</v>
      </c>
      <c r="I72" s="11" t="n">
        <v>80</v>
      </c>
      <c r="J72" s="11" t="s">
        <v>1064</v>
      </c>
      <c r="K72" s="11" t="s">
        <v>56</v>
      </c>
      <c r="L72" s="11" t="str">
        <f aca="false">LEFT(K72,1)</f>
        <v>H</v>
      </c>
    </row>
    <row r="73" customFormat="false" ht="15" hidden="false" customHeight="true" outlineLevel="0" collapsed="false">
      <c r="A73" s="11" t="s">
        <v>1041</v>
      </c>
      <c r="B73" s="11" t="s">
        <v>1047</v>
      </c>
      <c r="C73" s="11" t="s">
        <v>1065</v>
      </c>
      <c r="D73" s="11" t="n">
        <v>88</v>
      </c>
      <c r="E73" s="11" t="s">
        <v>1066</v>
      </c>
      <c r="F73" s="11" t="n">
        <v>1</v>
      </c>
      <c r="G73" s="11" t="s">
        <v>916</v>
      </c>
      <c r="H73" s="63" t="n">
        <v>70700.04</v>
      </c>
      <c r="I73" s="11" t="n">
        <v>0</v>
      </c>
      <c r="J73" s="11" t="s">
        <v>1045</v>
      </c>
      <c r="K73" s="11" t="s">
        <v>56</v>
      </c>
      <c r="L73" s="11" t="str">
        <f aca="false">LEFT(K73,1)</f>
        <v>H</v>
      </c>
    </row>
    <row r="74" customFormat="false" ht="15" hidden="false" customHeight="true" outlineLevel="0" collapsed="false">
      <c r="A74" s="11" t="s">
        <v>1041</v>
      </c>
      <c r="B74" s="11" t="s">
        <v>1047</v>
      </c>
      <c r="C74" s="11" t="s">
        <v>1067</v>
      </c>
      <c r="D74" s="11" t="n">
        <v>92</v>
      </c>
      <c r="E74" s="11" t="s">
        <v>1068</v>
      </c>
      <c r="F74" s="11" t="n">
        <v>1</v>
      </c>
      <c r="G74" s="11" t="s">
        <v>916</v>
      </c>
      <c r="H74" s="63" t="n">
        <v>10302.56</v>
      </c>
      <c r="I74" s="11" t="n">
        <v>0</v>
      </c>
      <c r="J74" s="11" t="s">
        <v>1045</v>
      </c>
      <c r="K74" s="11" t="s">
        <v>56</v>
      </c>
      <c r="L74" s="11" t="str">
        <f aca="false">LEFT(K74,1)</f>
        <v>H</v>
      </c>
    </row>
    <row r="75" customFormat="false" ht="15" hidden="false" customHeight="true" outlineLevel="0" collapsed="false">
      <c r="A75" s="11" t="s">
        <v>1041</v>
      </c>
      <c r="B75" s="11" t="s">
        <v>913</v>
      </c>
      <c r="C75" s="11" t="s">
        <v>914</v>
      </c>
      <c r="D75" s="11" t="n">
        <v>201</v>
      </c>
      <c r="E75" s="11" t="s">
        <v>1069</v>
      </c>
      <c r="F75" s="11" t="n">
        <v>1</v>
      </c>
      <c r="G75" s="11" t="s">
        <v>916</v>
      </c>
      <c r="H75" s="63" t="n">
        <v>81346.44</v>
      </c>
      <c r="I75" s="11" t="n">
        <v>0</v>
      </c>
      <c r="J75" s="11" t="s">
        <v>1045</v>
      </c>
      <c r="K75" s="11" t="s">
        <v>56</v>
      </c>
      <c r="L75" s="11" t="str">
        <f aca="false">LEFT(K75,1)</f>
        <v>H</v>
      </c>
    </row>
    <row r="76" customFormat="false" ht="15" hidden="false" customHeight="true" outlineLevel="0" collapsed="false">
      <c r="A76" s="11" t="s">
        <v>1041</v>
      </c>
      <c r="B76" s="11" t="s">
        <v>913</v>
      </c>
      <c r="C76" s="11" t="s">
        <v>914</v>
      </c>
      <c r="D76" s="11" t="n">
        <v>203</v>
      </c>
      <c r="E76" s="11" t="s">
        <v>1070</v>
      </c>
      <c r="F76" s="11" t="n">
        <v>480</v>
      </c>
      <c r="G76" s="11" t="s">
        <v>927</v>
      </c>
      <c r="H76" s="63" t="n">
        <v>29380.5429152542</v>
      </c>
      <c r="I76" s="11" t="n">
        <v>480</v>
      </c>
      <c r="J76" s="11"/>
      <c r="K76" s="11" t="s">
        <v>56</v>
      </c>
      <c r="L76" s="11" t="str">
        <f aca="false">LEFT(K76,1)</f>
        <v>H</v>
      </c>
    </row>
    <row r="77" customFormat="false" ht="15" hidden="false" customHeight="true" outlineLevel="0" collapsed="false">
      <c r="A77" s="11" t="s">
        <v>1041</v>
      </c>
      <c r="B77" s="11" t="s">
        <v>913</v>
      </c>
      <c r="C77" s="11" t="s">
        <v>914</v>
      </c>
      <c r="D77" s="11" t="n">
        <v>0</v>
      </c>
      <c r="E77" s="11" t="s">
        <v>915</v>
      </c>
      <c r="F77" s="11" t="n">
        <v>1</v>
      </c>
      <c r="G77" s="11" t="s">
        <v>916</v>
      </c>
      <c r="H77" s="63" t="n">
        <v>36676.0522346495</v>
      </c>
      <c r="I77" s="11" t="n">
        <v>0</v>
      </c>
      <c r="J77" s="11"/>
      <c r="K77" s="11" t="s">
        <v>56</v>
      </c>
      <c r="L77" s="11" t="str">
        <f aca="false">LEFT(K77,1)</f>
        <v>H</v>
      </c>
    </row>
    <row r="78" customFormat="false" ht="15" hidden="false" customHeight="true" outlineLevel="0" collapsed="false">
      <c r="A78" s="11" t="s">
        <v>1041</v>
      </c>
      <c r="B78" s="11" t="s">
        <v>913</v>
      </c>
      <c r="C78" s="11" t="s">
        <v>917</v>
      </c>
      <c r="D78" s="11" t="n">
        <v>202</v>
      </c>
      <c r="E78" s="11" t="s">
        <v>1071</v>
      </c>
      <c r="F78" s="11" t="n">
        <v>1</v>
      </c>
      <c r="G78" s="11" t="s">
        <v>916</v>
      </c>
      <c r="H78" s="63" t="n">
        <v>3454.72</v>
      </c>
      <c r="I78" s="11" t="n">
        <v>0</v>
      </c>
      <c r="J78" s="11" t="s">
        <v>1045</v>
      </c>
      <c r="K78" s="11" t="s">
        <v>56</v>
      </c>
      <c r="L78" s="11" t="str">
        <f aca="false">LEFT(K78,1)</f>
        <v>H</v>
      </c>
    </row>
    <row r="79" customFormat="false" ht="15" hidden="false" customHeight="true" outlineLevel="0" collapsed="false">
      <c r="A79" s="11" t="s">
        <v>1041</v>
      </c>
      <c r="B79" s="11" t="s">
        <v>913</v>
      </c>
      <c r="C79" s="11" t="s">
        <v>917</v>
      </c>
      <c r="D79" s="11" t="n">
        <v>204</v>
      </c>
      <c r="E79" s="11" t="s">
        <v>1072</v>
      </c>
      <c r="F79" s="11" t="n">
        <v>480</v>
      </c>
      <c r="G79" s="11" t="s">
        <v>927</v>
      </c>
      <c r="H79" s="63" t="n">
        <v>85160.7115932203</v>
      </c>
      <c r="I79" s="11" t="n">
        <v>480</v>
      </c>
      <c r="J79" s="11"/>
      <c r="K79" s="11" t="s">
        <v>56</v>
      </c>
      <c r="L79" s="11" t="str">
        <f aca="false">LEFT(K79,1)</f>
        <v>H</v>
      </c>
    </row>
    <row r="80" customFormat="false" ht="15" hidden="false" customHeight="true" outlineLevel="0" collapsed="false">
      <c r="A80" s="11" t="s">
        <v>1041</v>
      </c>
      <c r="B80" s="11" t="s">
        <v>913</v>
      </c>
      <c r="C80" s="11" t="s">
        <v>917</v>
      </c>
      <c r="D80" s="11" t="n">
        <v>0</v>
      </c>
      <c r="E80" s="11" t="s">
        <v>918</v>
      </c>
      <c r="F80" s="11" t="n">
        <v>1</v>
      </c>
      <c r="G80" s="11" t="s">
        <v>916</v>
      </c>
      <c r="H80" s="63" t="n">
        <v>55014.0783519742</v>
      </c>
      <c r="I80" s="11" t="n">
        <v>0</v>
      </c>
      <c r="J80" s="11"/>
      <c r="K80" s="11" t="s">
        <v>56</v>
      </c>
      <c r="L80" s="11" t="str">
        <f aca="false">LEFT(K80,1)</f>
        <v>H</v>
      </c>
    </row>
    <row r="81" customFormat="false" ht="15" hidden="false" customHeight="true" outlineLevel="0" collapsed="false">
      <c r="A81" s="11" t="s">
        <v>1041</v>
      </c>
      <c r="B81" s="11" t="s">
        <v>919</v>
      </c>
      <c r="C81" s="11" t="s">
        <v>920</v>
      </c>
      <c r="D81" s="11" t="n">
        <v>197</v>
      </c>
      <c r="E81" s="11" t="s">
        <v>1073</v>
      </c>
      <c r="F81" s="11" t="n">
        <v>1</v>
      </c>
      <c r="G81" s="11" t="s">
        <v>916</v>
      </c>
      <c r="H81" s="63" t="n">
        <v>68307.72</v>
      </c>
      <c r="I81" s="11" t="n">
        <v>0</v>
      </c>
      <c r="J81" s="11" t="s">
        <v>1045</v>
      </c>
      <c r="K81" s="11" t="s">
        <v>56</v>
      </c>
      <c r="L81" s="11" t="str">
        <f aca="false">LEFT(K81,1)</f>
        <v>H</v>
      </c>
    </row>
    <row r="82" customFormat="false" ht="15" hidden="false" customHeight="true" outlineLevel="0" collapsed="false">
      <c r="A82" s="11" t="s">
        <v>1041</v>
      </c>
      <c r="B82" s="11" t="s">
        <v>919</v>
      </c>
      <c r="C82" s="11" t="s">
        <v>920</v>
      </c>
      <c r="D82" s="11" t="n">
        <v>193</v>
      </c>
      <c r="E82" s="11" t="s">
        <v>1074</v>
      </c>
      <c r="F82" s="11" t="n">
        <v>180</v>
      </c>
      <c r="G82" s="11" t="s">
        <v>927</v>
      </c>
      <c r="H82" s="63" t="n">
        <v>11656.9934237288</v>
      </c>
      <c r="I82" s="11" t="n">
        <v>180</v>
      </c>
      <c r="J82" s="27" t="s">
        <v>1075</v>
      </c>
      <c r="K82" s="11" t="s">
        <v>56</v>
      </c>
      <c r="L82" s="11" t="str">
        <f aca="false">LEFT(K82,1)</f>
        <v>H</v>
      </c>
    </row>
    <row r="83" customFormat="false" ht="15" hidden="false" customHeight="true" outlineLevel="0" collapsed="false">
      <c r="A83" s="11" t="s">
        <v>1041</v>
      </c>
      <c r="B83" s="11" t="s">
        <v>919</v>
      </c>
      <c r="C83" s="11" t="s">
        <v>920</v>
      </c>
      <c r="D83" s="11" t="n">
        <v>0</v>
      </c>
      <c r="E83" s="11" t="s">
        <v>921</v>
      </c>
      <c r="F83" s="11" t="n">
        <v>1</v>
      </c>
      <c r="G83" s="11" t="s">
        <v>916</v>
      </c>
      <c r="H83" s="63" t="n">
        <v>116904.916497945</v>
      </c>
      <c r="I83" s="11" t="n">
        <v>0</v>
      </c>
      <c r="J83" s="11"/>
      <c r="K83" s="11" t="s">
        <v>56</v>
      </c>
      <c r="L83" s="11" t="str">
        <f aca="false">LEFT(K83,1)</f>
        <v>H</v>
      </c>
    </row>
    <row r="84" customFormat="false" ht="15" hidden="false" customHeight="true" outlineLevel="0" collapsed="false">
      <c r="A84" s="11" t="s">
        <v>1041</v>
      </c>
      <c r="B84" s="11" t="s">
        <v>919</v>
      </c>
      <c r="C84" s="11" t="s">
        <v>922</v>
      </c>
      <c r="D84" s="11" t="n">
        <v>198</v>
      </c>
      <c r="E84" s="11" t="s">
        <v>1076</v>
      </c>
      <c r="F84" s="11" t="n">
        <v>1</v>
      </c>
      <c r="G84" s="11" t="s">
        <v>916</v>
      </c>
      <c r="H84" s="63" t="n">
        <v>6595</v>
      </c>
      <c r="I84" s="11" t="n">
        <v>0</v>
      </c>
      <c r="J84" s="11" t="s">
        <v>1045</v>
      </c>
      <c r="K84" s="11" t="s">
        <v>56</v>
      </c>
      <c r="L84" s="11" t="str">
        <f aca="false">LEFT(K84,1)</f>
        <v>H</v>
      </c>
    </row>
    <row r="85" customFormat="false" ht="15" hidden="false" customHeight="true" outlineLevel="0" collapsed="false">
      <c r="A85" s="11" t="s">
        <v>1041</v>
      </c>
      <c r="B85" s="11" t="s">
        <v>919</v>
      </c>
      <c r="C85" s="11" t="s">
        <v>922</v>
      </c>
      <c r="D85" s="11" t="n">
        <v>0</v>
      </c>
      <c r="E85" s="11" t="s">
        <v>923</v>
      </c>
      <c r="F85" s="11" t="n">
        <v>1</v>
      </c>
      <c r="G85" s="11" t="s">
        <v>916</v>
      </c>
      <c r="H85" s="63" t="n">
        <v>1052144.24848151</v>
      </c>
      <c r="I85" s="11" t="n">
        <v>0</v>
      </c>
      <c r="J85" s="11"/>
      <c r="K85" s="11" t="s">
        <v>56</v>
      </c>
      <c r="L85" s="11" t="str">
        <f aca="false">LEFT(K85,1)</f>
        <v>H</v>
      </c>
    </row>
    <row r="86" customFormat="false" ht="15" hidden="false" customHeight="true" outlineLevel="0" collapsed="false">
      <c r="A86" s="11" t="s">
        <v>1041</v>
      </c>
      <c r="B86" s="11" t="s">
        <v>924</v>
      </c>
      <c r="C86" s="11" t="s">
        <v>1077</v>
      </c>
      <c r="D86" s="11" t="n">
        <v>106</v>
      </c>
      <c r="E86" s="11" t="s">
        <v>1078</v>
      </c>
      <c r="F86" s="11" t="n">
        <v>80</v>
      </c>
      <c r="G86" s="11" t="s">
        <v>927</v>
      </c>
      <c r="H86" s="63" t="n">
        <v>5634.18849032258</v>
      </c>
      <c r="I86" s="11" t="n">
        <v>80</v>
      </c>
      <c r="J86" s="11" t="s">
        <v>1079</v>
      </c>
      <c r="K86" s="11" t="s">
        <v>56</v>
      </c>
      <c r="L86" s="11" t="str">
        <f aca="false">LEFT(K86,1)</f>
        <v>H</v>
      </c>
    </row>
    <row r="87" customFormat="false" ht="15" hidden="false" customHeight="true" outlineLevel="0" collapsed="false">
      <c r="A87" s="11" t="s">
        <v>1041</v>
      </c>
      <c r="B87" s="11" t="s">
        <v>924</v>
      </c>
      <c r="C87" s="11" t="s">
        <v>1080</v>
      </c>
      <c r="D87" s="11" t="n">
        <v>107</v>
      </c>
      <c r="E87" s="11" t="s">
        <v>1081</v>
      </c>
      <c r="F87" s="11" t="n">
        <v>80</v>
      </c>
      <c r="G87" s="11" t="s">
        <v>927</v>
      </c>
      <c r="H87" s="63" t="n">
        <v>14151.4368</v>
      </c>
      <c r="I87" s="11" t="n">
        <v>80</v>
      </c>
      <c r="J87" s="11" t="s">
        <v>1079</v>
      </c>
      <c r="K87" s="11" t="s">
        <v>56</v>
      </c>
      <c r="L87" s="11" t="str">
        <f aca="false">LEFT(K87,1)</f>
        <v>H</v>
      </c>
    </row>
    <row r="88" customFormat="false" ht="15" hidden="false" customHeight="true" outlineLevel="0" collapsed="false">
      <c r="A88" s="11" t="s">
        <v>1041</v>
      </c>
      <c r="B88" s="11" t="s">
        <v>924</v>
      </c>
      <c r="C88" s="11" t="s">
        <v>1080</v>
      </c>
      <c r="D88" s="11" t="n">
        <v>437</v>
      </c>
      <c r="E88" s="11" t="s">
        <v>1081</v>
      </c>
      <c r="F88" s="11" t="n">
        <v>1</v>
      </c>
      <c r="G88" s="11" t="s">
        <v>916</v>
      </c>
      <c r="H88" s="63" t="n">
        <v>32190.27</v>
      </c>
      <c r="I88" s="11" t="n">
        <v>0</v>
      </c>
      <c r="J88" s="11" t="s">
        <v>1045</v>
      </c>
      <c r="K88" s="11" t="s">
        <v>56</v>
      </c>
      <c r="L88" s="11" t="str">
        <f aca="false">LEFT(K88,1)</f>
        <v>H</v>
      </c>
    </row>
    <row r="89" customFormat="false" ht="15" hidden="false" customHeight="true" outlineLevel="0" collapsed="false">
      <c r="A89" s="11" t="s">
        <v>1041</v>
      </c>
      <c r="B89" s="11" t="s">
        <v>924</v>
      </c>
      <c r="C89" s="11" t="s">
        <v>925</v>
      </c>
      <c r="D89" s="11" t="n">
        <v>238</v>
      </c>
      <c r="E89" s="11" t="s">
        <v>926</v>
      </c>
      <c r="F89" s="11" t="n">
        <v>360</v>
      </c>
      <c r="G89" s="11" t="s">
        <v>927</v>
      </c>
      <c r="H89" s="63" t="n">
        <v>24476.0609032258</v>
      </c>
      <c r="I89" s="11" t="n">
        <v>360</v>
      </c>
      <c r="J89" s="11" t="s">
        <v>1079</v>
      </c>
      <c r="K89" s="11" t="s">
        <v>56</v>
      </c>
      <c r="L89" s="11" t="str">
        <f aca="false">LEFT(K89,1)</f>
        <v>H</v>
      </c>
    </row>
    <row r="90" customFormat="false" ht="15" hidden="false" customHeight="true" outlineLevel="0" collapsed="false">
      <c r="A90" s="11" t="s">
        <v>1041</v>
      </c>
      <c r="B90" s="11" t="s">
        <v>924</v>
      </c>
      <c r="C90" s="11" t="s">
        <v>925</v>
      </c>
      <c r="D90" s="11" t="n">
        <v>439</v>
      </c>
      <c r="E90" s="11" t="s">
        <v>926</v>
      </c>
      <c r="F90" s="11" t="n">
        <v>1</v>
      </c>
      <c r="G90" s="11" t="s">
        <v>916</v>
      </c>
      <c r="H90" s="63" t="n">
        <v>129726.39</v>
      </c>
      <c r="I90" s="11" t="n">
        <v>0</v>
      </c>
      <c r="J90" s="11" t="s">
        <v>1045</v>
      </c>
      <c r="K90" s="11" t="s">
        <v>56</v>
      </c>
      <c r="L90" s="11" t="str">
        <f aca="false">LEFT(K90,1)</f>
        <v>H</v>
      </c>
    </row>
    <row r="91" customFormat="false" ht="15" hidden="false" customHeight="true" outlineLevel="0" collapsed="false">
      <c r="A91" s="11" t="s">
        <v>1041</v>
      </c>
      <c r="B91" s="11" t="s">
        <v>924</v>
      </c>
      <c r="C91" s="11" t="s">
        <v>928</v>
      </c>
      <c r="D91" s="11" t="n">
        <v>239</v>
      </c>
      <c r="E91" s="11" t="s">
        <v>929</v>
      </c>
      <c r="F91" s="11" t="n">
        <v>1050</v>
      </c>
      <c r="G91" s="11" t="s">
        <v>927</v>
      </c>
      <c r="H91" s="63" t="n">
        <v>186895.546645161</v>
      </c>
      <c r="I91" s="11" t="n">
        <v>1050</v>
      </c>
      <c r="J91" s="11" t="s">
        <v>1079</v>
      </c>
      <c r="K91" s="11" t="s">
        <v>56</v>
      </c>
      <c r="L91" s="11" t="str">
        <f aca="false">LEFT(K91,1)</f>
        <v>H</v>
      </c>
    </row>
    <row r="92" customFormat="false" ht="15" hidden="false" customHeight="true" outlineLevel="0" collapsed="false">
      <c r="A92" s="11" t="s">
        <v>1041</v>
      </c>
      <c r="B92" s="11" t="s">
        <v>924</v>
      </c>
      <c r="C92" s="11" t="s">
        <v>928</v>
      </c>
      <c r="D92" s="11" t="n">
        <v>440</v>
      </c>
      <c r="E92" s="11" t="s">
        <v>929</v>
      </c>
      <c r="F92" s="11" t="n">
        <v>1</v>
      </c>
      <c r="G92" s="11" t="s">
        <v>916</v>
      </c>
      <c r="H92" s="63" t="n">
        <v>24652.8</v>
      </c>
      <c r="I92" s="11" t="n">
        <v>0</v>
      </c>
      <c r="J92" s="11" t="s">
        <v>1045</v>
      </c>
      <c r="K92" s="11" t="s">
        <v>56</v>
      </c>
      <c r="L92" s="11" t="str">
        <f aca="false">LEFT(K92,1)</f>
        <v>H</v>
      </c>
    </row>
    <row r="93" customFormat="false" ht="15" hidden="false" customHeight="true" outlineLevel="0" collapsed="false">
      <c r="A93" s="11" t="s">
        <v>1041</v>
      </c>
      <c r="B93" s="11" t="s">
        <v>924</v>
      </c>
      <c r="C93" s="11" t="s">
        <v>1082</v>
      </c>
      <c r="D93" s="11" t="n">
        <v>442</v>
      </c>
      <c r="E93" s="11" t="s">
        <v>1083</v>
      </c>
      <c r="F93" s="11" t="n">
        <v>1</v>
      </c>
      <c r="G93" s="11" t="s">
        <v>916</v>
      </c>
      <c r="H93" s="63" t="n">
        <v>127849.97</v>
      </c>
      <c r="I93" s="11" t="n">
        <v>0</v>
      </c>
      <c r="J93" s="11" t="s">
        <v>1045</v>
      </c>
      <c r="K93" s="11" t="s">
        <v>56</v>
      </c>
      <c r="L93" s="11" t="str">
        <f aca="false">LEFT(K93,1)</f>
        <v>H</v>
      </c>
    </row>
    <row r="94" customFormat="false" ht="15" hidden="false" customHeight="true" outlineLevel="0" collapsed="false">
      <c r="A94" s="11" t="s">
        <v>1041</v>
      </c>
      <c r="B94" s="11" t="s">
        <v>924</v>
      </c>
      <c r="C94" s="11" t="s">
        <v>930</v>
      </c>
      <c r="D94" s="11" t="n">
        <v>242</v>
      </c>
      <c r="E94" s="11" t="s">
        <v>931</v>
      </c>
      <c r="F94" s="11" t="n">
        <v>440</v>
      </c>
      <c r="G94" s="11" t="s">
        <v>927</v>
      </c>
      <c r="H94" s="63" t="n">
        <v>29915.1855483871</v>
      </c>
      <c r="I94" s="11" t="n">
        <v>440</v>
      </c>
      <c r="J94" s="11" t="s">
        <v>1079</v>
      </c>
      <c r="K94" s="11" t="s">
        <v>56</v>
      </c>
      <c r="L94" s="11" t="str">
        <f aca="false">LEFT(K94,1)</f>
        <v>H</v>
      </c>
    </row>
    <row r="95" customFormat="false" ht="15" hidden="false" customHeight="true" outlineLevel="0" collapsed="false">
      <c r="A95" s="11" t="s">
        <v>1041</v>
      </c>
      <c r="B95" s="11" t="s">
        <v>924</v>
      </c>
      <c r="C95" s="11" t="s">
        <v>930</v>
      </c>
      <c r="D95" s="11" t="n">
        <v>443</v>
      </c>
      <c r="E95" s="11" t="s">
        <v>931</v>
      </c>
      <c r="F95" s="11" t="n">
        <v>1</v>
      </c>
      <c r="G95" s="11" t="s">
        <v>916</v>
      </c>
      <c r="H95" s="63" t="n">
        <v>69427.64</v>
      </c>
      <c r="I95" s="11" t="n">
        <v>0</v>
      </c>
      <c r="J95" s="11" t="s">
        <v>1045</v>
      </c>
      <c r="K95" s="11" t="s">
        <v>56</v>
      </c>
      <c r="L95" s="11" t="str">
        <f aca="false">LEFT(K95,1)</f>
        <v>H</v>
      </c>
    </row>
    <row r="96" customFormat="false" ht="15" hidden="false" customHeight="true" outlineLevel="0" collapsed="false">
      <c r="A96" s="11" t="s">
        <v>1041</v>
      </c>
      <c r="B96" s="11" t="s">
        <v>924</v>
      </c>
      <c r="C96" s="11" t="s">
        <v>932</v>
      </c>
      <c r="D96" s="11" t="n">
        <v>243</v>
      </c>
      <c r="E96" s="11" t="s">
        <v>933</v>
      </c>
      <c r="F96" s="11" t="n">
        <v>900</v>
      </c>
      <c r="G96" s="11" t="s">
        <v>927</v>
      </c>
      <c r="H96" s="63" t="n">
        <v>162181.220516129</v>
      </c>
      <c r="I96" s="11" t="n">
        <v>900</v>
      </c>
      <c r="J96" s="11" t="s">
        <v>1079</v>
      </c>
      <c r="K96" s="11" t="s">
        <v>56</v>
      </c>
      <c r="L96" s="11" t="str">
        <f aca="false">LEFT(K96,1)</f>
        <v>H</v>
      </c>
    </row>
    <row r="97" customFormat="false" ht="15" hidden="false" customHeight="true" outlineLevel="0" collapsed="false">
      <c r="A97" s="11" t="s">
        <v>1041</v>
      </c>
      <c r="B97" s="11" t="s">
        <v>924</v>
      </c>
      <c r="C97" s="11" t="s">
        <v>1084</v>
      </c>
      <c r="D97" s="11" t="n">
        <v>126</v>
      </c>
      <c r="E97" s="11" t="s">
        <v>1085</v>
      </c>
      <c r="F97" s="11" t="n">
        <v>120</v>
      </c>
      <c r="G97" s="11" t="s">
        <v>927</v>
      </c>
      <c r="H97" s="63" t="n">
        <v>8729.30941935484</v>
      </c>
      <c r="I97" s="11" t="n">
        <v>120</v>
      </c>
      <c r="J97" s="11" t="s">
        <v>1050</v>
      </c>
      <c r="K97" s="11" t="s">
        <v>56</v>
      </c>
      <c r="L97" s="11" t="str">
        <f aca="false">LEFT(K97,1)</f>
        <v>H</v>
      </c>
    </row>
    <row r="98" customFormat="false" ht="15" hidden="false" customHeight="true" outlineLevel="0" collapsed="false">
      <c r="A98" s="11" t="s">
        <v>1041</v>
      </c>
      <c r="B98" s="11" t="s">
        <v>924</v>
      </c>
      <c r="C98" s="11" t="s">
        <v>1086</v>
      </c>
      <c r="D98" s="11" t="n">
        <v>127</v>
      </c>
      <c r="E98" s="11" t="s">
        <v>1087</v>
      </c>
      <c r="F98" s="11" t="n">
        <v>160</v>
      </c>
      <c r="G98" s="11" t="s">
        <v>927</v>
      </c>
      <c r="H98" s="63" t="n">
        <v>28479.3213935484</v>
      </c>
      <c r="I98" s="11" t="n">
        <v>160</v>
      </c>
      <c r="J98" s="27" t="s">
        <v>1088</v>
      </c>
      <c r="K98" s="11" t="s">
        <v>56</v>
      </c>
      <c r="L98" s="11" t="str">
        <f aca="false">LEFT(K98,1)</f>
        <v>H</v>
      </c>
    </row>
    <row r="99" customFormat="false" ht="15" hidden="false" customHeight="true" outlineLevel="0" collapsed="false">
      <c r="A99" s="11" t="s">
        <v>1041</v>
      </c>
      <c r="B99" s="11" t="s">
        <v>924</v>
      </c>
      <c r="C99" s="11" t="s">
        <v>1089</v>
      </c>
      <c r="D99" s="11" t="n">
        <v>128</v>
      </c>
      <c r="E99" s="11" t="s">
        <v>1090</v>
      </c>
      <c r="F99" s="11" t="n">
        <v>80</v>
      </c>
      <c r="G99" s="11" t="s">
        <v>927</v>
      </c>
      <c r="H99" s="63" t="n">
        <v>5819.53961290323</v>
      </c>
      <c r="I99" s="11" t="n">
        <v>80</v>
      </c>
      <c r="J99" s="11" t="s">
        <v>1050</v>
      </c>
      <c r="K99" s="11" t="s">
        <v>56</v>
      </c>
      <c r="L99" s="11" t="str">
        <f aca="false">LEFT(K99,1)</f>
        <v>H</v>
      </c>
    </row>
    <row r="100" customFormat="false" ht="15" hidden="false" customHeight="true" outlineLevel="0" collapsed="false">
      <c r="A100" s="11" t="s">
        <v>1041</v>
      </c>
      <c r="B100" s="11" t="s">
        <v>924</v>
      </c>
      <c r="C100" s="11" t="s">
        <v>1089</v>
      </c>
      <c r="D100" s="11" t="n">
        <v>444</v>
      </c>
      <c r="E100" s="11" t="s">
        <v>1090</v>
      </c>
      <c r="F100" s="11" t="n">
        <v>1</v>
      </c>
      <c r="G100" s="11" t="s">
        <v>916</v>
      </c>
      <c r="H100" s="63" t="n">
        <v>3963.13</v>
      </c>
      <c r="I100" s="11" t="n">
        <v>0</v>
      </c>
      <c r="J100" s="11" t="s">
        <v>1045</v>
      </c>
      <c r="K100" s="11" t="s">
        <v>56</v>
      </c>
      <c r="L100" s="11" t="str">
        <f aca="false">LEFT(K100,1)</f>
        <v>H</v>
      </c>
    </row>
    <row r="101" customFormat="false" ht="15" hidden="false" customHeight="true" outlineLevel="0" collapsed="false">
      <c r="A101" s="11" t="s">
        <v>1041</v>
      </c>
      <c r="B101" s="11" t="s">
        <v>924</v>
      </c>
      <c r="C101" s="11" t="s">
        <v>1091</v>
      </c>
      <c r="D101" s="11" t="n">
        <v>129</v>
      </c>
      <c r="E101" s="11" t="s">
        <v>1092</v>
      </c>
      <c r="F101" s="11" t="n">
        <v>80</v>
      </c>
      <c r="G101" s="11" t="s">
        <v>927</v>
      </c>
      <c r="H101" s="63" t="n">
        <v>14239.6606967742</v>
      </c>
      <c r="I101" s="11" t="n">
        <v>80</v>
      </c>
      <c r="J101" s="11" t="s">
        <v>1079</v>
      </c>
      <c r="K101" s="11" t="s">
        <v>56</v>
      </c>
      <c r="L101" s="11" t="str">
        <f aca="false">LEFT(K101,1)</f>
        <v>H</v>
      </c>
    </row>
    <row r="102" customFormat="false" ht="15" hidden="false" customHeight="true" outlineLevel="0" collapsed="false">
      <c r="A102" s="11" t="s">
        <v>1041</v>
      </c>
      <c r="B102" s="11" t="s">
        <v>924</v>
      </c>
      <c r="C102" s="11" t="s">
        <v>934</v>
      </c>
      <c r="D102" s="11" t="n">
        <v>247</v>
      </c>
      <c r="E102" s="11" t="s">
        <v>935</v>
      </c>
      <c r="F102" s="11" t="n">
        <v>380</v>
      </c>
      <c r="G102" s="11" t="s">
        <v>927</v>
      </c>
      <c r="H102" s="63" t="n">
        <v>26762.3953290323</v>
      </c>
      <c r="I102" s="11" t="n">
        <v>380</v>
      </c>
      <c r="J102" s="11" t="s">
        <v>1079</v>
      </c>
      <c r="K102" s="11" t="s">
        <v>56</v>
      </c>
      <c r="L102" s="11" t="str">
        <f aca="false">LEFT(K102,1)</f>
        <v>H</v>
      </c>
    </row>
    <row r="103" customFormat="false" ht="15" hidden="false" customHeight="true" outlineLevel="0" collapsed="false">
      <c r="A103" s="11" t="s">
        <v>1041</v>
      </c>
      <c r="B103" s="11" t="s">
        <v>936</v>
      </c>
      <c r="C103" s="11" t="s">
        <v>1093</v>
      </c>
      <c r="D103" s="11" t="n">
        <v>302</v>
      </c>
      <c r="E103" s="11" t="s">
        <v>1094</v>
      </c>
      <c r="F103" s="11" t="n">
        <v>4</v>
      </c>
      <c r="G103" s="11" t="s">
        <v>939</v>
      </c>
      <c r="H103" s="63" t="n">
        <v>1327378.76106195</v>
      </c>
      <c r="I103" s="11" t="n">
        <v>0</v>
      </c>
      <c r="J103" s="27" t="s">
        <v>1095</v>
      </c>
      <c r="K103" s="11" t="s">
        <v>48</v>
      </c>
      <c r="L103" s="11" t="str">
        <f aca="false">LEFT(K103,1)</f>
        <v>D</v>
      </c>
    </row>
    <row r="104" customFormat="false" ht="15" hidden="false" customHeight="true" outlineLevel="0" collapsed="false">
      <c r="A104" s="11" t="s">
        <v>1041</v>
      </c>
      <c r="B104" s="11" t="s">
        <v>936</v>
      </c>
      <c r="C104" s="11" t="s">
        <v>1096</v>
      </c>
      <c r="D104" s="11" t="n">
        <v>326</v>
      </c>
      <c r="E104" s="11" t="s">
        <v>1097</v>
      </c>
      <c r="F104" s="11" t="n">
        <v>1</v>
      </c>
      <c r="G104" s="11" t="s">
        <v>939</v>
      </c>
      <c r="H104" s="63" t="n">
        <v>87656.7749336283</v>
      </c>
      <c r="I104" s="11" t="n">
        <v>0</v>
      </c>
      <c r="J104" s="11" t="s">
        <v>1098</v>
      </c>
      <c r="K104" s="11" t="s">
        <v>48</v>
      </c>
      <c r="L104" s="11" t="str">
        <f aca="false">LEFT(K104,1)</f>
        <v>D</v>
      </c>
    </row>
    <row r="105" customFormat="false" ht="15" hidden="false" customHeight="true" outlineLevel="0" collapsed="false">
      <c r="A105" s="11" t="s">
        <v>1041</v>
      </c>
      <c r="B105" s="11" t="s">
        <v>936</v>
      </c>
      <c r="C105" s="11" t="s">
        <v>1096</v>
      </c>
      <c r="D105" s="11" t="n">
        <v>338</v>
      </c>
      <c r="E105" s="11" t="s">
        <v>1099</v>
      </c>
      <c r="F105" s="11" t="n">
        <v>4</v>
      </c>
      <c r="G105" s="11" t="s">
        <v>916</v>
      </c>
      <c r="H105" s="63" t="n">
        <v>1066455.918</v>
      </c>
      <c r="I105" s="11" t="n">
        <v>0</v>
      </c>
      <c r="J105" s="27" t="s">
        <v>1100</v>
      </c>
      <c r="K105" s="11" t="s">
        <v>46</v>
      </c>
      <c r="L105" s="11" t="str">
        <f aca="false">LEFT(K105,1)</f>
        <v>C</v>
      </c>
    </row>
    <row r="106" customFormat="false" ht="15" hidden="false" customHeight="true" outlineLevel="0" collapsed="false">
      <c r="A106" s="11" t="s">
        <v>1041</v>
      </c>
      <c r="B106" s="11" t="s">
        <v>936</v>
      </c>
      <c r="C106" s="11" t="s">
        <v>1101</v>
      </c>
      <c r="D106" s="11" t="n">
        <v>421</v>
      </c>
      <c r="E106" s="11" t="s">
        <v>1102</v>
      </c>
      <c r="F106" s="11" t="n">
        <v>500</v>
      </c>
      <c r="G106" s="11" t="s">
        <v>946</v>
      </c>
      <c r="H106" s="63" t="n">
        <v>52265.5387168142</v>
      </c>
      <c r="I106" s="11" t="n">
        <v>0</v>
      </c>
      <c r="J106" s="11" t="s">
        <v>1103</v>
      </c>
      <c r="K106" s="11" t="s">
        <v>48</v>
      </c>
      <c r="L106" s="11" t="str">
        <f aca="false">LEFT(K106,1)</f>
        <v>D</v>
      </c>
    </row>
    <row r="107" customFormat="false" ht="15" hidden="false" customHeight="true" outlineLevel="0" collapsed="false">
      <c r="A107" s="11" t="s">
        <v>1041</v>
      </c>
      <c r="B107" s="11" t="s">
        <v>936</v>
      </c>
      <c r="C107" s="11" t="s">
        <v>1101</v>
      </c>
      <c r="D107" s="11" t="n">
        <v>411</v>
      </c>
      <c r="E107" s="11" t="s">
        <v>1104</v>
      </c>
      <c r="F107" s="11" t="n">
        <v>2750</v>
      </c>
      <c r="G107" s="11" t="s">
        <v>946</v>
      </c>
      <c r="H107" s="63" t="n">
        <v>199305.920973451</v>
      </c>
      <c r="I107" s="11" t="n">
        <v>0</v>
      </c>
      <c r="J107" s="11" t="s">
        <v>1105</v>
      </c>
      <c r="K107" s="11" t="s">
        <v>48</v>
      </c>
      <c r="L107" s="11" t="str">
        <f aca="false">LEFT(K107,1)</f>
        <v>D</v>
      </c>
    </row>
    <row r="108" customFormat="false" ht="15" hidden="false" customHeight="true" outlineLevel="0" collapsed="false">
      <c r="A108" s="11" t="s">
        <v>1041</v>
      </c>
      <c r="B108" s="11" t="s">
        <v>936</v>
      </c>
      <c r="C108" s="11" t="s">
        <v>1101</v>
      </c>
      <c r="D108" s="11" t="n">
        <v>423</v>
      </c>
      <c r="E108" s="11" t="s">
        <v>1106</v>
      </c>
      <c r="F108" s="11" t="n">
        <v>27</v>
      </c>
      <c r="G108" s="11" t="s">
        <v>939</v>
      </c>
      <c r="H108" s="63" t="n">
        <v>3551.38060619469</v>
      </c>
      <c r="I108" s="11" t="n">
        <v>0</v>
      </c>
      <c r="J108" s="27" t="s">
        <v>1107</v>
      </c>
      <c r="K108" s="11" t="s">
        <v>48</v>
      </c>
      <c r="L108" s="11" t="str">
        <f aca="false">LEFT(K108,1)</f>
        <v>D</v>
      </c>
    </row>
    <row r="109" customFormat="false" ht="15" hidden="false" customHeight="true" outlineLevel="0" collapsed="false">
      <c r="A109" s="11" t="s">
        <v>1041</v>
      </c>
      <c r="B109" s="11" t="s">
        <v>936</v>
      </c>
      <c r="C109" s="11" t="s">
        <v>1101</v>
      </c>
      <c r="D109" s="11" t="n">
        <v>415</v>
      </c>
      <c r="E109" s="11" t="s">
        <v>1108</v>
      </c>
      <c r="F109" s="11" t="n">
        <v>48</v>
      </c>
      <c r="G109" s="11" t="s">
        <v>939</v>
      </c>
      <c r="H109" s="63" t="n">
        <v>7056.89762831858</v>
      </c>
      <c r="I109" s="11" t="n">
        <v>0</v>
      </c>
      <c r="J109" s="27" t="s">
        <v>1109</v>
      </c>
      <c r="K109" s="11" t="s">
        <v>48</v>
      </c>
      <c r="L109" s="11" t="str">
        <f aca="false">LEFT(K109,1)</f>
        <v>D</v>
      </c>
    </row>
    <row r="110" customFormat="false" ht="15" hidden="false" customHeight="true" outlineLevel="0" collapsed="false">
      <c r="A110" s="11" t="s">
        <v>1041</v>
      </c>
      <c r="B110" s="11" t="s">
        <v>936</v>
      </c>
      <c r="C110" s="11" t="s">
        <v>1101</v>
      </c>
      <c r="D110" s="11" t="n">
        <v>413</v>
      </c>
      <c r="E110" s="11" t="s">
        <v>1110</v>
      </c>
      <c r="F110" s="11" t="n">
        <v>2000</v>
      </c>
      <c r="G110" s="11" t="s">
        <v>946</v>
      </c>
      <c r="H110" s="63" t="n">
        <v>16017.0370501475</v>
      </c>
      <c r="I110" s="11" t="n">
        <v>0</v>
      </c>
      <c r="J110" s="11" t="s">
        <v>1111</v>
      </c>
      <c r="K110" s="11" t="s">
        <v>44</v>
      </c>
      <c r="L110" s="11" t="str">
        <f aca="false">LEFT(K110,1)</f>
        <v>B</v>
      </c>
    </row>
    <row r="111" customFormat="false" ht="15" hidden="false" customHeight="true" outlineLevel="0" collapsed="false">
      <c r="A111" s="11" t="s">
        <v>1041</v>
      </c>
      <c r="B111" s="11" t="s">
        <v>936</v>
      </c>
      <c r="C111" s="11" t="s">
        <v>1101</v>
      </c>
      <c r="D111" s="11" t="n">
        <v>417</v>
      </c>
      <c r="E111" s="11" t="s">
        <v>1112</v>
      </c>
      <c r="F111" s="11" t="n">
        <v>500</v>
      </c>
      <c r="G111" s="11" t="s">
        <v>946</v>
      </c>
      <c r="H111" s="63" t="n">
        <v>8268.46353244838</v>
      </c>
      <c r="I111" s="11" t="n">
        <v>0</v>
      </c>
      <c r="J111" s="11" t="s">
        <v>1113</v>
      </c>
      <c r="K111" s="11" t="s">
        <v>48</v>
      </c>
      <c r="L111" s="11" t="str">
        <f aca="false">LEFT(K111,1)</f>
        <v>D</v>
      </c>
    </row>
    <row r="112" customFormat="false" ht="15" hidden="false" customHeight="true" outlineLevel="0" collapsed="false">
      <c r="A112" s="11" t="s">
        <v>1041</v>
      </c>
      <c r="B112" s="11" t="s">
        <v>936</v>
      </c>
      <c r="C112" s="11" t="s">
        <v>1114</v>
      </c>
      <c r="D112" s="11" t="n">
        <v>310</v>
      </c>
      <c r="E112" s="11" t="s">
        <v>1115</v>
      </c>
      <c r="F112" s="11" t="n">
        <v>8</v>
      </c>
      <c r="G112" s="11" t="s">
        <v>939</v>
      </c>
      <c r="H112" s="63" t="n">
        <v>30972.1710914454</v>
      </c>
      <c r="I112" s="11" t="n">
        <v>0</v>
      </c>
      <c r="J112" s="11" t="s">
        <v>1116</v>
      </c>
      <c r="K112" s="11" t="s">
        <v>48</v>
      </c>
      <c r="L112" s="11" t="str">
        <f aca="false">LEFT(K112,1)</f>
        <v>D</v>
      </c>
    </row>
    <row r="113" customFormat="false" ht="15" hidden="false" customHeight="true" outlineLevel="0" collapsed="false">
      <c r="A113" s="11" t="s">
        <v>1041</v>
      </c>
      <c r="B113" s="11" t="s">
        <v>936</v>
      </c>
      <c r="C113" s="11" t="s">
        <v>1117</v>
      </c>
      <c r="D113" s="11" t="n">
        <v>478</v>
      </c>
      <c r="E113" s="11" t="s">
        <v>1118</v>
      </c>
      <c r="F113" s="11" t="n">
        <v>1</v>
      </c>
      <c r="G113" s="11" t="s">
        <v>939</v>
      </c>
      <c r="H113" s="63" t="n">
        <v>67724.5125513422</v>
      </c>
      <c r="I113" s="11" t="n">
        <v>0</v>
      </c>
      <c r="J113" s="27" t="s">
        <v>1119</v>
      </c>
      <c r="K113" s="11" t="s">
        <v>46</v>
      </c>
      <c r="L113" s="11" t="str">
        <f aca="false">LEFT(K113,1)</f>
        <v>C</v>
      </c>
    </row>
    <row r="114" customFormat="false" ht="15" hidden="false" customHeight="true" outlineLevel="0" collapsed="false">
      <c r="A114" s="11" t="s">
        <v>1041</v>
      </c>
      <c r="B114" s="11" t="s">
        <v>936</v>
      </c>
      <c r="C114" s="11" t="s">
        <v>1117</v>
      </c>
      <c r="D114" s="11" t="n">
        <v>419</v>
      </c>
      <c r="E114" s="11" t="s">
        <v>1120</v>
      </c>
      <c r="F114" s="11" t="n">
        <v>2</v>
      </c>
      <c r="G114" s="11" t="s">
        <v>939</v>
      </c>
      <c r="H114" s="63" t="n">
        <v>21503.5359292035</v>
      </c>
      <c r="I114" s="11" t="n">
        <v>0</v>
      </c>
      <c r="J114" s="11"/>
      <c r="K114" s="11" t="s">
        <v>48</v>
      </c>
      <c r="L114" s="11" t="str">
        <f aca="false">LEFT(K114,1)</f>
        <v>D</v>
      </c>
    </row>
    <row r="115" customFormat="false" ht="15" hidden="false" customHeight="true" outlineLevel="0" collapsed="false">
      <c r="A115" s="11" t="s">
        <v>1041</v>
      </c>
      <c r="B115" s="11" t="s">
        <v>936</v>
      </c>
      <c r="C115" s="11" t="s">
        <v>1117</v>
      </c>
      <c r="D115" s="11" t="n">
        <v>428</v>
      </c>
      <c r="E115" s="11" t="s">
        <v>1121</v>
      </c>
      <c r="F115" s="11" t="n">
        <v>33</v>
      </c>
      <c r="G115" s="11" t="s">
        <v>939</v>
      </c>
      <c r="H115" s="63" t="n">
        <v>8266.45034132743</v>
      </c>
      <c r="I115" s="11" t="n">
        <v>0</v>
      </c>
      <c r="J115" s="27" t="s">
        <v>1122</v>
      </c>
      <c r="K115" s="11" t="s">
        <v>48</v>
      </c>
      <c r="L115" s="11" t="str">
        <f aca="false">LEFT(K115,1)</f>
        <v>D</v>
      </c>
    </row>
    <row r="116" customFormat="false" ht="15" hidden="false" customHeight="true" outlineLevel="0" collapsed="false">
      <c r="A116" s="11" t="s">
        <v>1041</v>
      </c>
      <c r="B116" s="11" t="s">
        <v>936</v>
      </c>
      <c r="C116" s="11" t="s">
        <v>1117</v>
      </c>
      <c r="D116" s="11" t="n">
        <v>472</v>
      </c>
      <c r="E116" s="11" t="s">
        <v>1123</v>
      </c>
      <c r="F116" s="11" t="n">
        <v>12</v>
      </c>
      <c r="G116" s="11" t="s">
        <v>939</v>
      </c>
      <c r="H116" s="63" t="n">
        <v>1592.85451327434</v>
      </c>
      <c r="I116" s="11" t="n">
        <v>0</v>
      </c>
      <c r="J116" s="11" t="s">
        <v>1124</v>
      </c>
      <c r="K116" s="11" t="s">
        <v>48</v>
      </c>
      <c r="L116" s="11" t="str">
        <f aca="false">LEFT(K116,1)</f>
        <v>D</v>
      </c>
    </row>
    <row r="117" customFormat="false" ht="15" hidden="false" customHeight="true" outlineLevel="0" collapsed="false">
      <c r="A117" s="11" t="s">
        <v>1041</v>
      </c>
      <c r="B117" s="11" t="s">
        <v>936</v>
      </c>
      <c r="C117" s="11" t="s">
        <v>1117</v>
      </c>
      <c r="D117" s="11" t="n">
        <v>445</v>
      </c>
      <c r="E117" s="11" t="s">
        <v>1125</v>
      </c>
      <c r="F117" s="11" t="n">
        <v>1</v>
      </c>
      <c r="G117" s="11" t="s">
        <v>916</v>
      </c>
      <c r="H117" s="63" t="n">
        <v>1213042</v>
      </c>
      <c r="I117" s="11" t="n">
        <v>0</v>
      </c>
      <c r="J117" s="11" t="s">
        <v>1045</v>
      </c>
      <c r="K117" s="11" t="s">
        <v>42</v>
      </c>
      <c r="L117" s="11" t="str">
        <f aca="false">LEFT(K117,1)</f>
        <v>A</v>
      </c>
    </row>
    <row r="118" customFormat="false" ht="15" hidden="false" customHeight="true" outlineLevel="0" collapsed="false">
      <c r="A118" s="11" t="s">
        <v>1041</v>
      </c>
      <c r="B118" s="11" t="s">
        <v>936</v>
      </c>
      <c r="C118" s="11" t="s">
        <v>1117</v>
      </c>
      <c r="D118" s="11" t="n">
        <v>320</v>
      </c>
      <c r="E118" s="11" t="s">
        <v>1126</v>
      </c>
      <c r="F118" s="11" t="n">
        <v>8</v>
      </c>
      <c r="G118" s="11" t="s">
        <v>939</v>
      </c>
      <c r="H118" s="63" t="n">
        <v>21238.0601769912</v>
      </c>
      <c r="I118" s="11" t="n">
        <v>0</v>
      </c>
      <c r="J118" s="11"/>
      <c r="K118" s="11" t="s">
        <v>48</v>
      </c>
      <c r="L118" s="11" t="str">
        <f aca="false">LEFT(K118,1)</f>
        <v>D</v>
      </c>
    </row>
    <row r="119" customFormat="false" ht="15" hidden="false" customHeight="true" outlineLevel="0" collapsed="false">
      <c r="A119" s="11" t="s">
        <v>1041</v>
      </c>
      <c r="B119" s="11" t="s">
        <v>936</v>
      </c>
      <c r="C119" s="11" t="s">
        <v>1127</v>
      </c>
      <c r="D119" s="11" t="n">
        <v>470</v>
      </c>
      <c r="E119" s="11" t="s">
        <v>1128</v>
      </c>
      <c r="F119" s="11" t="n">
        <v>250</v>
      </c>
      <c r="G119" s="11" t="s">
        <v>946</v>
      </c>
      <c r="H119" s="63" t="n">
        <v>580.728207964602</v>
      </c>
      <c r="I119" s="11" t="n">
        <v>0</v>
      </c>
      <c r="J119" s="11" t="s">
        <v>1129</v>
      </c>
      <c r="K119" s="11" t="s">
        <v>48</v>
      </c>
      <c r="L119" s="11" t="str">
        <f aca="false">LEFT(K119,1)</f>
        <v>D</v>
      </c>
    </row>
    <row r="120" customFormat="false" ht="15" hidden="false" customHeight="true" outlineLevel="0" collapsed="false">
      <c r="A120" s="11" t="s">
        <v>1041</v>
      </c>
      <c r="B120" s="11" t="s">
        <v>936</v>
      </c>
      <c r="C120" s="11" t="s">
        <v>937</v>
      </c>
      <c r="D120" s="11" t="n">
        <v>334</v>
      </c>
      <c r="E120" s="11" t="s">
        <v>1130</v>
      </c>
      <c r="F120" s="11" t="n">
        <v>4</v>
      </c>
      <c r="G120" s="11" t="s">
        <v>939</v>
      </c>
      <c r="H120" s="63" t="n">
        <v>152648.557522124</v>
      </c>
      <c r="I120" s="11" t="n">
        <v>0</v>
      </c>
      <c r="J120" s="11"/>
      <c r="K120" s="11" t="s">
        <v>48</v>
      </c>
      <c r="L120" s="11" t="str">
        <f aca="false">LEFT(K120,1)</f>
        <v>D</v>
      </c>
    </row>
    <row r="121" customFormat="false" ht="15" hidden="false" customHeight="true" outlineLevel="0" collapsed="false">
      <c r="A121" s="11" t="s">
        <v>1041</v>
      </c>
      <c r="B121" s="11" t="s">
        <v>936</v>
      </c>
      <c r="C121" s="11" t="s">
        <v>944</v>
      </c>
      <c r="D121" s="11" t="n">
        <v>298</v>
      </c>
      <c r="E121" s="11" t="s">
        <v>950</v>
      </c>
      <c r="F121" s="11" t="n">
        <v>10000</v>
      </c>
      <c r="G121" s="11" t="s">
        <v>946</v>
      </c>
      <c r="H121" s="63" t="n">
        <v>19578.8367256637</v>
      </c>
      <c r="I121" s="11" t="n">
        <v>0</v>
      </c>
      <c r="J121" s="11" t="s">
        <v>951</v>
      </c>
      <c r="K121" s="11" t="s">
        <v>48</v>
      </c>
      <c r="L121" s="11" t="str">
        <f aca="false">LEFT(K121,1)</f>
        <v>D</v>
      </c>
    </row>
    <row r="122" customFormat="false" ht="15" hidden="false" customHeight="true" outlineLevel="0" collapsed="false">
      <c r="A122" s="11" t="s">
        <v>1041</v>
      </c>
      <c r="B122" s="11" t="s">
        <v>936</v>
      </c>
      <c r="C122" s="11" t="s">
        <v>1131</v>
      </c>
      <c r="D122" s="11" t="n">
        <v>476</v>
      </c>
      <c r="E122" s="11" t="s">
        <v>1132</v>
      </c>
      <c r="F122" s="11" t="n">
        <v>1</v>
      </c>
      <c r="G122" s="11" t="s">
        <v>939</v>
      </c>
      <c r="H122" s="63" t="n">
        <v>263177.174657817</v>
      </c>
      <c r="I122" s="11" t="n">
        <v>0</v>
      </c>
      <c r="J122" s="27" t="s">
        <v>1133</v>
      </c>
      <c r="K122" s="11" t="s">
        <v>46</v>
      </c>
      <c r="L122" s="11" t="str">
        <f aca="false">LEFT(K122,1)</f>
        <v>C</v>
      </c>
    </row>
    <row r="123" customFormat="false" ht="15" hidden="false" customHeight="true" outlineLevel="0" collapsed="false">
      <c r="A123" s="11" t="s">
        <v>1041</v>
      </c>
      <c r="B123" s="11" t="s">
        <v>936</v>
      </c>
      <c r="C123" s="11" t="s">
        <v>1134</v>
      </c>
      <c r="D123" s="11" t="n">
        <v>393</v>
      </c>
      <c r="E123" s="11" t="s">
        <v>1135</v>
      </c>
      <c r="F123" s="11" t="n">
        <v>480</v>
      </c>
      <c r="G123" s="11" t="s">
        <v>946</v>
      </c>
      <c r="H123" s="63" t="n">
        <v>14174.8123136283</v>
      </c>
      <c r="I123" s="11" t="n">
        <v>0</v>
      </c>
      <c r="J123" s="11" t="s">
        <v>1136</v>
      </c>
      <c r="K123" s="11" t="s">
        <v>44</v>
      </c>
      <c r="L123" s="11" t="str">
        <f aca="false">LEFT(K123,1)</f>
        <v>B</v>
      </c>
    </row>
    <row r="124" customFormat="false" ht="15" hidden="false" customHeight="true" outlineLevel="0" collapsed="false">
      <c r="A124" s="11" t="s">
        <v>1041</v>
      </c>
      <c r="B124" s="11" t="s">
        <v>936</v>
      </c>
      <c r="C124" s="11" t="s">
        <v>1134</v>
      </c>
      <c r="D124" s="11" t="n">
        <v>395</v>
      </c>
      <c r="E124" s="11" t="s">
        <v>1137</v>
      </c>
      <c r="F124" s="11" t="n">
        <v>24</v>
      </c>
      <c r="G124" s="11" t="s">
        <v>939</v>
      </c>
      <c r="H124" s="63" t="n">
        <v>22007.9398584071</v>
      </c>
      <c r="I124" s="11" t="n">
        <v>0</v>
      </c>
      <c r="J124" s="11" t="s">
        <v>1138</v>
      </c>
      <c r="K124" s="11" t="s">
        <v>44</v>
      </c>
      <c r="L124" s="11" t="str">
        <f aca="false">LEFT(K124,1)</f>
        <v>B</v>
      </c>
    </row>
    <row r="125" customFormat="false" ht="15" hidden="false" customHeight="true" outlineLevel="0" collapsed="false">
      <c r="A125" s="11" t="s">
        <v>1041</v>
      </c>
      <c r="B125" s="11" t="s">
        <v>936</v>
      </c>
      <c r="C125" s="11" t="s">
        <v>1134</v>
      </c>
      <c r="D125" s="11" t="n">
        <v>432</v>
      </c>
      <c r="E125" s="11" t="s">
        <v>1139</v>
      </c>
      <c r="F125" s="11" t="n">
        <v>1</v>
      </c>
      <c r="G125" s="11" t="s">
        <v>916</v>
      </c>
      <c r="H125" s="63" t="n">
        <v>11778061.8258879</v>
      </c>
      <c r="I125" s="11" t="n">
        <v>0</v>
      </c>
      <c r="J125" s="27" t="s">
        <v>1140</v>
      </c>
      <c r="K125" s="11" t="s">
        <v>42</v>
      </c>
      <c r="L125" s="11" t="str">
        <f aca="false">LEFT(K125,1)</f>
        <v>A</v>
      </c>
    </row>
    <row r="126" customFormat="false" ht="15" hidden="false" customHeight="true" outlineLevel="0" collapsed="false">
      <c r="A126" s="11" t="s">
        <v>1041</v>
      </c>
      <c r="B126" s="11" t="s">
        <v>936</v>
      </c>
      <c r="C126" s="11" t="s">
        <v>1141</v>
      </c>
      <c r="D126" s="11" t="n">
        <v>260</v>
      </c>
      <c r="E126" s="11" t="s">
        <v>1142</v>
      </c>
      <c r="F126" s="11" t="n">
        <v>4400</v>
      </c>
      <c r="G126" s="11" t="s">
        <v>946</v>
      </c>
      <c r="H126" s="63" t="n">
        <v>25600.7117050148</v>
      </c>
      <c r="I126" s="11" t="n">
        <v>0</v>
      </c>
      <c r="J126" s="27" t="s">
        <v>1143</v>
      </c>
      <c r="K126" s="11" t="s">
        <v>48</v>
      </c>
      <c r="L126" s="11" t="str">
        <f aca="false">LEFT(K126,1)</f>
        <v>D</v>
      </c>
    </row>
    <row r="127" customFormat="false" ht="15" hidden="false" customHeight="true" outlineLevel="0" collapsed="false">
      <c r="A127" s="11" t="s">
        <v>1041</v>
      </c>
      <c r="B127" s="11" t="s">
        <v>936</v>
      </c>
      <c r="C127" s="11" t="s">
        <v>1141</v>
      </c>
      <c r="D127" s="11" t="n">
        <v>268</v>
      </c>
      <c r="E127" s="11" t="s">
        <v>1144</v>
      </c>
      <c r="F127" s="11" t="n">
        <v>25</v>
      </c>
      <c r="G127" s="11" t="s">
        <v>939</v>
      </c>
      <c r="H127" s="63" t="n">
        <v>774.304277286136</v>
      </c>
      <c r="I127" s="11" t="n">
        <v>0</v>
      </c>
      <c r="J127" s="11"/>
      <c r="K127" s="11" t="s">
        <v>48</v>
      </c>
      <c r="L127" s="11" t="str">
        <f aca="false">LEFT(K127,1)</f>
        <v>D</v>
      </c>
    </row>
    <row r="128" customFormat="false" ht="15" hidden="false" customHeight="true" outlineLevel="0" collapsed="false">
      <c r="A128" s="11" t="s">
        <v>1041</v>
      </c>
      <c r="B128" s="11" t="s">
        <v>936</v>
      </c>
      <c r="C128" s="11" t="s">
        <v>1141</v>
      </c>
      <c r="D128" s="11" t="n">
        <v>266</v>
      </c>
      <c r="E128" s="11" t="s">
        <v>1145</v>
      </c>
      <c r="F128" s="11" t="n">
        <v>50</v>
      </c>
      <c r="G128" s="11" t="s">
        <v>939</v>
      </c>
      <c r="H128" s="63" t="n">
        <v>1216.76386430679</v>
      </c>
      <c r="I128" s="11" t="n">
        <v>0</v>
      </c>
      <c r="J128" s="11"/>
      <c r="K128" s="11" t="s">
        <v>48</v>
      </c>
      <c r="L128" s="11" t="str">
        <f aca="false">LEFT(K128,1)</f>
        <v>D</v>
      </c>
    </row>
    <row r="129" customFormat="false" ht="15" hidden="false" customHeight="true" outlineLevel="0" collapsed="false">
      <c r="A129" s="11" t="s">
        <v>1041</v>
      </c>
      <c r="B129" s="11" t="s">
        <v>936</v>
      </c>
      <c r="C129" s="11" t="s">
        <v>1141</v>
      </c>
      <c r="D129" s="11" t="n">
        <v>264</v>
      </c>
      <c r="E129" s="11" t="s">
        <v>1146</v>
      </c>
      <c r="F129" s="11" t="n">
        <v>100</v>
      </c>
      <c r="G129" s="11" t="s">
        <v>939</v>
      </c>
      <c r="H129" s="63" t="n">
        <v>2654.75752212389</v>
      </c>
      <c r="I129" s="11" t="n">
        <v>0</v>
      </c>
      <c r="J129" s="11"/>
      <c r="K129" s="11" t="s">
        <v>48</v>
      </c>
      <c r="L129" s="11" t="str">
        <f aca="false">LEFT(K129,1)</f>
        <v>D</v>
      </c>
    </row>
    <row r="130" customFormat="false" ht="15" hidden="false" customHeight="true" outlineLevel="0" collapsed="false">
      <c r="A130" s="11" t="s">
        <v>1041</v>
      </c>
      <c r="B130" s="11" t="s">
        <v>936</v>
      </c>
      <c r="C130" s="11" t="s">
        <v>1141</v>
      </c>
      <c r="D130" s="11" t="n">
        <v>262</v>
      </c>
      <c r="E130" s="11" t="s">
        <v>1147</v>
      </c>
      <c r="F130" s="11" t="n">
        <v>100</v>
      </c>
      <c r="G130" s="11" t="s">
        <v>939</v>
      </c>
      <c r="H130" s="63" t="n">
        <v>2322.91283185841</v>
      </c>
      <c r="I130" s="11" t="n">
        <v>0</v>
      </c>
      <c r="J130" s="11" t="s">
        <v>1148</v>
      </c>
      <c r="K130" s="11" t="s">
        <v>48</v>
      </c>
      <c r="L130" s="11" t="str">
        <f aca="false">LEFT(K130,1)</f>
        <v>D</v>
      </c>
    </row>
    <row r="131" customFormat="false" ht="15" hidden="false" customHeight="true" outlineLevel="0" collapsed="false">
      <c r="A131" s="11" t="s">
        <v>1041</v>
      </c>
      <c r="B131" s="11" t="s">
        <v>936</v>
      </c>
      <c r="C131" s="11" t="s">
        <v>1141</v>
      </c>
      <c r="D131" s="11" t="n">
        <v>474</v>
      </c>
      <c r="E131" s="11" t="s">
        <v>1149</v>
      </c>
      <c r="F131" s="11" t="n">
        <v>1</v>
      </c>
      <c r="G131" s="11" t="s">
        <v>916</v>
      </c>
      <c r="H131" s="63" t="n">
        <v>116145.64159292</v>
      </c>
      <c r="I131" s="11" t="n">
        <v>0</v>
      </c>
      <c r="J131" s="27" t="s">
        <v>1150</v>
      </c>
      <c r="K131" s="11" t="s">
        <v>48</v>
      </c>
      <c r="L131" s="11" t="str">
        <f aca="false">LEFT(K131,1)</f>
        <v>D</v>
      </c>
    </row>
    <row r="132" customFormat="false" ht="15" hidden="false" customHeight="true" outlineLevel="0" collapsed="false">
      <c r="A132" s="11" t="s">
        <v>1041</v>
      </c>
      <c r="B132" s="11" t="s">
        <v>952</v>
      </c>
      <c r="C132" s="11" t="s">
        <v>1151</v>
      </c>
      <c r="D132" s="11" t="n">
        <v>481</v>
      </c>
      <c r="E132" s="11" t="s">
        <v>1152</v>
      </c>
      <c r="F132" s="11" t="n">
        <v>1</v>
      </c>
      <c r="G132" s="11" t="s">
        <v>916</v>
      </c>
      <c r="H132" s="63" t="n">
        <v>45091.772188</v>
      </c>
      <c r="I132" s="11" t="n">
        <v>0</v>
      </c>
      <c r="J132" s="11"/>
      <c r="K132" s="11" t="s">
        <v>44</v>
      </c>
      <c r="L132" s="11" t="str">
        <f aca="false">LEFT(K132,1)</f>
        <v>B</v>
      </c>
    </row>
    <row r="133" customFormat="false" ht="15" hidden="false" customHeight="true" outlineLevel="0" collapsed="false">
      <c r="A133" s="11" t="s">
        <v>1041</v>
      </c>
      <c r="B133" s="11" t="s">
        <v>952</v>
      </c>
      <c r="C133" s="11" t="s">
        <v>1151</v>
      </c>
      <c r="D133" s="11" t="n">
        <v>480</v>
      </c>
      <c r="E133" s="11" t="s">
        <v>1153</v>
      </c>
      <c r="F133" s="11" t="n">
        <v>1</v>
      </c>
      <c r="G133" s="11" t="s">
        <v>916</v>
      </c>
      <c r="H133" s="63" t="n">
        <v>86952.1372</v>
      </c>
      <c r="I133" s="11" t="n">
        <v>0</v>
      </c>
      <c r="J133" s="27" t="s">
        <v>1154</v>
      </c>
      <c r="K133" s="11" t="s">
        <v>44</v>
      </c>
      <c r="L133" s="11" t="str">
        <f aca="false">LEFT(K133,1)</f>
        <v>B</v>
      </c>
    </row>
    <row r="134" customFormat="false" ht="15" hidden="false" customHeight="true" outlineLevel="0" collapsed="false">
      <c r="A134" s="11" t="s">
        <v>1041</v>
      </c>
      <c r="B134" s="11" t="s">
        <v>952</v>
      </c>
      <c r="C134" s="11" t="s">
        <v>1151</v>
      </c>
      <c r="D134" s="11" t="n">
        <v>288</v>
      </c>
      <c r="E134" s="11" t="s">
        <v>1155</v>
      </c>
      <c r="F134" s="11" t="n">
        <v>760</v>
      </c>
      <c r="G134" s="11" t="s">
        <v>946</v>
      </c>
      <c r="H134" s="63" t="n">
        <v>44934.468</v>
      </c>
      <c r="I134" s="11" t="n">
        <v>0</v>
      </c>
      <c r="J134" s="11" t="s">
        <v>1156</v>
      </c>
      <c r="K134" s="11" t="s">
        <v>50</v>
      </c>
      <c r="L134" s="11" t="str">
        <f aca="false">LEFT(K134,1)</f>
        <v>E</v>
      </c>
    </row>
    <row r="135" customFormat="false" ht="15" hidden="false" customHeight="true" outlineLevel="0" collapsed="false">
      <c r="A135" s="11" t="s">
        <v>1041</v>
      </c>
      <c r="B135" s="11" t="s">
        <v>952</v>
      </c>
      <c r="C135" s="11" t="s">
        <v>1151</v>
      </c>
      <c r="D135" s="11" t="n">
        <v>289</v>
      </c>
      <c r="E135" s="11" t="s">
        <v>1157</v>
      </c>
      <c r="F135" s="11" t="n">
        <v>760</v>
      </c>
      <c r="G135" s="11" t="s">
        <v>946</v>
      </c>
      <c r="H135" s="63" t="n">
        <v>274358.2881</v>
      </c>
      <c r="I135" s="11" t="n">
        <v>1900</v>
      </c>
      <c r="J135" s="11" t="s">
        <v>1156</v>
      </c>
      <c r="K135" s="11" t="s">
        <v>50</v>
      </c>
      <c r="L135" s="11" t="str">
        <f aca="false">LEFT(K135,1)</f>
        <v>E</v>
      </c>
    </row>
    <row r="136" customFormat="false" ht="15" hidden="false" customHeight="true" outlineLevel="0" collapsed="false">
      <c r="A136" s="11" t="s">
        <v>1041</v>
      </c>
      <c r="B136" s="11" t="s">
        <v>952</v>
      </c>
      <c r="C136" s="11" t="s">
        <v>1151</v>
      </c>
      <c r="D136" s="11" t="n">
        <v>343</v>
      </c>
      <c r="E136" s="11" t="s">
        <v>1158</v>
      </c>
      <c r="F136" s="11" t="n">
        <v>24</v>
      </c>
      <c r="G136" s="11" t="s">
        <v>939</v>
      </c>
      <c r="H136" s="63" t="n">
        <v>16693.92</v>
      </c>
      <c r="I136" s="11" t="n">
        <v>0</v>
      </c>
      <c r="J136" s="11" t="s">
        <v>1159</v>
      </c>
      <c r="K136" s="11" t="s">
        <v>50</v>
      </c>
      <c r="L136" s="11" t="str">
        <f aca="false">LEFT(K136,1)</f>
        <v>E</v>
      </c>
    </row>
    <row r="137" customFormat="false" ht="15" hidden="false" customHeight="true" outlineLevel="0" collapsed="false">
      <c r="A137" s="11" t="s">
        <v>1041</v>
      </c>
      <c r="B137" s="11" t="s">
        <v>952</v>
      </c>
      <c r="C137" s="11" t="s">
        <v>1151</v>
      </c>
      <c r="D137" s="11" t="n">
        <v>344</v>
      </c>
      <c r="E137" s="11" t="s">
        <v>1160</v>
      </c>
      <c r="F137" s="11" t="n">
        <v>24</v>
      </c>
      <c r="G137" s="11" t="s">
        <v>939</v>
      </c>
      <c r="H137" s="63" t="n">
        <v>199033.3272</v>
      </c>
      <c r="I137" s="11" t="n">
        <v>1440</v>
      </c>
      <c r="J137" s="11"/>
      <c r="K137" s="11" t="s">
        <v>50</v>
      </c>
      <c r="L137" s="11" t="str">
        <f aca="false">LEFT(K137,1)</f>
        <v>E</v>
      </c>
    </row>
    <row r="138" customFormat="false" ht="15" hidden="false" customHeight="true" outlineLevel="0" collapsed="false">
      <c r="A138" s="11" t="s">
        <v>1041</v>
      </c>
      <c r="B138" s="11" t="s">
        <v>952</v>
      </c>
      <c r="C138" s="11" t="s">
        <v>953</v>
      </c>
      <c r="D138" s="11" t="n">
        <v>132</v>
      </c>
      <c r="E138" s="11" t="s">
        <v>954</v>
      </c>
      <c r="F138" s="11" t="n">
        <v>32</v>
      </c>
      <c r="G138" s="11" t="s">
        <v>927</v>
      </c>
      <c r="H138" s="63" t="n">
        <v>2114.670752</v>
      </c>
      <c r="I138" s="11" t="n">
        <v>32</v>
      </c>
      <c r="J138" s="27" t="s">
        <v>1161</v>
      </c>
      <c r="K138" s="11" t="s">
        <v>48</v>
      </c>
      <c r="L138" s="11" t="str">
        <f aca="false">LEFT(K138,1)</f>
        <v>D</v>
      </c>
    </row>
    <row r="139" customFormat="false" ht="15" hidden="false" customHeight="true" outlineLevel="0" collapsed="false">
      <c r="A139" s="11" t="s">
        <v>1041</v>
      </c>
      <c r="B139" s="11" t="s">
        <v>952</v>
      </c>
      <c r="C139" s="11" t="s">
        <v>956</v>
      </c>
      <c r="D139" s="11" t="n">
        <v>0</v>
      </c>
      <c r="E139" s="11" t="s">
        <v>957</v>
      </c>
      <c r="F139" s="11" t="n">
        <v>1</v>
      </c>
      <c r="G139" s="11" t="s">
        <v>916</v>
      </c>
      <c r="H139" s="63" t="n">
        <v>156741.069336675</v>
      </c>
      <c r="I139" s="11" t="n">
        <v>0</v>
      </c>
      <c r="J139" s="11"/>
      <c r="K139" s="11" t="s">
        <v>50</v>
      </c>
      <c r="L139" s="11" t="str">
        <f aca="false">LEFT(K139,1)</f>
        <v>E</v>
      </c>
    </row>
    <row r="140" customFormat="false" ht="15" hidden="false" customHeight="true" outlineLevel="0" collapsed="false">
      <c r="A140" s="11" t="s">
        <v>1041</v>
      </c>
      <c r="B140" s="11" t="s">
        <v>952</v>
      </c>
      <c r="C140" s="11" t="s">
        <v>956</v>
      </c>
      <c r="D140" s="11" t="n">
        <v>0</v>
      </c>
      <c r="E140" s="11" t="s">
        <v>958</v>
      </c>
      <c r="F140" s="11" t="n">
        <v>1</v>
      </c>
      <c r="G140" s="11" t="s">
        <v>916</v>
      </c>
      <c r="H140" s="63" t="n">
        <v>156741.069336675</v>
      </c>
      <c r="I140" s="11" t="n">
        <v>0</v>
      </c>
      <c r="J140" s="11"/>
      <c r="K140" s="11" t="s">
        <v>50</v>
      </c>
      <c r="L140" s="11" t="str">
        <f aca="false">LEFT(K140,1)</f>
        <v>E</v>
      </c>
    </row>
    <row r="141" customFormat="false" ht="15" hidden="false" customHeight="true" outlineLevel="0" collapsed="false">
      <c r="A141" s="11" t="s">
        <v>1041</v>
      </c>
      <c r="B141" s="11" t="s">
        <v>952</v>
      </c>
      <c r="C141" s="11" t="s">
        <v>1162</v>
      </c>
      <c r="D141" s="11" t="n">
        <v>342</v>
      </c>
      <c r="E141" s="11" t="s">
        <v>1163</v>
      </c>
      <c r="F141" s="11" t="n">
        <v>12</v>
      </c>
      <c r="G141" s="11" t="s">
        <v>939</v>
      </c>
      <c r="H141" s="63" t="n">
        <v>137515.55544</v>
      </c>
      <c r="I141" s="11" t="n">
        <v>720</v>
      </c>
      <c r="J141" s="11"/>
      <c r="K141" s="11" t="s">
        <v>50</v>
      </c>
      <c r="L141" s="11" t="str">
        <f aca="false">LEFT(K141,1)</f>
        <v>E</v>
      </c>
    </row>
    <row r="142" customFormat="false" ht="15" hidden="false" customHeight="true" outlineLevel="0" collapsed="false">
      <c r="A142" s="11" t="s">
        <v>1041</v>
      </c>
      <c r="B142" s="11" t="s">
        <v>952</v>
      </c>
      <c r="C142" s="11" t="s">
        <v>1164</v>
      </c>
      <c r="D142" s="11" t="n">
        <v>321</v>
      </c>
      <c r="E142" s="11" t="s">
        <v>1165</v>
      </c>
      <c r="F142" s="11" t="n">
        <v>8</v>
      </c>
      <c r="G142" s="11" t="s">
        <v>939</v>
      </c>
      <c r="H142" s="63" t="n">
        <v>27307.056768</v>
      </c>
      <c r="I142" s="11" t="n">
        <v>128</v>
      </c>
      <c r="J142" s="11"/>
      <c r="K142" s="11" t="s">
        <v>48</v>
      </c>
      <c r="L142" s="11" t="str">
        <f aca="false">LEFT(K142,1)</f>
        <v>D</v>
      </c>
    </row>
    <row r="143" customFormat="false" ht="15" hidden="false" customHeight="true" outlineLevel="0" collapsed="false">
      <c r="A143" s="11" t="s">
        <v>1041</v>
      </c>
      <c r="B143" s="11" t="s">
        <v>952</v>
      </c>
      <c r="C143" s="11" t="s">
        <v>1166</v>
      </c>
      <c r="D143" s="11" t="n">
        <v>422</v>
      </c>
      <c r="E143" s="11" t="s">
        <v>1167</v>
      </c>
      <c r="F143" s="11" t="n">
        <v>500</v>
      </c>
      <c r="G143" s="11" t="s">
        <v>946</v>
      </c>
      <c r="H143" s="63" t="n">
        <v>19727.064185</v>
      </c>
      <c r="I143" s="11" t="n">
        <v>105</v>
      </c>
      <c r="J143" s="11" t="s">
        <v>1103</v>
      </c>
      <c r="K143" s="11" t="s">
        <v>48</v>
      </c>
      <c r="L143" s="11" t="str">
        <f aca="false">LEFT(K143,1)</f>
        <v>D</v>
      </c>
    </row>
    <row r="144" customFormat="false" ht="15" hidden="false" customHeight="true" outlineLevel="0" collapsed="false">
      <c r="A144" s="11" t="s">
        <v>1041</v>
      </c>
      <c r="B144" s="11" t="s">
        <v>952</v>
      </c>
      <c r="C144" s="11" t="s">
        <v>1166</v>
      </c>
      <c r="D144" s="11" t="n">
        <v>412</v>
      </c>
      <c r="E144" s="11" t="s">
        <v>1168</v>
      </c>
      <c r="F144" s="11" t="n">
        <v>2750</v>
      </c>
      <c r="G144" s="11" t="s">
        <v>946</v>
      </c>
      <c r="H144" s="63" t="n">
        <v>108498.858322</v>
      </c>
      <c r="I144" s="11" t="n">
        <v>577.5</v>
      </c>
      <c r="J144" s="11" t="s">
        <v>1105</v>
      </c>
      <c r="K144" s="11" t="s">
        <v>48</v>
      </c>
      <c r="L144" s="11" t="str">
        <f aca="false">LEFT(K144,1)</f>
        <v>D</v>
      </c>
    </row>
    <row r="145" customFormat="false" ht="15" hidden="false" customHeight="true" outlineLevel="0" collapsed="false">
      <c r="A145" s="11" t="s">
        <v>1041</v>
      </c>
      <c r="B145" s="11" t="s">
        <v>952</v>
      </c>
      <c r="C145" s="11" t="s">
        <v>1169</v>
      </c>
      <c r="D145" s="11" t="n">
        <v>341</v>
      </c>
      <c r="E145" s="11" t="s">
        <v>1170</v>
      </c>
      <c r="F145" s="11" t="n">
        <v>12</v>
      </c>
      <c r="G145" s="11" t="s">
        <v>939</v>
      </c>
      <c r="H145" s="63" t="n">
        <v>7651.38</v>
      </c>
      <c r="I145" s="11" t="n">
        <v>0</v>
      </c>
      <c r="J145" s="11" t="s">
        <v>1159</v>
      </c>
      <c r="K145" s="11" t="s">
        <v>50</v>
      </c>
      <c r="L145" s="11" t="str">
        <f aca="false">LEFT(K145,1)</f>
        <v>E</v>
      </c>
    </row>
    <row r="146" customFormat="false" ht="15" hidden="false" customHeight="true" outlineLevel="0" collapsed="false">
      <c r="A146" s="11" t="s">
        <v>1041</v>
      </c>
      <c r="B146" s="11" t="s">
        <v>952</v>
      </c>
      <c r="C146" s="11" t="s">
        <v>1171</v>
      </c>
      <c r="D146" s="11" t="n">
        <v>293</v>
      </c>
      <c r="E146" s="11" t="s">
        <v>1172</v>
      </c>
      <c r="F146" s="11" t="n">
        <v>570</v>
      </c>
      <c r="G146" s="11" t="s">
        <v>1173</v>
      </c>
      <c r="H146" s="63" t="n">
        <v>65015.718195</v>
      </c>
      <c r="I146" s="11" t="n">
        <v>285</v>
      </c>
      <c r="J146" s="11"/>
      <c r="K146" s="11" t="s">
        <v>50</v>
      </c>
      <c r="L146" s="11" t="str">
        <f aca="false">LEFT(K146,1)</f>
        <v>E</v>
      </c>
    </row>
    <row r="147" customFormat="false" ht="15" hidden="false" customHeight="true" outlineLevel="0" collapsed="false">
      <c r="A147" s="11" t="s">
        <v>1041</v>
      </c>
      <c r="B147" s="11" t="s">
        <v>952</v>
      </c>
      <c r="C147" s="11" t="s">
        <v>1171</v>
      </c>
      <c r="D147" s="11" t="n">
        <v>292</v>
      </c>
      <c r="E147" s="11" t="s">
        <v>1174</v>
      </c>
      <c r="F147" s="11" t="n">
        <v>570</v>
      </c>
      <c r="G147" s="11" t="s">
        <v>1173</v>
      </c>
      <c r="H147" s="63" t="n">
        <v>27753.642</v>
      </c>
      <c r="I147" s="11" t="n">
        <v>0</v>
      </c>
      <c r="J147" s="11"/>
      <c r="K147" s="11" t="s">
        <v>50</v>
      </c>
      <c r="L147" s="11" t="str">
        <f aca="false">LEFT(K147,1)</f>
        <v>E</v>
      </c>
    </row>
    <row r="148" customFormat="false" ht="15" hidden="false" customHeight="true" outlineLevel="0" collapsed="false">
      <c r="A148" s="11" t="s">
        <v>1041</v>
      </c>
      <c r="B148" s="11" t="s">
        <v>952</v>
      </c>
      <c r="C148" s="11" t="s">
        <v>1171</v>
      </c>
      <c r="D148" s="11" t="n">
        <v>283</v>
      </c>
      <c r="E148" s="11" t="s">
        <v>1175</v>
      </c>
      <c r="F148" s="11" t="n">
        <v>4.25</v>
      </c>
      <c r="G148" s="11" t="s">
        <v>1176</v>
      </c>
      <c r="H148" s="63" t="n">
        <v>83877.671475</v>
      </c>
      <c r="I148" s="11" t="n">
        <v>425</v>
      </c>
      <c r="J148" s="11" t="s">
        <v>1177</v>
      </c>
      <c r="K148" s="11" t="s">
        <v>50</v>
      </c>
      <c r="L148" s="11" t="str">
        <f aca="false">LEFT(K148,1)</f>
        <v>E</v>
      </c>
    </row>
    <row r="149" customFormat="false" ht="15" hidden="false" customHeight="true" outlineLevel="0" collapsed="false">
      <c r="A149" s="11" t="s">
        <v>1041</v>
      </c>
      <c r="B149" s="11" t="s">
        <v>952</v>
      </c>
      <c r="C149" s="11" t="s">
        <v>1171</v>
      </c>
      <c r="D149" s="11" t="n">
        <v>290</v>
      </c>
      <c r="E149" s="11" t="s">
        <v>1178</v>
      </c>
      <c r="F149" s="11" t="n">
        <v>2520</v>
      </c>
      <c r="G149" s="11" t="s">
        <v>1173</v>
      </c>
      <c r="H149" s="63" t="n">
        <v>67371.3936</v>
      </c>
      <c r="I149" s="11" t="n">
        <v>0</v>
      </c>
      <c r="J149" s="11" t="s">
        <v>1179</v>
      </c>
      <c r="K149" s="11" t="s">
        <v>50</v>
      </c>
      <c r="L149" s="11" t="str">
        <f aca="false">LEFT(K149,1)</f>
        <v>E</v>
      </c>
    </row>
    <row r="150" customFormat="false" ht="15" hidden="false" customHeight="true" outlineLevel="0" collapsed="false">
      <c r="A150" s="11" t="s">
        <v>1041</v>
      </c>
      <c r="B150" s="11" t="s">
        <v>952</v>
      </c>
      <c r="C150" s="11" t="s">
        <v>1171</v>
      </c>
      <c r="D150" s="11" t="n">
        <v>291</v>
      </c>
      <c r="E150" s="11" t="s">
        <v>1180</v>
      </c>
      <c r="F150" s="11" t="n">
        <v>2520</v>
      </c>
      <c r="G150" s="11" t="s">
        <v>1173</v>
      </c>
      <c r="H150" s="63" t="n">
        <v>388267.75764</v>
      </c>
      <c r="I150" s="11" t="n">
        <v>2520</v>
      </c>
      <c r="J150" s="11" t="s">
        <v>1179</v>
      </c>
      <c r="K150" s="11" t="s">
        <v>50</v>
      </c>
      <c r="L150" s="11" t="str">
        <f aca="false">LEFT(K150,1)</f>
        <v>E</v>
      </c>
    </row>
    <row r="151" customFormat="false" ht="15" hidden="false" customHeight="true" outlineLevel="0" collapsed="false">
      <c r="A151" s="11" t="s">
        <v>1041</v>
      </c>
      <c r="B151" s="11" t="s">
        <v>952</v>
      </c>
      <c r="C151" s="11" t="s">
        <v>1171</v>
      </c>
      <c r="D151" s="11" t="n">
        <v>286</v>
      </c>
      <c r="E151" s="11" t="s">
        <v>1181</v>
      </c>
      <c r="F151" s="11" t="n">
        <v>4900</v>
      </c>
      <c r="G151" s="11" t="s">
        <v>1182</v>
      </c>
      <c r="H151" s="63" t="n">
        <v>340834.2</v>
      </c>
      <c r="I151" s="11" t="n">
        <v>0</v>
      </c>
      <c r="J151" s="11" t="s">
        <v>1183</v>
      </c>
      <c r="K151" s="11" t="s">
        <v>50</v>
      </c>
      <c r="L151" s="11" t="str">
        <f aca="false">LEFT(K151,1)</f>
        <v>E</v>
      </c>
    </row>
    <row r="152" customFormat="false" ht="15" hidden="false" customHeight="true" outlineLevel="0" collapsed="false">
      <c r="A152" s="11" t="s">
        <v>1041</v>
      </c>
      <c r="B152" s="11" t="s">
        <v>952</v>
      </c>
      <c r="C152" s="11" t="s">
        <v>1171</v>
      </c>
      <c r="D152" s="11" t="n">
        <v>287</v>
      </c>
      <c r="E152" s="11" t="s">
        <v>1184</v>
      </c>
      <c r="F152" s="11" t="n">
        <v>4900</v>
      </c>
      <c r="G152" s="11" t="s">
        <v>1182</v>
      </c>
      <c r="H152" s="63" t="n">
        <v>150993.01686</v>
      </c>
      <c r="I152" s="11" t="n">
        <v>980</v>
      </c>
      <c r="J152" s="11" t="s">
        <v>1183</v>
      </c>
      <c r="K152" s="11" t="s">
        <v>50</v>
      </c>
      <c r="L152" s="11" t="str">
        <f aca="false">LEFT(K152,1)</f>
        <v>E</v>
      </c>
    </row>
    <row r="153" customFormat="false" ht="15" hidden="false" customHeight="true" outlineLevel="0" collapsed="false">
      <c r="A153" s="11" t="s">
        <v>1041</v>
      </c>
      <c r="B153" s="11" t="s">
        <v>952</v>
      </c>
      <c r="C153" s="11" t="s">
        <v>1185</v>
      </c>
      <c r="D153" s="11" t="n">
        <v>270</v>
      </c>
      <c r="E153" s="11" t="s">
        <v>1186</v>
      </c>
      <c r="F153" s="11" t="n">
        <v>800</v>
      </c>
      <c r="G153" s="11" t="s">
        <v>946</v>
      </c>
      <c r="H153" s="63" t="n">
        <v>18493.2064</v>
      </c>
      <c r="I153" s="11" t="n">
        <v>0</v>
      </c>
      <c r="J153" s="11"/>
      <c r="K153" s="11" t="s">
        <v>50</v>
      </c>
      <c r="L153" s="11" t="str">
        <f aca="false">LEFT(K153,1)</f>
        <v>E</v>
      </c>
    </row>
    <row r="154" customFormat="false" ht="15" hidden="false" customHeight="true" outlineLevel="0" collapsed="false">
      <c r="A154" s="11" t="s">
        <v>1041</v>
      </c>
      <c r="B154" s="11" t="s">
        <v>952</v>
      </c>
      <c r="C154" s="11" t="s">
        <v>1185</v>
      </c>
      <c r="D154" s="11" t="n">
        <v>271</v>
      </c>
      <c r="E154" s="11" t="s">
        <v>1187</v>
      </c>
      <c r="F154" s="11" t="n">
        <v>800</v>
      </c>
      <c r="G154" s="11" t="s">
        <v>946</v>
      </c>
      <c r="H154" s="63" t="n">
        <v>73955.76336</v>
      </c>
      <c r="I154" s="11" t="n">
        <v>480</v>
      </c>
      <c r="J154" s="11"/>
      <c r="K154" s="11" t="s">
        <v>50</v>
      </c>
      <c r="L154" s="11" t="str">
        <f aca="false">LEFT(K154,1)</f>
        <v>E</v>
      </c>
    </row>
    <row r="155" customFormat="false" ht="15" hidden="false" customHeight="true" outlineLevel="0" collapsed="false">
      <c r="A155" s="11" t="s">
        <v>1041</v>
      </c>
      <c r="B155" s="11" t="s">
        <v>952</v>
      </c>
      <c r="C155" s="11" t="s">
        <v>1185</v>
      </c>
      <c r="D155" s="11" t="n">
        <v>276</v>
      </c>
      <c r="E155" s="11" t="s">
        <v>1188</v>
      </c>
      <c r="F155" s="11" t="n">
        <v>3</v>
      </c>
      <c r="G155" s="11" t="s">
        <v>939</v>
      </c>
      <c r="H155" s="63" t="n">
        <v>3419.935</v>
      </c>
      <c r="I155" s="11" t="n">
        <v>0</v>
      </c>
      <c r="J155" s="11" t="s">
        <v>1189</v>
      </c>
      <c r="K155" s="11" t="s">
        <v>50</v>
      </c>
      <c r="L155" s="11" t="str">
        <f aca="false">LEFT(K155,1)</f>
        <v>E</v>
      </c>
    </row>
    <row r="156" customFormat="false" ht="15" hidden="false" customHeight="true" outlineLevel="0" collapsed="false">
      <c r="A156" s="11" t="s">
        <v>1041</v>
      </c>
      <c r="B156" s="11" t="s">
        <v>952</v>
      </c>
      <c r="C156" s="11" t="s">
        <v>1185</v>
      </c>
      <c r="D156" s="11" t="n">
        <v>277</v>
      </c>
      <c r="E156" s="11" t="s">
        <v>1190</v>
      </c>
      <c r="F156" s="11" t="n">
        <v>3</v>
      </c>
      <c r="G156" s="11" t="s">
        <v>939</v>
      </c>
      <c r="H156" s="63" t="n">
        <v>6779.278308</v>
      </c>
      <c r="I156" s="11" t="n">
        <v>44</v>
      </c>
      <c r="J156" s="11" t="s">
        <v>1189</v>
      </c>
      <c r="K156" s="11" t="s">
        <v>50</v>
      </c>
      <c r="L156" s="11" t="str">
        <f aca="false">LEFT(K156,1)</f>
        <v>E</v>
      </c>
    </row>
    <row r="157" customFormat="false" ht="15" hidden="false" customHeight="true" outlineLevel="0" collapsed="false">
      <c r="A157" s="11" t="s">
        <v>1041</v>
      </c>
      <c r="B157" s="11" t="s">
        <v>952</v>
      </c>
      <c r="C157" s="11" t="s">
        <v>1185</v>
      </c>
      <c r="D157" s="11" t="n">
        <v>278</v>
      </c>
      <c r="E157" s="11" t="s">
        <v>1191</v>
      </c>
      <c r="F157" s="11" t="n">
        <v>280</v>
      </c>
      <c r="G157" s="11" t="s">
        <v>946</v>
      </c>
      <c r="H157" s="63" t="n">
        <v>109066.944</v>
      </c>
      <c r="I157" s="11" t="n">
        <v>0</v>
      </c>
      <c r="J157" s="11"/>
      <c r="K157" s="11" t="s">
        <v>50</v>
      </c>
      <c r="L157" s="11" t="str">
        <f aca="false">LEFT(K157,1)</f>
        <v>E</v>
      </c>
    </row>
    <row r="158" customFormat="false" ht="15" hidden="false" customHeight="true" outlineLevel="0" collapsed="false">
      <c r="A158" s="11" t="s">
        <v>1041</v>
      </c>
      <c r="B158" s="11" t="s">
        <v>952</v>
      </c>
      <c r="C158" s="11" t="s">
        <v>1185</v>
      </c>
      <c r="D158" s="11" t="n">
        <v>279</v>
      </c>
      <c r="E158" s="11" t="s">
        <v>1192</v>
      </c>
      <c r="F158" s="11" t="n">
        <v>280</v>
      </c>
      <c r="G158" s="11" t="s">
        <v>946</v>
      </c>
      <c r="H158" s="63" t="n">
        <v>361286.52448</v>
      </c>
      <c r="I158" s="11" t="n">
        <v>2240</v>
      </c>
      <c r="J158" s="11"/>
      <c r="K158" s="11" t="s">
        <v>50</v>
      </c>
      <c r="L158" s="11" t="str">
        <f aca="false">LEFT(K158,1)</f>
        <v>E</v>
      </c>
    </row>
    <row r="159" customFormat="false" ht="15" hidden="false" customHeight="true" outlineLevel="0" collapsed="false">
      <c r="A159" s="11" t="s">
        <v>1041</v>
      </c>
      <c r="B159" s="11" t="s">
        <v>952</v>
      </c>
      <c r="C159" s="11" t="s">
        <v>1193</v>
      </c>
      <c r="D159" s="11" t="n">
        <v>336</v>
      </c>
      <c r="E159" s="11" t="s">
        <v>1194</v>
      </c>
      <c r="F159" s="11" t="n">
        <v>4</v>
      </c>
      <c r="G159" s="11" t="s">
        <v>939</v>
      </c>
      <c r="H159" s="63" t="n">
        <v>10864.9596</v>
      </c>
      <c r="I159" s="11" t="n">
        <v>0</v>
      </c>
      <c r="J159" s="11" t="s">
        <v>1195</v>
      </c>
      <c r="K159" s="11" t="s">
        <v>46</v>
      </c>
      <c r="L159" s="11" t="str">
        <f aca="false">LEFT(K159,1)</f>
        <v>C</v>
      </c>
    </row>
    <row r="160" customFormat="false" ht="15" hidden="false" customHeight="true" outlineLevel="0" collapsed="false">
      <c r="A160" s="11" t="s">
        <v>1041</v>
      </c>
      <c r="B160" s="11" t="s">
        <v>952</v>
      </c>
      <c r="C160" s="11" t="s">
        <v>1193</v>
      </c>
      <c r="D160" s="11" t="n">
        <v>337</v>
      </c>
      <c r="E160" s="11" t="s">
        <v>1196</v>
      </c>
      <c r="F160" s="11" t="n">
        <v>4</v>
      </c>
      <c r="G160" s="11" t="s">
        <v>939</v>
      </c>
      <c r="H160" s="63" t="n">
        <v>45852.575405</v>
      </c>
      <c r="I160" s="11" t="n">
        <v>297.6</v>
      </c>
      <c r="J160" s="11" t="s">
        <v>1195</v>
      </c>
      <c r="K160" s="11" t="s">
        <v>46</v>
      </c>
      <c r="L160" s="11" t="str">
        <f aca="false">LEFT(K160,1)</f>
        <v>C</v>
      </c>
    </row>
    <row r="161" customFormat="false" ht="15" hidden="false" customHeight="true" outlineLevel="0" collapsed="false">
      <c r="A161" s="11" t="s">
        <v>1041</v>
      </c>
      <c r="B161" s="11" t="s">
        <v>952</v>
      </c>
      <c r="C161" s="11" t="s">
        <v>1193</v>
      </c>
      <c r="D161" s="11" t="n">
        <v>430</v>
      </c>
      <c r="E161" s="11" t="s">
        <v>1197</v>
      </c>
      <c r="F161" s="11" t="n">
        <v>12</v>
      </c>
      <c r="G161" s="11" t="s">
        <v>939</v>
      </c>
      <c r="H161" s="63" t="n">
        <v>109331.2644</v>
      </c>
      <c r="I161" s="11" t="n">
        <v>0</v>
      </c>
      <c r="J161" s="11"/>
      <c r="K161" s="11" t="s">
        <v>44</v>
      </c>
      <c r="L161" s="11" t="str">
        <f aca="false">LEFT(K161,1)</f>
        <v>B</v>
      </c>
    </row>
    <row r="162" customFormat="false" ht="15" hidden="false" customHeight="true" outlineLevel="0" collapsed="false">
      <c r="A162" s="11" t="s">
        <v>1041</v>
      </c>
      <c r="B162" s="11" t="s">
        <v>952</v>
      </c>
      <c r="C162" s="11" t="s">
        <v>1193</v>
      </c>
      <c r="D162" s="11" t="n">
        <v>431</v>
      </c>
      <c r="E162" s="11" t="s">
        <v>1198</v>
      </c>
      <c r="F162" s="11" t="n">
        <v>12</v>
      </c>
      <c r="G162" s="11" t="s">
        <v>939</v>
      </c>
      <c r="H162" s="63" t="n">
        <v>231111.7605</v>
      </c>
      <c r="I162" s="11" t="n">
        <v>1500</v>
      </c>
      <c r="J162" s="11"/>
      <c r="K162" s="11" t="s">
        <v>44</v>
      </c>
      <c r="L162" s="11" t="str">
        <f aca="false">LEFT(K162,1)</f>
        <v>B</v>
      </c>
    </row>
    <row r="163" customFormat="false" ht="15" hidden="false" customHeight="true" outlineLevel="0" collapsed="false">
      <c r="A163" s="11" t="s">
        <v>1041</v>
      </c>
      <c r="B163" s="11" t="s">
        <v>952</v>
      </c>
      <c r="C163" s="11" t="s">
        <v>1193</v>
      </c>
      <c r="D163" s="11" t="n">
        <v>388</v>
      </c>
      <c r="E163" s="11" t="s">
        <v>1199</v>
      </c>
      <c r="F163" s="11" t="n">
        <v>1</v>
      </c>
      <c r="G163" s="11" t="s">
        <v>939</v>
      </c>
      <c r="H163" s="63" t="n">
        <v>14174.854644</v>
      </c>
      <c r="I163" s="11" t="n">
        <v>92</v>
      </c>
      <c r="J163" s="11" t="s">
        <v>1200</v>
      </c>
      <c r="K163" s="11" t="s">
        <v>48</v>
      </c>
      <c r="L163" s="11" t="str">
        <f aca="false">LEFT(K163,1)</f>
        <v>D</v>
      </c>
    </row>
    <row r="164" customFormat="false" ht="15" hidden="false" customHeight="true" outlineLevel="0" collapsed="false">
      <c r="A164" s="11" t="s">
        <v>1041</v>
      </c>
      <c r="B164" s="11" t="s">
        <v>952</v>
      </c>
      <c r="C164" s="11" t="s">
        <v>1193</v>
      </c>
      <c r="D164" s="11" t="n">
        <v>387</v>
      </c>
      <c r="E164" s="11" t="s">
        <v>1201</v>
      </c>
      <c r="F164" s="11" t="n">
        <v>1</v>
      </c>
      <c r="G164" s="11" t="s">
        <v>939</v>
      </c>
      <c r="H164" s="63" t="n">
        <v>3593.83</v>
      </c>
      <c r="I164" s="11" t="n">
        <v>0</v>
      </c>
      <c r="J164" s="11" t="s">
        <v>1200</v>
      </c>
      <c r="K164" s="11" t="s">
        <v>48</v>
      </c>
      <c r="L164" s="11" t="str">
        <f aca="false">LEFT(K164,1)</f>
        <v>D</v>
      </c>
    </row>
    <row r="165" customFormat="false" ht="15" hidden="false" customHeight="true" outlineLevel="0" collapsed="false">
      <c r="A165" s="11" t="s">
        <v>1041</v>
      </c>
      <c r="B165" s="11" t="s">
        <v>952</v>
      </c>
      <c r="C165" s="11" t="s">
        <v>1193</v>
      </c>
      <c r="D165" s="11" t="n">
        <v>391</v>
      </c>
      <c r="E165" s="11" t="s">
        <v>1202</v>
      </c>
      <c r="F165" s="11" t="n">
        <v>4</v>
      </c>
      <c r="G165" s="11" t="s">
        <v>939</v>
      </c>
      <c r="H165" s="63" t="n">
        <v>5564.64</v>
      </c>
      <c r="I165" s="11" t="n">
        <v>0</v>
      </c>
      <c r="J165" s="11" t="s">
        <v>1203</v>
      </c>
      <c r="K165" s="11" t="s">
        <v>48</v>
      </c>
      <c r="L165" s="11" t="str">
        <f aca="false">LEFT(K165,1)</f>
        <v>D</v>
      </c>
    </row>
    <row r="166" customFormat="false" ht="15" hidden="false" customHeight="true" outlineLevel="0" collapsed="false">
      <c r="A166" s="11" t="s">
        <v>1041</v>
      </c>
      <c r="B166" s="11" t="s">
        <v>952</v>
      </c>
      <c r="C166" s="11" t="s">
        <v>1193</v>
      </c>
      <c r="D166" s="11" t="n">
        <v>392</v>
      </c>
      <c r="E166" s="11" t="s">
        <v>1204</v>
      </c>
      <c r="F166" s="11" t="n">
        <v>4</v>
      </c>
      <c r="G166" s="11" t="s">
        <v>939</v>
      </c>
      <c r="H166" s="63" t="n">
        <v>14791.152672</v>
      </c>
      <c r="I166" s="11" t="n">
        <v>96</v>
      </c>
      <c r="J166" s="11" t="s">
        <v>1203</v>
      </c>
      <c r="K166" s="11" t="s">
        <v>48</v>
      </c>
      <c r="L166" s="11" t="str">
        <f aca="false">LEFT(K166,1)</f>
        <v>D</v>
      </c>
    </row>
    <row r="167" customFormat="false" ht="15" hidden="false" customHeight="true" outlineLevel="0" collapsed="false">
      <c r="A167" s="11" t="s">
        <v>1041</v>
      </c>
      <c r="B167" s="11" t="s">
        <v>952</v>
      </c>
      <c r="C167" s="11" t="s">
        <v>1193</v>
      </c>
      <c r="D167" s="11" t="n">
        <v>313</v>
      </c>
      <c r="E167" s="11" t="s">
        <v>1205</v>
      </c>
      <c r="F167" s="11" t="n">
        <v>4</v>
      </c>
      <c r="G167" s="11" t="s">
        <v>939</v>
      </c>
      <c r="H167" s="63" t="n">
        <v>7395.576336</v>
      </c>
      <c r="I167" s="11" t="n">
        <v>48</v>
      </c>
      <c r="J167" s="11"/>
      <c r="K167" s="11" t="s">
        <v>48</v>
      </c>
      <c r="L167" s="11" t="str">
        <f aca="false">LEFT(K167,1)</f>
        <v>D</v>
      </c>
    </row>
    <row r="168" customFormat="false" ht="15" hidden="false" customHeight="true" outlineLevel="0" collapsed="false">
      <c r="A168" s="11" t="s">
        <v>1041</v>
      </c>
      <c r="B168" s="11" t="s">
        <v>952</v>
      </c>
      <c r="C168" s="11" t="s">
        <v>1193</v>
      </c>
      <c r="D168" s="11" t="n">
        <v>312</v>
      </c>
      <c r="E168" s="11" t="s">
        <v>1206</v>
      </c>
      <c r="F168" s="11" t="n">
        <v>4</v>
      </c>
      <c r="G168" s="11" t="s">
        <v>939</v>
      </c>
      <c r="H168" s="63" t="n">
        <v>11210.66286</v>
      </c>
      <c r="I168" s="11" t="n">
        <v>0</v>
      </c>
      <c r="J168" s="11"/>
      <c r="K168" s="11" t="s">
        <v>48</v>
      </c>
      <c r="L168" s="11" t="str">
        <f aca="false">LEFT(K168,1)</f>
        <v>D</v>
      </c>
    </row>
    <row r="169" customFormat="false" ht="15" hidden="false" customHeight="true" outlineLevel="0" collapsed="false">
      <c r="A169" s="11" t="s">
        <v>1041</v>
      </c>
      <c r="B169" s="11" t="s">
        <v>952</v>
      </c>
      <c r="C169" s="11" t="s">
        <v>1193</v>
      </c>
      <c r="D169" s="11" t="n">
        <v>324</v>
      </c>
      <c r="E169" s="11" t="s">
        <v>1207</v>
      </c>
      <c r="F169" s="11" t="n">
        <v>1</v>
      </c>
      <c r="G169" s="11" t="s">
        <v>939</v>
      </c>
      <c r="H169" s="63" t="n">
        <v>1921.945505</v>
      </c>
      <c r="I169" s="11" t="n">
        <v>0</v>
      </c>
      <c r="J169" s="11" t="s">
        <v>1208</v>
      </c>
      <c r="K169" s="11" t="s">
        <v>48</v>
      </c>
      <c r="L169" s="11" t="str">
        <f aca="false">LEFT(K169,1)</f>
        <v>D</v>
      </c>
    </row>
    <row r="170" customFormat="false" ht="15" hidden="false" customHeight="true" outlineLevel="0" collapsed="false">
      <c r="A170" s="11" t="s">
        <v>1041</v>
      </c>
      <c r="B170" s="11" t="s">
        <v>952</v>
      </c>
      <c r="C170" s="11" t="s">
        <v>1193</v>
      </c>
      <c r="D170" s="11" t="n">
        <v>325</v>
      </c>
      <c r="E170" s="11" t="s">
        <v>1209</v>
      </c>
      <c r="F170" s="11" t="n">
        <v>1</v>
      </c>
      <c r="G170" s="11" t="s">
        <v>939</v>
      </c>
      <c r="H170" s="63" t="n">
        <v>1540.74507</v>
      </c>
      <c r="I170" s="11" t="n">
        <v>10</v>
      </c>
      <c r="J170" s="11"/>
      <c r="K170" s="11" t="s">
        <v>48</v>
      </c>
      <c r="L170" s="11" t="str">
        <f aca="false">LEFT(K170,1)</f>
        <v>D</v>
      </c>
    </row>
    <row r="171" customFormat="false" ht="15" hidden="false" customHeight="true" outlineLevel="0" collapsed="false">
      <c r="A171" s="11" t="s">
        <v>1041</v>
      </c>
      <c r="B171" s="11" t="s">
        <v>952</v>
      </c>
      <c r="C171" s="11" t="s">
        <v>1210</v>
      </c>
      <c r="D171" s="11" t="n">
        <v>303</v>
      </c>
      <c r="E171" s="11" t="s">
        <v>1211</v>
      </c>
      <c r="F171" s="11" t="n">
        <v>4</v>
      </c>
      <c r="G171" s="11" t="s">
        <v>939</v>
      </c>
      <c r="H171" s="63" t="n">
        <v>169250.89368</v>
      </c>
      <c r="I171" s="11" t="n">
        <v>880</v>
      </c>
      <c r="J171" s="27" t="s">
        <v>1095</v>
      </c>
      <c r="K171" s="11" t="s">
        <v>48</v>
      </c>
      <c r="L171" s="11" t="str">
        <f aca="false">LEFT(K171,1)</f>
        <v>D</v>
      </c>
    </row>
    <row r="172" customFormat="false" ht="15" hidden="false" customHeight="true" outlineLevel="0" collapsed="false">
      <c r="A172" s="11" t="s">
        <v>1041</v>
      </c>
      <c r="B172" s="11" t="s">
        <v>952</v>
      </c>
      <c r="C172" s="11" t="s">
        <v>1212</v>
      </c>
      <c r="D172" s="11" t="n">
        <v>311</v>
      </c>
      <c r="E172" s="11" t="s">
        <v>1213</v>
      </c>
      <c r="F172" s="11" t="n">
        <v>8</v>
      </c>
      <c r="G172" s="11" t="s">
        <v>939</v>
      </c>
      <c r="H172" s="63" t="n">
        <v>207526.46824</v>
      </c>
      <c r="I172" s="11" t="n">
        <v>1040</v>
      </c>
      <c r="J172" s="11"/>
      <c r="K172" s="11" t="s">
        <v>48</v>
      </c>
      <c r="L172" s="11" t="str">
        <f aca="false">LEFT(K172,1)</f>
        <v>D</v>
      </c>
    </row>
    <row r="173" customFormat="false" ht="15" hidden="false" customHeight="true" outlineLevel="0" collapsed="false">
      <c r="A173" s="11" t="s">
        <v>1041</v>
      </c>
      <c r="B173" s="11" t="s">
        <v>952</v>
      </c>
      <c r="C173" s="11" t="s">
        <v>1214</v>
      </c>
      <c r="D173" s="11" t="n">
        <v>327</v>
      </c>
      <c r="E173" s="11" t="s">
        <v>1215</v>
      </c>
      <c r="F173" s="11" t="n">
        <v>1</v>
      </c>
      <c r="G173" s="11" t="s">
        <v>939</v>
      </c>
      <c r="H173" s="63" t="n">
        <v>6923.900196</v>
      </c>
      <c r="I173" s="11" t="n">
        <v>36</v>
      </c>
      <c r="J173" s="11" t="s">
        <v>1098</v>
      </c>
      <c r="K173" s="11" t="s">
        <v>48</v>
      </c>
      <c r="L173" s="11" t="str">
        <f aca="false">LEFT(K173,1)</f>
        <v>D</v>
      </c>
    </row>
    <row r="174" customFormat="false" ht="15" hidden="false" customHeight="true" outlineLevel="0" collapsed="false">
      <c r="A174" s="11" t="s">
        <v>1041</v>
      </c>
      <c r="B174" s="11" t="s">
        <v>952</v>
      </c>
      <c r="C174" s="11" t="s">
        <v>1214</v>
      </c>
      <c r="D174" s="11" t="n">
        <v>339</v>
      </c>
      <c r="E174" s="11" t="s">
        <v>1216</v>
      </c>
      <c r="F174" s="11" t="n">
        <v>4</v>
      </c>
      <c r="G174" s="11" t="s">
        <v>939</v>
      </c>
      <c r="H174" s="63" t="n">
        <v>317168.7858</v>
      </c>
      <c r="I174" s="11" t="n">
        <v>1800</v>
      </c>
      <c r="J174" s="11"/>
      <c r="K174" s="11" t="s">
        <v>46</v>
      </c>
      <c r="L174" s="11" t="str">
        <f aca="false">LEFT(K174,1)</f>
        <v>C</v>
      </c>
    </row>
    <row r="175" customFormat="false" ht="15" hidden="false" customHeight="true" outlineLevel="0" collapsed="false">
      <c r="A175" s="11" t="s">
        <v>1041</v>
      </c>
      <c r="B175" s="11" t="s">
        <v>952</v>
      </c>
      <c r="C175" s="11" t="s">
        <v>1217</v>
      </c>
      <c r="D175" s="11" t="n">
        <v>403</v>
      </c>
      <c r="E175" s="11" t="s">
        <v>1218</v>
      </c>
      <c r="F175" s="11" t="n">
        <v>300</v>
      </c>
      <c r="G175" s="11" t="s">
        <v>946</v>
      </c>
      <c r="H175" s="63" t="n">
        <v>3972.45738</v>
      </c>
      <c r="I175" s="11" t="n">
        <v>0</v>
      </c>
      <c r="J175" s="11" t="s">
        <v>1219</v>
      </c>
      <c r="K175" s="11" t="s">
        <v>48</v>
      </c>
      <c r="L175" s="11" t="str">
        <f aca="false">LEFT(K175,1)</f>
        <v>D</v>
      </c>
    </row>
    <row r="176" customFormat="false" ht="15" hidden="false" customHeight="true" outlineLevel="0" collapsed="false">
      <c r="A176" s="11" t="s">
        <v>1041</v>
      </c>
      <c r="B176" s="11" t="s">
        <v>952</v>
      </c>
      <c r="C176" s="11" t="s">
        <v>1217</v>
      </c>
      <c r="D176" s="11" t="n">
        <v>404</v>
      </c>
      <c r="E176" s="11" t="s">
        <v>1220</v>
      </c>
      <c r="F176" s="11" t="n">
        <v>300</v>
      </c>
      <c r="G176" s="11" t="s">
        <v>946</v>
      </c>
      <c r="H176" s="63" t="n">
        <v>4401.758972</v>
      </c>
      <c r="I176" s="11" t="n">
        <v>28.569</v>
      </c>
      <c r="J176" s="11" t="s">
        <v>1219</v>
      </c>
      <c r="K176" s="11" t="s">
        <v>48</v>
      </c>
      <c r="L176" s="11" t="str">
        <f aca="false">LEFT(K176,1)</f>
        <v>D</v>
      </c>
    </row>
    <row r="177" customFormat="false" ht="15" hidden="false" customHeight="true" outlineLevel="0" collapsed="false">
      <c r="A177" s="11" t="s">
        <v>1041</v>
      </c>
      <c r="B177" s="11" t="s">
        <v>952</v>
      </c>
      <c r="C177" s="11" t="s">
        <v>1217</v>
      </c>
      <c r="D177" s="11" t="n">
        <v>397</v>
      </c>
      <c r="E177" s="11" t="s">
        <v>1221</v>
      </c>
      <c r="F177" s="11" t="n">
        <v>440</v>
      </c>
      <c r="G177" s="11" t="s">
        <v>946</v>
      </c>
      <c r="H177" s="63" t="n">
        <v>22770.50688</v>
      </c>
      <c r="I177" s="11" t="n">
        <v>0</v>
      </c>
      <c r="J177" s="11" t="s">
        <v>1222</v>
      </c>
      <c r="K177" s="11" t="s">
        <v>48</v>
      </c>
      <c r="L177" s="11" t="str">
        <f aca="false">LEFT(K177,1)</f>
        <v>D</v>
      </c>
    </row>
    <row r="178" customFormat="false" ht="15" hidden="false" customHeight="true" outlineLevel="0" collapsed="false">
      <c r="A178" s="11" t="s">
        <v>1041</v>
      </c>
      <c r="B178" s="11" t="s">
        <v>952</v>
      </c>
      <c r="C178" s="11" t="s">
        <v>1217</v>
      </c>
      <c r="D178" s="11" t="n">
        <v>399</v>
      </c>
      <c r="E178" s="11" t="s">
        <v>1223</v>
      </c>
      <c r="F178" s="11" t="n">
        <v>800</v>
      </c>
      <c r="G178" s="11" t="s">
        <v>946</v>
      </c>
      <c r="H178" s="63" t="n">
        <v>41400.9216</v>
      </c>
      <c r="I178" s="11" t="n">
        <v>0</v>
      </c>
      <c r="J178" s="11" t="s">
        <v>1224</v>
      </c>
      <c r="K178" s="11" t="s">
        <v>48</v>
      </c>
      <c r="L178" s="11" t="str">
        <f aca="false">LEFT(K178,1)</f>
        <v>D</v>
      </c>
    </row>
    <row r="179" customFormat="false" ht="15" hidden="false" customHeight="true" outlineLevel="0" collapsed="false">
      <c r="A179" s="11" t="s">
        <v>1041</v>
      </c>
      <c r="B179" s="11" t="s">
        <v>952</v>
      </c>
      <c r="C179" s="11" t="s">
        <v>1217</v>
      </c>
      <c r="D179" s="11" t="n">
        <v>398</v>
      </c>
      <c r="E179" s="11" t="s">
        <v>1225</v>
      </c>
      <c r="F179" s="11" t="n">
        <v>440</v>
      </c>
      <c r="G179" s="11" t="s">
        <v>946</v>
      </c>
      <c r="H179" s="63" t="n">
        <v>103045.026038</v>
      </c>
      <c r="I179" s="11" t="n">
        <v>668.8</v>
      </c>
      <c r="J179" s="11" t="s">
        <v>1222</v>
      </c>
      <c r="K179" s="11" t="s">
        <v>48</v>
      </c>
      <c r="L179" s="11" t="str">
        <f aca="false">LEFT(K179,1)</f>
        <v>D</v>
      </c>
    </row>
    <row r="180" customFormat="false" ht="15" hidden="false" customHeight="true" outlineLevel="0" collapsed="false">
      <c r="A180" s="11" t="s">
        <v>1041</v>
      </c>
      <c r="B180" s="11" t="s">
        <v>952</v>
      </c>
      <c r="C180" s="11" t="s">
        <v>1217</v>
      </c>
      <c r="D180" s="11" t="n">
        <v>400</v>
      </c>
      <c r="E180" s="11" t="s">
        <v>1226</v>
      </c>
      <c r="F180" s="11" t="n">
        <v>800</v>
      </c>
      <c r="G180" s="11" t="s">
        <v>946</v>
      </c>
      <c r="H180" s="63" t="n">
        <v>187354.600512</v>
      </c>
      <c r="I180" s="11" t="n">
        <v>1216</v>
      </c>
      <c r="J180" s="11" t="s">
        <v>1224</v>
      </c>
      <c r="K180" s="11" t="s">
        <v>48</v>
      </c>
      <c r="L180" s="11" t="str">
        <f aca="false">LEFT(K180,1)</f>
        <v>D</v>
      </c>
    </row>
    <row r="181" customFormat="false" ht="15" hidden="false" customHeight="true" outlineLevel="0" collapsed="false">
      <c r="A181" s="11" t="s">
        <v>1041</v>
      </c>
      <c r="B181" s="11" t="s">
        <v>952</v>
      </c>
      <c r="C181" s="11" t="s">
        <v>1227</v>
      </c>
      <c r="D181" s="11" t="n">
        <v>394</v>
      </c>
      <c r="E181" s="11" t="s">
        <v>1228</v>
      </c>
      <c r="F181" s="11" t="n">
        <v>480</v>
      </c>
      <c r="G181" s="11" t="s">
        <v>946</v>
      </c>
      <c r="H181" s="63" t="n">
        <v>68470.694136</v>
      </c>
      <c r="I181" s="11" t="n">
        <v>216</v>
      </c>
      <c r="J181" s="11" t="s">
        <v>1136</v>
      </c>
      <c r="K181" s="11" t="s">
        <v>44</v>
      </c>
      <c r="L181" s="11" t="str">
        <f aca="false">LEFT(K181,1)</f>
        <v>B</v>
      </c>
    </row>
    <row r="182" customFormat="false" ht="15" hidden="false" customHeight="true" outlineLevel="0" collapsed="false">
      <c r="A182" s="11" t="s">
        <v>1041</v>
      </c>
      <c r="B182" s="11" t="s">
        <v>952</v>
      </c>
      <c r="C182" s="11" t="s">
        <v>1227</v>
      </c>
      <c r="D182" s="11" t="n">
        <v>396</v>
      </c>
      <c r="E182" s="11" t="s">
        <v>1229</v>
      </c>
      <c r="F182" s="11" t="n">
        <v>24</v>
      </c>
      <c r="G182" s="11" t="s">
        <v>939</v>
      </c>
      <c r="H182" s="63" t="n">
        <v>13847.800392</v>
      </c>
      <c r="I182" s="11" t="n">
        <v>72</v>
      </c>
      <c r="J182" s="11" t="s">
        <v>1230</v>
      </c>
      <c r="K182" s="11" t="s">
        <v>44</v>
      </c>
      <c r="L182" s="11" t="str">
        <f aca="false">LEFT(K182,1)</f>
        <v>B</v>
      </c>
    </row>
    <row r="183" customFormat="false" ht="15" hidden="false" customHeight="true" outlineLevel="0" collapsed="false">
      <c r="A183" s="11" t="s">
        <v>1041</v>
      </c>
      <c r="B183" s="11" t="s">
        <v>952</v>
      </c>
      <c r="C183" s="11" t="s">
        <v>1231</v>
      </c>
      <c r="D183" s="11" t="n">
        <v>485</v>
      </c>
      <c r="E183" s="11" t="s">
        <v>1232</v>
      </c>
      <c r="F183" s="11" t="n">
        <v>2</v>
      </c>
      <c r="G183" s="11" t="s">
        <v>939</v>
      </c>
      <c r="H183" s="63" t="n">
        <v>1068769.384885</v>
      </c>
      <c r="I183" s="11" t="n">
        <v>5556.94</v>
      </c>
      <c r="J183" s="11" t="s">
        <v>1233</v>
      </c>
      <c r="K183" s="11" t="s">
        <v>44</v>
      </c>
      <c r="L183" s="11" t="str">
        <f aca="false">LEFT(K183,1)</f>
        <v>B</v>
      </c>
    </row>
    <row r="184" customFormat="false" ht="15" hidden="false" customHeight="true" outlineLevel="0" collapsed="false">
      <c r="A184" s="11" t="s">
        <v>1041</v>
      </c>
      <c r="B184" s="11" t="s">
        <v>952</v>
      </c>
      <c r="C184" s="11" t="s">
        <v>959</v>
      </c>
      <c r="D184" s="11" t="n">
        <v>471</v>
      </c>
      <c r="E184" s="11" t="s">
        <v>1234</v>
      </c>
      <c r="F184" s="11" t="n">
        <v>250</v>
      </c>
      <c r="G184" s="11" t="s">
        <v>946</v>
      </c>
      <c r="H184" s="63" t="n">
        <v>3990.89362</v>
      </c>
      <c r="I184" s="11" t="n">
        <v>20</v>
      </c>
      <c r="J184" s="11"/>
      <c r="K184" s="11" t="s">
        <v>48</v>
      </c>
      <c r="L184" s="11" t="str">
        <f aca="false">LEFT(K184,1)</f>
        <v>D</v>
      </c>
    </row>
    <row r="185" customFormat="false" ht="15" hidden="false" customHeight="true" outlineLevel="0" collapsed="false">
      <c r="A185" s="11" t="s">
        <v>1041</v>
      </c>
      <c r="B185" s="11" t="s">
        <v>952</v>
      </c>
      <c r="C185" s="11" t="s">
        <v>959</v>
      </c>
      <c r="D185" s="11" t="n">
        <v>261</v>
      </c>
      <c r="E185" s="11" t="s">
        <v>1235</v>
      </c>
      <c r="F185" s="11" t="n">
        <v>4400</v>
      </c>
      <c r="G185" s="11" t="s">
        <v>946</v>
      </c>
      <c r="H185" s="63" t="n">
        <v>42312.72342</v>
      </c>
      <c r="I185" s="11" t="n">
        <v>220</v>
      </c>
      <c r="J185" s="11" t="s">
        <v>1236</v>
      </c>
      <c r="K185" s="11" t="s">
        <v>48</v>
      </c>
      <c r="L185" s="11" t="str">
        <f aca="false">LEFT(K185,1)</f>
        <v>D</v>
      </c>
    </row>
    <row r="186" customFormat="false" ht="15" hidden="false" customHeight="true" outlineLevel="0" collapsed="false">
      <c r="A186" s="11" t="s">
        <v>1041</v>
      </c>
      <c r="B186" s="11" t="s">
        <v>952</v>
      </c>
      <c r="C186" s="11" t="s">
        <v>959</v>
      </c>
      <c r="D186" s="11" t="n">
        <v>269</v>
      </c>
      <c r="E186" s="11" t="s">
        <v>1237</v>
      </c>
      <c r="F186" s="11" t="n">
        <v>25</v>
      </c>
      <c r="G186" s="11" t="s">
        <v>939</v>
      </c>
      <c r="H186" s="63" t="n">
        <v>4808.264025</v>
      </c>
      <c r="I186" s="11" t="n">
        <v>25</v>
      </c>
      <c r="J186" s="11"/>
      <c r="K186" s="11" t="s">
        <v>48</v>
      </c>
      <c r="L186" s="11" t="str">
        <f aca="false">LEFT(K186,1)</f>
        <v>D</v>
      </c>
    </row>
    <row r="187" customFormat="false" ht="15" hidden="false" customHeight="true" outlineLevel="0" collapsed="false">
      <c r="A187" s="11" t="s">
        <v>1041</v>
      </c>
      <c r="B187" s="11" t="s">
        <v>952</v>
      </c>
      <c r="C187" s="11" t="s">
        <v>959</v>
      </c>
      <c r="D187" s="11" t="n">
        <v>267</v>
      </c>
      <c r="E187" s="11" t="s">
        <v>1238</v>
      </c>
      <c r="F187" s="11" t="n">
        <v>50</v>
      </c>
      <c r="G187" s="11" t="s">
        <v>939</v>
      </c>
      <c r="H187" s="63" t="n">
        <v>9616.52805</v>
      </c>
      <c r="I187" s="11" t="n">
        <v>50</v>
      </c>
      <c r="J187" s="11"/>
      <c r="K187" s="11" t="s">
        <v>48</v>
      </c>
      <c r="L187" s="11" t="str">
        <f aca="false">LEFT(K187,1)</f>
        <v>D</v>
      </c>
    </row>
    <row r="188" customFormat="false" ht="15" hidden="false" customHeight="true" outlineLevel="0" collapsed="false">
      <c r="A188" s="11" t="s">
        <v>1041</v>
      </c>
      <c r="B188" s="11" t="s">
        <v>952</v>
      </c>
      <c r="C188" s="11" t="s">
        <v>959</v>
      </c>
      <c r="D188" s="11" t="n">
        <v>265</v>
      </c>
      <c r="E188" s="11" t="s">
        <v>1239</v>
      </c>
      <c r="F188" s="11" t="n">
        <v>100</v>
      </c>
      <c r="G188" s="11" t="s">
        <v>939</v>
      </c>
      <c r="H188" s="63" t="n">
        <v>19233.0561</v>
      </c>
      <c r="I188" s="11" t="n">
        <v>100</v>
      </c>
      <c r="J188" s="11"/>
      <c r="K188" s="11" t="s">
        <v>48</v>
      </c>
      <c r="L188" s="11" t="str">
        <f aca="false">LEFT(K188,1)</f>
        <v>D</v>
      </c>
    </row>
    <row r="189" customFormat="false" ht="15" hidden="false" customHeight="true" outlineLevel="0" collapsed="false">
      <c r="A189" s="11" t="s">
        <v>1041</v>
      </c>
      <c r="B189" s="11" t="s">
        <v>952</v>
      </c>
      <c r="C189" s="11" t="s">
        <v>959</v>
      </c>
      <c r="D189" s="11" t="n">
        <v>263</v>
      </c>
      <c r="E189" s="11" t="s">
        <v>1240</v>
      </c>
      <c r="F189" s="11" t="n">
        <v>100</v>
      </c>
      <c r="G189" s="11" t="s">
        <v>939</v>
      </c>
      <c r="H189" s="63" t="n">
        <v>19233.0561</v>
      </c>
      <c r="I189" s="11" t="n">
        <v>100</v>
      </c>
      <c r="J189" s="11" t="s">
        <v>1148</v>
      </c>
      <c r="K189" s="11" t="s">
        <v>48</v>
      </c>
      <c r="L189" s="11" t="str">
        <f aca="false">LEFT(K189,1)</f>
        <v>D</v>
      </c>
    </row>
    <row r="190" customFormat="false" ht="15" hidden="false" customHeight="true" outlineLevel="0" collapsed="false">
      <c r="A190" s="11" t="s">
        <v>1041</v>
      </c>
      <c r="B190" s="11" t="s">
        <v>952</v>
      </c>
      <c r="C190" s="11" t="s">
        <v>959</v>
      </c>
      <c r="D190" s="11" t="n">
        <v>475</v>
      </c>
      <c r="E190" s="11" t="s">
        <v>1241</v>
      </c>
      <c r="F190" s="11" t="n">
        <v>1</v>
      </c>
      <c r="G190" s="11" t="s">
        <v>916</v>
      </c>
      <c r="H190" s="63" t="n">
        <v>92318.66928</v>
      </c>
      <c r="I190" s="11" t="n">
        <v>480</v>
      </c>
      <c r="J190" s="11"/>
      <c r="K190" s="11" t="s">
        <v>48</v>
      </c>
      <c r="L190" s="11" t="str">
        <f aca="false">LEFT(K190,1)</f>
        <v>D</v>
      </c>
    </row>
    <row r="191" customFormat="false" ht="15" hidden="false" customHeight="true" outlineLevel="0" collapsed="false">
      <c r="A191" s="11" t="s">
        <v>1041</v>
      </c>
      <c r="B191" s="11" t="s">
        <v>952</v>
      </c>
      <c r="C191" s="11" t="s">
        <v>959</v>
      </c>
      <c r="D191" s="11" t="n">
        <v>299</v>
      </c>
      <c r="E191" s="11" t="s">
        <v>964</v>
      </c>
      <c r="F191" s="11" t="n">
        <v>10000</v>
      </c>
      <c r="G191" s="11" t="s">
        <v>946</v>
      </c>
      <c r="H191" s="63" t="n">
        <v>46159.33464</v>
      </c>
      <c r="I191" s="11" t="n">
        <v>240</v>
      </c>
      <c r="J191" s="11" t="s">
        <v>951</v>
      </c>
      <c r="K191" s="11" t="s">
        <v>48</v>
      </c>
      <c r="L191" s="11" t="str">
        <f aca="false">LEFT(K191,1)</f>
        <v>D</v>
      </c>
    </row>
    <row r="192" customFormat="false" ht="15" hidden="false" customHeight="true" outlineLevel="0" collapsed="false">
      <c r="A192" s="11" t="s">
        <v>1041</v>
      </c>
      <c r="B192" s="11" t="s">
        <v>952</v>
      </c>
      <c r="C192" s="11" t="s">
        <v>959</v>
      </c>
      <c r="D192" s="11" t="n">
        <v>425</v>
      </c>
      <c r="E192" s="11" t="s">
        <v>1242</v>
      </c>
      <c r="F192" s="11" t="n">
        <v>27</v>
      </c>
      <c r="G192" s="11" t="s">
        <v>939</v>
      </c>
      <c r="H192" s="63" t="n">
        <v>20725.869708</v>
      </c>
      <c r="I192" s="11" t="n">
        <v>108</v>
      </c>
      <c r="J192" s="27" t="s">
        <v>1107</v>
      </c>
      <c r="K192" s="11" t="s">
        <v>48</v>
      </c>
      <c r="L192" s="11" t="str">
        <f aca="false">LEFT(K192,1)</f>
        <v>D</v>
      </c>
    </row>
    <row r="193" customFormat="false" ht="15" hidden="false" customHeight="true" outlineLevel="0" collapsed="false">
      <c r="A193" s="11" t="s">
        <v>1041</v>
      </c>
      <c r="B193" s="11" t="s">
        <v>952</v>
      </c>
      <c r="C193" s="11" t="s">
        <v>959</v>
      </c>
      <c r="D193" s="11" t="n">
        <v>416</v>
      </c>
      <c r="E193" s="11" t="s">
        <v>1243</v>
      </c>
      <c r="F193" s="11" t="n">
        <v>48</v>
      </c>
      <c r="G193" s="11" t="s">
        <v>939</v>
      </c>
      <c r="H193" s="63" t="n">
        <v>36845.990592</v>
      </c>
      <c r="I193" s="11" t="n">
        <v>192</v>
      </c>
      <c r="J193" s="11" t="s">
        <v>1244</v>
      </c>
      <c r="K193" s="11" t="s">
        <v>48</v>
      </c>
      <c r="L193" s="11" t="str">
        <f aca="false">LEFT(K193,1)</f>
        <v>D</v>
      </c>
    </row>
    <row r="194" customFormat="false" ht="15" hidden="false" customHeight="true" outlineLevel="0" collapsed="false">
      <c r="A194" s="11" t="s">
        <v>1041</v>
      </c>
      <c r="B194" s="11" t="s">
        <v>952</v>
      </c>
      <c r="C194" s="11" t="s">
        <v>959</v>
      </c>
      <c r="D194" s="11" t="n">
        <v>418</v>
      </c>
      <c r="E194" s="11" t="s">
        <v>1245</v>
      </c>
      <c r="F194" s="11" t="n">
        <v>500</v>
      </c>
      <c r="G194" s="11" t="s">
        <v>946</v>
      </c>
      <c r="H194" s="63" t="n">
        <v>20150.151105</v>
      </c>
      <c r="I194" s="11" t="n">
        <v>105</v>
      </c>
      <c r="J194" s="27" t="s">
        <v>1246</v>
      </c>
      <c r="K194" s="11" t="s">
        <v>48</v>
      </c>
      <c r="L194" s="11" t="str">
        <f aca="false">LEFT(K194,1)</f>
        <v>D</v>
      </c>
    </row>
    <row r="195" customFormat="false" ht="15" hidden="false" customHeight="true" outlineLevel="0" collapsed="false">
      <c r="A195" s="11" t="s">
        <v>1041</v>
      </c>
      <c r="B195" s="11" t="s">
        <v>952</v>
      </c>
      <c r="C195" s="11" t="s">
        <v>959</v>
      </c>
      <c r="D195" s="11" t="n">
        <v>414</v>
      </c>
      <c r="E195" s="11" t="s">
        <v>1247</v>
      </c>
      <c r="F195" s="11" t="n">
        <v>2000</v>
      </c>
      <c r="G195" s="11" t="s">
        <v>946</v>
      </c>
      <c r="H195" s="63" t="n">
        <v>57571.8603</v>
      </c>
      <c r="I195" s="11" t="n">
        <v>300</v>
      </c>
      <c r="J195" s="11" t="s">
        <v>1248</v>
      </c>
      <c r="K195" s="11" t="s">
        <v>44</v>
      </c>
      <c r="L195" s="11" t="str">
        <f aca="false">LEFT(K195,1)</f>
        <v>B</v>
      </c>
    </row>
    <row r="196" customFormat="false" ht="15" hidden="false" customHeight="true" outlineLevel="0" collapsed="false">
      <c r="A196" s="11" t="s">
        <v>1041</v>
      </c>
      <c r="B196" s="11" t="s">
        <v>952</v>
      </c>
      <c r="C196" s="11" t="s">
        <v>1249</v>
      </c>
      <c r="D196" s="11" t="n">
        <v>479</v>
      </c>
      <c r="E196" s="11" t="s">
        <v>1250</v>
      </c>
      <c r="F196" s="11" t="n">
        <v>1</v>
      </c>
      <c r="G196" s="11" t="s">
        <v>939</v>
      </c>
      <c r="H196" s="63" t="n">
        <v>69239.00196</v>
      </c>
      <c r="I196" s="11" t="n">
        <v>360</v>
      </c>
      <c r="J196" s="11"/>
      <c r="K196" s="11" t="s">
        <v>46</v>
      </c>
      <c r="L196" s="11" t="str">
        <f aca="false">LEFT(K196,1)</f>
        <v>C</v>
      </c>
    </row>
    <row r="197" customFormat="false" ht="15" hidden="false" customHeight="true" outlineLevel="0" collapsed="false">
      <c r="A197" s="11" t="s">
        <v>1041</v>
      </c>
      <c r="B197" s="11" t="s">
        <v>952</v>
      </c>
      <c r="C197" s="11" t="s">
        <v>1249</v>
      </c>
      <c r="D197" s="11" t="n">
        <v>420</v>
      </c>
      <c r="E197" s="11" t="s">
        <v>1251</v>
      </c>
      <c r="F197" s="11" t="n">
        <v>2</v>
      </c>
      <c r="G197" s="11" t="s">
        <v>939</v>
      </c>
      <c r="H197" s="63" t="n">
        <v>6923.900196</v>
      </c>
      <c r="I197" s="11" t="n">
        <v>36</v>
      </c>
      <c r="J197" s="11"/>
      <c r="K197" s="11" t="s">
        <v>48</v>
      </c>
      <c r="L197" s="11" t="str">
        <f aca="false">LEFT(K197,1)</f>
        <v>D</v>
      </c>
    </row>
    <row r="198" customFormat="false" ht="15" hidden="false" customHeight="true" outlineLevel="0" collapsed="false">
      <c r="A198" s="11" t="s">
        <v>1041</v>
      </c>
      <c r="B198" s="11" t="s">
        <v>952</v>
      </c>
      <c r="C198" s="11" t="s">
        <v>1249</v>
      </c>
      <c r="D198" s="11" t="n">
        <v>429</v>
      </c>
      <c r="E198" s="11" t="s">
        <v>1252</v>
      </c>
      <c r="F198" s="11" t="n">
        <v>33</v>
      </c>
      <c r="G198" s="11" t="s">
        <v>939</v>
      </c>
      <c r="H198" s="63" t="n">
        <v>12693.817026</v>
      </c>
      <c r="I198" s="11" t="n">
        <v>66</v>
      </c>
      <c r="J198" s="27" t="s">
        <v>1122</v>
      </c>
      <c r="K198" s="11" t="s">
        <v>48</v>
      </c>
      <c r="L198" s="11" t="str">
        <f aca="false">LEFT(K198,1)</f>
        <v>D</v>
      </c>
    </row>
    <row r="199" customFormat="false" ht="15" hidden="false" customHeight="true" outlineLevel="0" collapsed="false">
      <c r="A199" s="11" t="s">
        <v>1041</v>
      </c>
      <c r="B199" s="11" t="s">
        <v>952</v>
      </c>
      <c r="C199" s="11" t="s">
        <v>1249</v>
      </c>
      <c r="D199" s="11" t="n">
        <v>473</v>
      </c>
      <c r="E199" s="11" t="s">
        <v>1253</v>
      </c>
      <c r="F199" s="11" t="n">
        <v>12</v>
      </c>
      <c r="G199" s="11" t="s">
        <v>939</v>
      </c>
      <c r="H199" s="63" t="n">
        <v>13847.800392</v>
      </c>
      <c r="I199" s="11" t="n">
        <v>72</v>
      </c>
      <c r="J199" s="11"/>
      <c r="K199" s="11" t="s">
        <v>48</v>
      </c>
      <c r="L199" s="11" t="str">
        <f aca="false">LEFT(K199,1)</f>
        <v>D</v>
      </c>
    </row>
    <row r="200" customFormat="false" ht="15" hidden="false" customHeight="true" outlineLevel="0" collapsed="false">
      <c r="A200" s="11" t="s">
        <v>1041</v>
      </c>
      <c r="B200" s="11" t="s">
        <v>952</v>
      </c>
      <c r="C200" s="11" t="s">
        <v>1249</v>
      </c>
      <c r="D200" s="11" t="n">
        <v>487</v>
      </c>
      <c r="E200" s="11" t="s">
        <v>1254</v>
      </c>
      <c r="F200" s="11" t="n">
        <v>1</v>
      </c>
      <c r="G200" s="11" t="s">
        <v>916</v>
      </c>
      <c r="H200" s="63" t="n">
        <v>25659.85</v>
      </c>
      <c r="I200" s="11" t="n">
        <v>0</v>
      </c>
      <c r="J200" s="11" t="s">
        <v>1045</v>
      </c>
      <c r="K200" s="11" t="s">
        <v>48</v>
      </c>
      <c r="L200" s="11" t="str">
        <f aca="false">LEFT(K200,1)</f>
        <v>D</v>
      </c>
    </row>
    <row r="201" customFormat="false" ht="15" hidden="false" customHeight="true" outlineLevel="0" collapsed="false">
      <c r="A201" s="11" t="s">
        <v>1041</v>
      </c>
      <c r="B201" s="11" t="s">
        <v>952</v>
      </c>
      <c r="C201" s="11" t="s">
        <v>1249</v>
      </c>
      <c r="D201" s="11" t="n">
        <v>294</v>
      </c>
      <c r="E201" s="11" t="s">
        <v>1255</v>
      </c>
      <c r="F201" s="11" t="n">
        <v>12</v>
      </c>
      <c r="G201" s="11" t="s">
        <v>939</v>
      </c>
      <c r="H201" s="63" t="n">
        <v>17389.5</v>
      </c>
      <c r="I201" s="11" t="n">
        <v>0</v>
      </c>
      <c r="J201" s="11"/>
      <c r="K201" s="11" t="s">
        <v>48</v>
      </c>
      <c r="L201" s="11" t="str">
        <f aca="false">LEFT(K201,1)</f>
        <v>D</v>
      </c>
    </row>
    <row r="202" customFormat="false" ht="15" hidden="false" customHeight="true" outlineLevel="0" collapsed="false">
      <c r="A202" s="11" t="s">
        <v>1041</v>
      </c>
      <c r="B202" s="11" t="s">
        <v>952</v>
      </c>
      <c r="C202" s="11" t="s">
        <v>1249</v>
      </c>
      <c r="D202" s="11" t="n">
        <v>295</v>
      </c>
      <c r="E202" s="11" t="s">
        <v>1256</v>
      </c>
      <c r="F202" s="11" t="n">
        <v>12</v>
      </c>
      <c r="G202" s="11" t="s">
        <v>939</v>
      </c>
      <c r="H202" s="63" t="n">
        <v>14367.217032</v>
      </c>
      <c r="I202" s="11" t="n">
        <v>72</v>
      </c>
      <c r="J202" s="11"/>
      <c r="K202" s="11" t="s">
        <v>48</v>
      </c>
      <c r="L202" s="11" t="str">
        <f aca="false">LEFT(K202,1)</f>
        <v>D</v>
      </c>
    </row>
    <row r="203" customFormat="false" ht="15" hidden="false" customHeight="true" outlineLevel="0" collapsed="false">
      <c r="A203" s="11" t="s">
        <v>1041</v>
      </c>
      <c r="B203" s="11" t="s">
        <v>952</v>
      </c>
      <c r="C203" s="11" t="s">
        <v>1249</v>
      </c>
      <c r="D203" s="11" t="n">
        <v>297</v>
      </c>
      <c r="E203" s="11" t="s">
        <v>1257</v>
      </c>
      <c r="F203" s="11" t="n">
        <v>1200</v>
      </c>
      <c r="G203" s="11" t="s">
        <v>946</v>
      </c>
      <c r="H203" s="63" t="n">
        <v>239453.6172</v>
      </c>
      <c r="I203" s="11" t="n">
        <v>1200</v>
      </c>
      <c r="J203" s="11" t="s">
        <v>1258</v>
      </c>
      <c r="K203" s="11" t="s">
        <v>48</v>
      </c>
      <c r="L203" s="11" t="str">
        <f aca="false">LEFT(K203,1)</f>
        <v>D</v>
      </c>
    </row>
    <row r="204" customFormat="false" ht="15" hidden="false" customHeight="true" outlineLevel="0" collapsed="false">
      <c r="A204" s="11" t="s">
        <v>1041</v>
      </c>
      <c r="B204" s="11" t="s">
        <v>952</v>
      </c>
      <c r="C204" s="11" t="s">
        <v>1249</v>
      </c>
      <c r="D204" s="11" t="n">
        <v>296</v>
      </c>
      <c r="E204" s="11" t="s">
        <v>1259</v>
      </c>
      <c r="F204" s="11" t="n">
        <v>1200</v>
      </c>
      <c r="G204" s="11" t="s">
        <v>946</v>
      </c>
      <c r="H204" s="63" t="n">
        <v>41734.8</v>
      </c>
      <c r="I204" s="11" t="n">
        <v>0</v>
      </c>
      <c r="J204" s="11" t="s">
        <v>1258</v>
      </c>
      <c r="K204" s="11" t="s">
        <v>48</v>
      </c>
      <c r="L204" s="11" t="str">
        <f aca="false">LEFT(K204,1)</f>
        <v>D</v>
      </c>
    </row>
    <row r="205" customFormat="false" ht="15" hidden="false" customHeight="true" outlineLevel="0" collapsed="false">
      <c r="A205" s="11" t="s">
        <v>1041</v>
      </c>
      <c r="B205" s="11" t="s">
        <v>952</v>
      </c>
      <c r="C205" s="11" t="s">
        <v>965</v>
      </c>
      <c r="D205" s="11" t="n">
        <v>335</v>
      </c>
      <c r="E205" s="11" t="s">
        <v>1260</v>
      </c>
      <c r="F205" s="11" t="n">
        <v>4</v>
      </c>
      <c r="G205" s="11" t="s">
        <v>939</v>
      </c>
      <c r="H205" s="63" t="n">
        <v>92318.66928</v>
      </c>
      <c r="I205" s="11" t="n">
        <v>480</v>
      </c>
      <c r="J205" s="11"/>
      <c r="K205" s="11" t="s">
        <v>48</v>
      </c>
      <c r="L205" s="11" t="str">
        <f aca="false">LEFT(K205,1)</f>
        <v>D</v>
      </c>
    </row>
    <row r="206" customFormat="false" ht="15" hidden="false" customHeight="true" outlineLevel="0" collapsed="false">
      <c r="A206" s="11" t="s">
        <v>1041</v>
      </c>
      <c r="B206" s="11" t="s">
        <v>952</v>
      </c>
      <c r="C206" s="11" t="s">
        <v>1261</v>
      </c>
      <c r="D206" s="11" t="n">
        <v>477</v>
      </c>
      <c r="E206" s="11" t="s">
        <v>1262</v>
      </c>
      <c r="F206" s="11" t="n">
        <v>1</v>
      </c>
      <c r="G206" s="11" t="s">
        <v>939</v>
      </c>
      <c r="H206" s="63" t="n">
        <v>92318.66928</v>
      </c>
      <c r="I206" s="11" t="n">
        <v>480</v>
      </c>
      <c r="J206" s="11"/>
      <c r="K206" s="11" t="s">
        <v>46</v>
      </c>
      <c r="L206" s="11" t="str">
        <f aca="false">LEFT(K206,1)</f>
        <v>C</v>
      </c>
    </row>
    <row r="207" customFormat="false" ht="15" hidden="false" customHeight="true" outlineLevel="0" collapsed="false">
      <c r="A207" s="11" t="s">
        <v>1041</v>
      </c>
      <c r="B207" s="11" t="s">
        <v>952</v>
      </c>
      <c r="C207" s="11" t="s">
        <v>1263</v>
      </c>
      <c r="D207" s="11" t="n">
        <v>352</v>
      </c>
      <c r="E207" s="11" t="s">
        <v>1264</v>
      </c>
      <c r="F207" s="11" t="n">
        <v>1</v>
      </c>
      <c r="G207" s="11" t="s">
        <v>916</v>
      </c>
      <c r="H207" s="63" t="n">
        <v>11593</v>
      </c>
      <c r="I207" s="11" t="n">
        <v>0</v>
      </c>
      <c r="J207" s="11" t="s">
        <v>1265</v>
      </c>
      <c r="K207" s="11" t="s">
        <v>48</v>
      </c>
      <c r="L207" s="11" t="str">
        <f aca="false">LEFT(K207,1)</f>
        <v>D</v>
      </c>
    </row>
    <row r="208" customFormat="false" ht="15" hidden="false" customHeight="true" outlineLevel="0" collapsed="false">
      <c r="A208" s="11" t="s">
        <v>1041</v>
      </c>
      <c r="B208" s="11" t="s">
        <v>971</v>
      </c>
      <c r="C208" s="11" t="s">
        <v>972</v>
      </c>
      <c r="D208" s="11" t="n">
        <v>138</v>
      </c>
      <c r="E208" s="11" t="s">
        <v>973</v>
      </c>
      <c r="F208" s="11" t="n">
        <v>1600</v>
      </c>
      <c r="G208" s="11" t="s">
        <v>927</v>
      </c>
      <c r="H208" s="63" t="n">
        <v>408064.576</v>
      </c>
      <c r="I208" s="11" t="n">
        <v>1600</v>
      </c>
      <c r="J208" s="11" t="s">
        <v>974</v>
      </c>
      <c r="K208" s="11" t="s">
        <v>54</v>
      </c>
      <c r="L208" s="11" t="str">
        <f aca="false">LEFT(K208,1)</f>
        <v>G</v>
      </c>
    </row>
    <row r="209" customFormat="false" ht="15" hidden="false" customHeight="true" outlineLevel="0" collapsed="false">
      <c r="A209" s="11" t="s">
        <v>1041</v>
      </c>
      <c r="B209" s="11" t="s">
        <v>971</v>
      </c>
      <c r="C209" s="11" t="s">
        <v>975</v>
      </c>
      <c r="D209" s="11" t="n">
        <v>140</v>
      </c>
      <c r="E209" s="11" t="s">
        <v>976</v>
      </c>
      <c r="F209" s="11" t="n">
        <v>3200</v>
      </c>
      <c r="G209" s="11" t="s">
        <v>927</v>
      </c>
      <c r="H209" s="63" t="n">
        <v>708545.4048</v>
      </c>
      <c r="I209" s="11" t="n">
        <v>3200</v>
      </c>
      <c r="J209" s="11" t="s">
        <v>1050</v>
      </c>
      <c r="K209" s="11" t="s">
        <v>54</v>
      </c>
      <c r="L209" s="11" t="str">
        <f aca="false">LEFT(K209,1)</f>
        <v>G</v>
      </c>
    </row>
    <row r="210" customFormat="false" ht="15" hidden="false" customHeight="true" outlineLevel="0" collapsed="false">
      <c r="A210" s="11" t="s">
        <v>1041</v>
      </c>
      <c r="B210" s="11" t="s">
        <v>971</v>
      </c>
      <c r="C210" s="11" t="s">
        <v>1266</v>
      </c>
      <c r="D210" s="11" t="n">
        <v>141</v>
      </c>
      <c r="E210" s="11" t="s">
        <v>1267</v>
      </c>
      <c r="F210" s="11" t="n">
        <v>1650</v>
      </c>
      <c r="G210" s="11" t="s">
        <v>927</v>
      </c>
      <c r="H210" s="63" t="n">
        <v>119733.174</v>
      </c>
      <c r="I210" s="11" t="n">
        <v>1650</v>
      </c>
      <c r="J210" s="11" t="s">
        <v>1050</v>
      </c>
      <c r="K210" s="11" t="s">
        <v>54</v>
      </c>
      <c r="L210" s="11" t="str">
        <f aca="false">LEFT(K210,1)</f>
        <v>G</v>
      </c>
    </row>
    <row r="211" customFormat="false" ht="15" hidden="false" customHeight="true" outlineLevel="0" collapsed="false">
      <c r="A211" s="11" t="s">
        <v>1041</v>
      </c>
      <c r="B211" s="11" t="s">
        <v>971</v>
      </c>
      <c r="C211" s="11" t="s">
        <v>1268</v>
      </c>
      <c r="D211" s="11" t="n">
        <v>144</v>
      </c>
      <c r="E211" s="11" t="s">
        <v>1269</v>
      </c>
      <c r="F211" s="11" t="n">
        <v>120</v>
      </c>
      <c r="G211" s="11" t="s">
        <v>927</v>
      </c>
      <c r="H211" s="63" t="n">
        <v>26570.45268</v>
      </c>
      <c r="I211" s="11" t="n">
        <v>120</v>
      </c>
      <c r="J211" s="11" t="s">
        <v>1270</v>
      </c>
      <c r="K211" s="11" t="s">
        <v>54</v>
      </c>
      <c r="L211" s="11" t="str">
        <f aca="false">LEFT(K211,1)</f>
        <v>G</v>
      </c>
    </row>
    <row r="212" customFormat="false" ht="15" hidden="false" customHeight="true" outlineLevel="0" collapsed="false">
      <c r="A212" s="11" t="s">
        <v>1041</v>
      </c>
      <c r="B212" s="11" t="s">
        <v>978</v>
      </c>
      <c r="C212" s="11" t="s">
        <v>1271</v>
      </c>
      <c r="D212" s="11" t="n">
        <v>147</v>
      </c>
      <c r="E212" s="11" t="s">
        <v>1272</v>
      </c>
      <c r="F212" s="11" t="n">
        <v>1278</v>
      </c>
      <c r="G212" s="11" t="s">
        <v>927</v>
      </c>
      <c r="H212" s="63" t="n">
        <v>92286.8554196479</v>
      </c>
      <c r="I212" s="11" t="n">
        <v>1278</v>
      </c>
      <c r="J212" s="27" t="s">
        <v>1273</v>
      </c>
      <c r="K212" s="11" t="s">
        <v>56</v>
      </c>
      <c r="L212" s="11" t="str">
        <f aca="false">LEFT(K212,1)</f>
        <v>H</v>
      </c>
    </row>
    <row r="213" customFormat="false" ht="15" hidden="false" customHeight="true" outlineLevel="0" collapsed="false">
      <c r="A213" s="11" t="s">
        <v>1041</v>
      </c>
      <c r="B213" s="11" t="s">
        <v>978</v>
      </c>
      <c r="C213" s="11" t="s">
        <v>1271</v>
      </c>
      <c r="D213" s="11" t="n">
        <v>446</v>
      </c>
      <c r="E213" s="11" t="s">
        <v>1272</v>
      </c>
      <c r="F213" s="11" t="n">
        <v>1</v>
      </c>
      <c r="G213" s="11" t="s">
        <v>916</v>
      </c>
      <c r="H213" s="63" t="n">
        <v>413557.18</v>
      </c>
      <c r="I213" s="11" t="n">
        <v>0</v>
      </c>
      <c r="J213" s="11" t="s">
        <v>1045</v>
      </c>
      <c r="K213" s="11" t="s">
        <v>56</v>
      </c>
      <c r="L213" s="11" t="str">
        <f aca="false">LEFT(K213,1)</f>
        <v>H</v>
      </c>
    </row>
    <row r="214" customFormat="false" ht="15" hidden="false" customHeight="true" outlineLevel="0" collapsed="false">
      <c r="A214" s="11" t="s">
        <v>1041</v>
      </c>
      <c r="B214" s="11" t="s">
        <v>978</v>
      </c>
      <c r="C214" s="11" t="s">
        <v>979</v>
      </c>
      <c r="D214" s="11" t="n">
        <v>148</v>
      </c>
      <c r="E214" s="11" t="s">
        <v>980</v>
      </c>
      <c r="F214" s="11" t="n">
        <v>2172</v>
      </c>
      <c r="G214" s="11" t="s">
        <v>927</v>
      </c>
      <c r="H214" s="63" t="n">
        <v>393947.1647987</v>
      </c>
      <c r="I214" s="11" t="n">
        <v>2172</v>
      </c>
      <c r="J214" s="27" t="s">
        <v>1274</v>
      </c>
      <c r="K214" s="11" t="s">
        <v>56</v>
      </c>
      <c r="L214" s="11" t="str">
        <f aca="false">LEFT(K214,1)</f>
        <v>H</v>
      </c>
    </row>
    <row r="215" customFormat="false" ht="15" hidden="false" customHeight="true" outlineLevel="0" collapsed="false">
      <c r="A215" s="11" t="s">
        <v>1041</v>
      </c>
      <c r="B215" s="11" t="s">
        <v>978</v>
      </c>
      <c r="C215" s="11" t="s">
        <v>979</v>
      </c>
      <c r="D215" s="11" t="n">
        <v>447</v>
      </c>
      <c r="E215" s="11" t="s">
        <v>980</v>
      </c>
      <c r="F215" s="11" t="n">
        <v>1</v>
      </c>
      <c r="G215" s="11" t="s">
        <v>916</v>
      </c>
      <c r="H215" s="63" t="n">
        <v>207014.17</v>
      </c>
      <c r="I215" s="11" t="n">
        <v>0</v>
      </c>
      <c r="J215" s="11" t="s">
        <v>1045</v>
      </c>
      <c r="K215" s="11" t="s">
        <v>56</v>
      </c>
      <c r="L215" s="11" t="str">
        <f aca="false">LEFT(K215,1)</f>
        <v>H</v>
      </c>
    </row>
    <row r="216" customFormat="false" ht="15" hidden="false" customHeight="true" outlineLevel="0" collapsed="false">
      <c r="A216" s="11" t="s">
        <v>1041</v>
      </c>
      <c r="B216" s="11" t="s">
        <v>978</v>
      </c>
      <c r="C216" s="11" t="s">
        <v>1275</v>
      </c>
      <c r="D216" s="11" t="n">
        <v>153</v>
      </c>
      <c r="E216" s="11" t="s">
        <v>1276</v>
      </c>
      <c r="F216" s="11" t="n">
        <v>120</v>
      </c>
      <c r="G216" s="11" t="s">
        <v>927</v>
      </c>
      <c r="H216" s="63" t="n">
        <v>6352.49270356659</v>
      </c>
      <c r="I216" s="11" t="n">
        <v>120</v>
      </c>
      <c r="J216" s="11" t="s">
        <v>1050</v>
      </c>
      <c r="K216" s="11" t="s">
        <v>56</v>
      </c>
      <c r="L216" s="11" t="str">
        <f aca="false">LEFT(K216,1)</f>
        <v>H</v>
      </c>
    </row>
    <row r="217" customFormat="false" ht="15" hidden="false" customHeight="true" outlineLevel="0" collapsed="false">
      <c r="A217" s="11" t="s">
        <v>1041</v>
      </c>
      <c r="B217" s="11" t="s">
        <v>978</v>
      </c>
      <c r="C217" s="11" t="s">
        <v>982</v>
      </c>
      <c r="D217" s="11" t="n">
        <v>151</v>
      </c>
      <c r="E217" s="11" t="s">
        <v>1277</v>
      </c>
      <c r="F217" s="11" t="n">
        <v>120</v>
      </c>
      <c r="G217" s="11" t="s">
        <v>927</v>
      </c>
      <c r="H217" s="63" t="n">
        <v>8950.5041227991</v>
      </c>
      <c r="I217" s="11" t="n">
        <v>120</v>
      </c>
      <c r="J217" s="11" t="s">
        <v>1050</v>
      </c>
      <c r="K217" s="11" t="s">
        <v>56</v>
      </c>
      <c r="L217" s="11" t="str">
        <f aca="false">LEFT(K217,1)</f>
        <v>H</v>
      </c>
    </row>
    <row r="218" customFormat="false" ht="15" hidden="false" customHeight="true" outlineLevel="0" collapsed="false">
      <c r="A218" s="11" t="s">
        <v>1041</v>
      </c>
      <c r="B218" s="11" t="s">
        <v>978</v>
      </c>
      <c r="C218" s="11" t="s">
        <v>982</v>
      </c>
      <c r="D218" s="11" t="n">
        <v>149</v>
      </c>
      <c r="E218" s="11" t="s">
        <v>983</v>
      </c>
      <c r="F218" s="11" t="n">
        <v>40</v>
      </c>
      <c r="G218" s="11" t="s">
        <v>927</v>
      </c>
      <c r="H218" s="63" t="n">
        <v>2983.50137426637</v>
      </c>
      <c r="I218" s="11" t="n">
        <v>40</v>
      </c>
      <c r="J218" s="11"/>
      <c r="K218" s="11" t="s">
        <v>56</v>
      </c>
      <c r="L218" s="11" t="str">
        <f aca="false">LEFT(K218,1)</f>
        <v>H</v>
      </c>
    </row>
    <row r="219" customFormat="false" ht="15" hidden="false" customHeight="true" outlineLevel="0" collapsed="false">
      <c r="A219" s="11" t="s">
        <v>1041</v>
      </c>
      <c r="B219" s="11" t="s">
        <v>978</v>
      </c>
      <c r="C219" s="11" t="s">
        <v>984</v>
      </c>
      <c r="D219" s="11" t="n">
        <v>167</v>
      </c>
      <c r="E219" s="11" t="s">
        <v>985</v>
      </c>
      <c r="F219" s="11" t="n">
        <v>40</v>
      </c>
      <c r="G219" s="11" t="s">
        <v>927</v>
      </c>
      <c r="H219" s="63" t="n">
        <v>3104.71613559322</v>
      </c>
      <c r="I219" s="11" t="n">
        <v>40</v>
      </c>
      <c r="J219" s="11" t="s">
        <v>1050</v>
      </c>
      <c r="K219" s="11" t="s">
        <v>56</v>
      </c>
      <c r="L219" s="11" t="str">
        <f aca="false">LEFT(K219,1)</f>
        <v>H</v>
      </c>
    </row>
    <row r="220" customFormat="false" ht="15" hidden="false" customHeight="true" outlineLevel="0" collapsed="false">
      <c r="A220" s="11" t="s">
        <v>1041</v>
      </c>
      <c r="B220" s="11" t="s">
        <v>978</v>
      </c>
      <c r="C220" s="11" t="s">
        <v>984</v>
      </c>
      <c r="D220" s="11" t="n">
        <v>448</v>
      </c>
      <c r="E220" s="11" t="s">
        <v>985</v>
      </c>
      <c r="F220" s="11" t="n">
        <v>1</v>
      </c>
      <c r="G220" s="11" t="s">
        <v>916</v>
      </c>
      <c r="H220" s="63" t="n">
        <v>53528.66</v>
      </c>
      <c r="I220" s="11" t="n">
        <v>0</v>
      </c>
      <c r="J220" s="11" t="s">
        <v>1045</v>
      </c>
      <c r="K220" s="11" t="s">
        <v>56</v>
      </c>
      <c r="L220" s="11" t="str">
        <f aca="false">LEFT(K220,1)</f>
        <v>H</v>
      </c>
    </row>
    <row r="221" customFormat="false" ht="15" hidden="false" customHeight="true" outlineLevel="0" collapsed="false">
      <c r="A221" s="11" t="s">
        <v>1041</v>
      </c>
      <c r="B221" s="11" t="s">
        <v>978</v>
      </c>
      <c r="C221" s="11" t="s">
        <v>986</v>
      </c>
      <c r="D221" s="11" t="n">
        <v>159</v>
      </c>
      <c r="E221" s="11" t="s">
        <v>987</v>
      </c>
      <c r="F221" s="11" t="n">
        <v>40</v>
      </c>
      <c r="G221" s="11" t="s">
        <v>927</v>
      </c>
      <c r="H221" s="63" t="n">
        <v>2705.71810169492</v>
      </c>
      <c r="I221" s="11" t="n">
        <v>40</v>
      </c>
      <c r="J221" s="11" t="s">
        <v>1278</v>
      </c>
      <c r="K221" s="11" t="s">
        <v>56</v>
      </c>
      <c r="L221" s="11" t="str">
        <f aca="false">LEFT(K221,1)</f>
        <v>H</v>
      </c>
    </row>
    <row r="222" customFormat="false" ht="15" hidden="false" customHeight="true" outlineLevel="0" collapsed="false">
      <c r="A222" s="11" t="s">
        <v>1041</v>
      </c>
      <c r="B222" s="11" t="s">
        <v>978</v>
      </c>
      <c r="C222" s="11" t="s">
        <v>986</v>
      </c>
      <c r="D222" s="11" t="n">
        <v>449</v>
      </c>
      <c r="E222" s="11" t="s">
        <v>987</v>
      </c>
      <c r="F222" s="11" t="n">
        <v>1</v>
      </c>
      <c r="G222" s="11" t="s">
        <v>916</v>
      </c>
      <c r="H222" s="63" t="n">
        <v>10113</v>
      </c>
      <c r="I222" s="11" t="n">
        <v>0</v>
      </c>
      <c r="J222" s="11" t="s">
        <v>1045</v>
      </c>
      <c r="K222" s="11" t="s">
        <v>56</v>
      </c>
      <c r="L222" s="11" t="str">
        <f aca="false">LEFT(K222,1)</f>
        <v>H</v>
      </c>
    </row>
    <row r="223" customFormat="false" ht="15" hidden="false" customHeight="true" outlineLevel="0" collapsed="false">
      <c r="A223" s="11" t="s">
        <v>1041</v>
      </c>
      <c r="B223" s="11" t="s">
        <v>978</v>
      </c>
      <c r="C223" s="11" t="s">
        <v>1279</v>
      </c>
      <c r="D223" s="11" t="n">
        <v>160</v>
      </c>
      <c r="E223" s="11" t="s">
        <v>1280</v>
      </c>
      <c r="F223" s="11" t="n">
        <v>40</v>
      </c>
      <c r="G223" s="11" t="s">
        <v>927</v>
      </c>
      <c r="H223" s="63" t="n">
        <v>7096.7259661017</v>
      </c>
      <c r="I223" s="11" t="n">
        <v>40</v>
      </c>
      <c r="J223" s="11" t="s">
        <v>1281</v>
      </c>
      <c r="K223" s="11" t="s">
        <v>56</v>
      </c>
      <c r="L223" s="11" t="str">
        <f aca="false">LEFT(K223,1)</f>
        <v>H</v>
      </c>
    </row>
    <row r="224" customFormat="false" ht="15" hidden="false" customHeight="true" outlineLevel="0" collapsed="false">
      <c r="A224" s="11" t="s">
        <v>1041</v>
      </c>
      <c r="B224" s="11" t="s">
        <v>978</v>
      </c>
      <c r="C224" s="11" t="s">
        <v>988</v>
      </c>
      <c r="D224" s="11" t="n">
        <v>157</v>
      </c>
      <c r="E224" s="11" t="s">
        <v>989</v>
      </c>
      <c r="F224" s="11" t="n">
        <v>480</v>
      </c>
      <c r="G224" s="11" t="s">
        <v>927</v>
      </c>
      <c r="H224" s="63" t="n">
        <v>25562.6111246438</v>
      </c>
      <c r="I224" s="11" t="n">
        <v>480</v>
      </c>
      <c r="J224" s="11"/>
      <c r="K224" s="11" t="s">
        <v>56</v>
      </c>
      <c r="L224" s="11" t="str">
        <f aca="false">LEFT(K224,1)</f>
        <v>H</v>
      </c>
    </row>
    <row r="225" customFormat="false" ht="15" hidden="false" customHeight="true" outlineLevel="0" collapsed="false">
      <c r="A225" s="11" t="s">
        <v>1041</v>
      </c>
      <c r="B225" s="11" t="s">
        <v>978</v>
      </c>
      <c r="C225" s="11" t="s">
        <v>988</v>
      </c>
      <c r="D225" s="11" t="n">
        <v>488</v>
      </c>
      <c r="E225" s="11" t="s">
        <v>989</v>
      </c>
      <c r="F225" s="11" t="n">
        <v>1</v>
      </c>
      <c r="G225" s="11" t="s">
        <v>916</v>
      </c>
      <c r="H225" s="63" t="n">
        <v>9913.77</v>
      </c>
      <c r="I225" s="11" t="n">
        <v>0</v>
      </c>
      <c r="J225" s="11" t="s">
        <v>1045</v>
      </c>
      <c r="K225" s="11" t="s">
        <v>56</v>
      </c>
      <c r="L225" s="11" t="str">
        <f aca="false">LEFT(K225,1)</f>
        <v>H</v>
      </c>
    </row>
    <row r="226" customFormat="false" ht="15" hidden="false" customHeight="true" outlineLevel="0" collapsed="false">
      <c r="A226" s="11" t="s">
        <v>1041</v>
      </c>
      <c r="B226" s="11" t="s">
        <v>978</v>
      </c>
      <c r="C226" s="11" t="s">
        <v>988</v>
      </c>
      <c r="D226" s="11" t="n">
        <v>155</v>
      </c>
      <c r="E226" s="11" t="s">
        <v>990</v>
      </c>
      <c r="F226" s="11" t="n">
        <v>80</v>
      </c>
      <c r="G226" s="11" t="s">
        <v>927</v>
      </c>
      <c r="H226" s="63" t="n">
        <v>4260.43518744063</v>
      </c>
      <c r="I226" s="11" t="n">
        <v>80</v>
      </c>
      <c r="J226" s="11"/>
      <c r="K226" s="11" t="s">
        <v>56</v>
      </c>
      <c r="L226" s="11" t="str">
        <f aca="false">LEFT(K226,1)</f>
        <v>H</v>
      </c>
    </row>
    <row r="227" customFormat="false" ht="15" hidden="false" customHeight="true" outlineLevel="0" collapsed="false">
      <c r="A227" s="11" t="s">
        <v>1041</v>
      </c>
      <c r="B227" s="11" t="s">
        <v>978</v>
      </c>
      <c r="C227" s="11" t="s">
        <v>1282</v>
      </c>
      <c r="D227" s="11" t="n">
        <v>491</v>
      </c>
      <c r="E227" s="11" t="s">
        <v>1283</v>
      </c>
      <c r="F227" s="11" t="n">
        <v>1</v>
      </c>
      <c r="G227" s="11" t="s">
        <v>916</v>
      </c>
      <c r="H227" s="63" t="n">
        <v>188728.56</v>
      </c>
      <c r="I227" s="11" t="n">
        <v>0</v>
      </c>
      <c r="J227" s="11" t="s">
        <v>1045</v>
      </c>
      <c r="K227" s="11" t="s">
        <v>56</v>
      </c>
      <c r="L227" s="11" t="str">
        <f aca="false">LEFT(K227,1)</f>
        <v>H</v>
      </c>
    </row>
    <row r="228" customFormat="false" ht="15" hidden="false" customHeight="true" outlineLevel="0" collapsed="false">
      <c r="A228" s="11" t="s">
        <v>1041</v>
      </c>
      <c r="B228" s="11" t="s">
        <v>978</v>
      </c>
      <c r="C228" s="11" t="s">
        <v>991</v>
      </c>
      <c r="D228" s="11" t="n">
        <v>161</v>
      </c>
      <c r="E228" s="11" t="s">
        <v>992</v>
      </c>
      <c r="F228" s="11" t="n">
        <v>40</v>
      </c>
      <c r="G228" s="11" t="s">
        <v>927</v>
      </c>
      <c r="H228" s="63" t="n">
        <v>2568.90011320755</v>
      </c>
      <c r="I228" s="11" t="n">
        <v>40</v>
      </c>
      <c r="J228" s="11" t="s">
        <v>1050</v>
      </c>
      <c r="K228" s="11" t="s">
        <v>56</v>
      </c>
      <c r="L228" s="11" t="str">
        <f aca="false">LEFT(K228,1)</f>
        <v>H</v>
      </c>
    </row>
    <row r="229" customFormat="false" ht="15" hidden="false" customHeight="true" outlineLevel="0" collapsed="false">
      <c r="A229" s="11" t="s">
        <v>1041</v>
      </c>
      <c r="B229" s="11" t="s">
        <v>978</v>
      </c>
      <c r="C229" s="11" t="s">
        <v>993</v>
      </c>
      <c r="D229" s="11" t="n">
        <v>253</v>
      </c>
      <c r="E229" s="11" t="s">
        <v>994</v>
      </c>
      <c r="F229" s="11" t="n">
        <v>1</v>
      </c>
      <c r="G229" s="11" t="s">
        <v>916</v>
      </c>
      <c r="H229" s="63" t="n">
        <v>89381.98</v>
      </c>
      <c r="I229" s="11" t="n">
        <v>0</v>
      </c>
      <c r="J229" s="11" t="s">
        <v>1045</v>
      </c>
      <c r="K229" s="11" t="s">
        <v>56</v>
      </c>
      <c r="L229" s="11" t="str">
        <f aca="false">LEFT(K229,1)</f>
        <v>H</v>
      </c>
    </row>
    <row r="230" customFormat="false" ht="15" hidden="false" customHeight="true" outlineLevel="0" collapsed="false">
      <c r="A230" s="11" t="s">
        <v>1041</v>
      </c>
      <c r="B230" s="11" t="s">
        <v>978</v>
      </c>
      <c r="C230" s="11" t="s">
        <v>993</v>
      </c>
      <c r="D230" s="11" t="n">
        <v>452</v>
      </c>
      <c r="E230" s="11" t="s">
        <v>994</v>
      </c>
      <c r="F230" s="11" t="n">
        <v>1548</v>
      </c>
      <c r="G230" s="11" t="s">
        <v>927</v>
      </c>
      <c r="H230" s="63" t="n">
        <v>266265.853992504</v>
      </c>
      <c r="I230" s="11" t="n">
        <v>1548</v>
      </c>
      <c r="J230" s="11" t="s">
        <v>1284</v>
      </c>
      <c r="K230" s="11" t="s">
        <v>56</v>
      </c>
      <c r="L230" s="11" t="str">
        <f aca="false">LEFT(K230,1)</f>
        <v>H</v>
      </c>
    </row>
    <row r="231" customFormat="false" ht="15" hidden="false" customHeight="true" outlineLevel="0" collapsed="false">
      <c r="A231" s="11" t="s">
        <v>1041</v>
      </c>
      <c r="B231" s="11" t="s">
        <v>978</v>
      </c>
      <c r="C231" s="11" t="s">
        <v>1285</v>
      </c>
      <c r="D231" s="11" t="n">
        <v>175</v>
      </c>
      <c r="E231" s="11" t="s">
        <v>1286</v>
      </c>
      <c r="F231" s="11" t="n">
        <v>120</v>
      </c>
      <c r="G231" s="11" t="s">
        <v>927</v>
      </c>
      <c r="H231" s="63" t="n">
        <v>7970.75388</v>
      </c>
      <c r="I231" s="11" t="n">
        <v>120</v>
      </c>
      <c r="J231" s="11"/>
      <c r="K231" s="11" t="s">
        <v>56</v>
      </c>
      <c r="L231" s="11" t="str">
        <f aca="false">LEFT(K231,1)</f>
        <v>H</v>
      </c>
    </row>
    <row r="232" customFormat="false" ht="15" hidden="false" customHeight="true" outlineLevel="0" collapsed="false">
      <c r="A232" s="11" t="s">
        <v>1041</v>
      </c>
      <c r="B232" s="11" t="s">
        <v>1005</v>
      </c>
      <c r="C232" s="11" t="s">
        <v>1287</v>
      </c>
      <c r="D232" s="11" t="n">
        <v>0</v>
      </c>
      <c r="E232" s="11" t="s">
        <v>1288</v>
      </c>
      <c r="F232" s="11" t="n">
        <v>1</v>
      </c>
      <c r="G232" s="11" t="s">
        <v>916</v>
      </c>
      <c r="H232" s="63" t="n">
        <v>58459.3146515625</v>
      </c>
      <c r="I232" s="11" t="n">
        <v>0</v>
      </c>
      <c r="J232" s="11"/>
      <c r="K232" s="11" t="s">
        <v>58</v>
      </c>
      <c r="L232" s="11" t="str">
        <f aca="false">LEFT(K232,1)</f>
        <v>I</v>
      </c>
    </row>
    <row r="233" customFormat="false" ht="15" hidden="false" customHeight="true" outlineLevel="0" collapsed="false">
      <c r="A233" s="11" t="s">
        <v>1041</v>
      </c>
      <c r="B233" s="11" t="s">
        <v>1005</v>
      </c>
      <c r="C233" s="11" t="s">
        <v>1289</v>
      </c>
      <c r="D233" s="11" t="n">
        <v>170</v>
      </c>
      <c r="E233" s="11" t="s">
        <v>1290</v>
      </c>
      <c r="F233" s="11" t="n">
        <v>1</v>
      </c>
      <c r="G233" s="11" t="s">
        <v>916</v>
      </c>
      <c r="H233" s="63" t="n">
        <v>38348.41</v>
      </c>
      <c r="I233" s="11" t="n">
        <v>0</v>
      </c>
      <c r="J233" s="11" t="s">
        <v>1291</v>
      </c>
      <c r="K233" s="11" t="s">
        <v>58</v>
      </c>
      <c r="L233" s="11" t="str">
        <f aca="false">LEFT(K233,1)</f>
        <v>I</v>
      </c>
    </row>
    <row r="234" customFormat="false" ht="15" hidden="false" customHeight="true" outlineLevel="0" collapsed="false">
      <c r="A234" s="11" t="s">
        <v>1041</v>
      </c>
      <c r="B234" s="11" t="s">
        <v>1005</v>
      </c>
      <c r="C234" s="11" t="s">
        <v>1006</v>
      </c>
      <c r="D234" s="11" t="n">
        <v>0</v>
      </c>
      <c r="E234" s="11" t="s">
        <v>1007</v>
      </c>
      <c r="F234" s="11" t="n">
        <v>1</v>
      </c>
      <c r="G234" s="11" t="s">
        <v>916</v>
      </c>
      <c r="H234" s="63" t="n">
        <v>525183.902080946</v>
      </c>
      <c r="I234" s="11" t="n">
        <v>0</v>
      </c>
      <c r="J234" s="11"/>
      <c r="K234" s="11" t="s">
        <v>58</v>
      </c>
      <c r="L234" s="11" t="str">
        <f aca="false">LEFT(K234,1)</f>
        <v>I</v>
      </c>
    </row>
    <row r="235" customFormat="false" ht="15" hidden="false" customHeight="true" outlineLevel="0" collapsed="false">
      <c r="A235" s="11" t="s">
        <v>1041</v>
      </c>
      <c r="B235" s="11" t="s">
        <v>1005</v>
      </c>
      <c r="C235" s="11" t="s">
        <v>1292</v>
      </c>
      <c r="D235" s="11" t="n">
        <v>483</v>
      </c>
      <c r="E235" s="11" t="s">
        <v>1293</v>
      </c>
      <c r="F235" s="11" t="n">
        <v>1</v>
      </c>
      <c r="G235" s="11" t="s">
        <v>916</v>
      </c>
      <c r="H235" s="63" t="n">
        <v>165541.585550848</v>
      </c>
      <c r="I235" s="11" t="n">
        <v>0</v>
      </c>
      <c r="J235" s="27" t="s">
        <v>1294</v>
      </c>
      <c r="K235" s="11" t="s">
        <v>58</v>
      </c>
      <c r="L235" s="11" t="str">
        <f aca="false">LEFT(K235,1)</f>
        <v>I</v>
      </c>
    </row>
    <row r="236" customFormat="false" ht="15" hidden="false" customHeight="true" outlineLevel="0" collapsed="false">
      <c r="A236" s="11" t="s">
        <v>1041</v>
      </c>
      <c r="B236" s="11" t="s">
        <v>1008</v>
      </c>
      <c r="C236" s="11" t="s">
        <v>1295</v>
      </c>
      <c r="D236" s="11" t="n">
        <v>457</v>
      </c>
      <c r="E236" s="11" t="s">
        <v>1296</v>
      </c>
      <c r="F236" s="11" t="n">
        <v>1</v>
      </c>
      <c r="G236" s="11" t="s">
        <v>916</v>
      </c>
      <c r="H236" s="63" t="n">
        <v>300000</v>
      </c>
      <c r="I236" s="11" t="n">
        <v>0</v>
      </c>
      <c r="J236" s="11" t="s">
        <v>1297</v>
      </c>
      <c r="K236" s="11" t="s">
        <v>60</v>
      </c>
      <c r="L236" s="11" t="str">
        <f aca="false">LEFT(K236,1)</f>
        <v>J</v>
      </c>
    </row>
    <row r="237" customFormat="false" ht="15" hidden="false" customHeight="true" outlineLevel="0" collapsed="false">
      <c r="A237" s="11" t="s">
        <v>1041</v>
      </c>
      <c r="B237" s="11" t="s">
        <v>1008</v>
      </c>
      <c r="C237" s="11" t="s">
        <v>1298</v>
      </c>
      <c r="D237" s="11" t="n">
        <v>456</v>
      </c>
      <c r="E237" s="11" t="s">
        <v>1299</v>
      </c>
      <c r="F237" s="11" t="n">
        <v>1</v>
      </c>
      <c r="G237" s="11" t="s">
        <v>916</v>
      </c>
      <c r="H237" s="63" t="n">
        <v>250000</v>
      </c>
      <c r="I237" s="11" t="n">
        <v>0</v>
      </c>
      <c r="J237" s="11" t="s">
        <v>1300</v>
      </c>
      <c r="K237" s="11" t="s">
        <v>60</v>
      </c>
      <c r="L237" s="11" t="str">
        <f aca="false">LEFT(K237,1)</f>
        <v>J</v>
      </c>
    </row>
    <row r="238" customFormat="false" ht="15" hidden="false" customHeight="true" outlineLevel="0" collapsed="false">
      <c r="A238" s="11" t="s">
        <v>1041</v>
      </c>
      <c r="B238" s="11" t="s">
        <v>1008</v>
      </c>
      <c r="C238" s="11" t="s">
        <v>1301</v>
      </c>
      <c r="D238" s="11" t="n">
        <v>464</v>
      </c>
      <c r="E238" s="11" t="s">
        <v>1302</v>
      </c>
      <c r="F238" s="11" t="n">
        <v>1</v>
      </c>
      <c r="G238" s="11" t="s">
        <v>916</v>
      </c>
      <c r="H238" s="63" t="n">
        <v>300000</v>
      </c>
      <c r="I238" s="11" t="n">
        <v>0</v>
      </c>
      <c r="J238" s="11" t="s">
        <v>1303</v>
      </c>
      <c r="K238" s="11" t="s">
        <v>60</v>
      </c>
      <c r="L238" s="11" t="str">
        <f aca="false">LEFT(K238,1)</f>
        <v>J</v>
      </c>
    </row>
    <row r="239" customFormat="false" ht="15" hidden="false" customHeight="true" outlineLevel="0" collapsed="false">
      <c r="A239" s="11" t="s">
        <v>1041</v>
      </c>
      <c r="B239" s="11" t="s">
        <v>1008</v>
      </c>
      <c r="C239" s="11" t="s">
        <v>1301</v>
      </c>
      <c r="D239" s="11" t="n">
        <v>463</v>
      </c>
      <c r="E239" s="11" t="s">
        <v>1304</v>
      </c>
      <c r="F239" s="11" t="n">
        <v>1</v>
      </c>
      <c r="G239" s="11" t="s">
        <v>916</v>
      </c>
      <c r="H239" s="63" t="n">
        <v>300000</v>
      </c>
      <c r="I239" s="11" t="n">
        <v>0</v>
      </c>
      <c r="J239" s="11" t="s">
        <v>1305</v>
      </c>
      <c r="K239" s="11" t="s">
        <v>60</v>
      </c>
      <c r="L239" s="11" t="str">
        <f aca="false">LEFT(K239,1)</f>
        <v>J</v>
      </c>
    </row>
    <row r="240" customFormat="false" ht="15" hidden="false" customHeight="true" outlineLevel="0" collapsed="false">
      <c r="A240" s="11" t="s">
        <v>1041</v>
      </c>
      <c r="B240" s="11" t="s">
        <v>1008</v>
      </c>
      <c r="C240" s="11" t="s">
        <v>1009</v>
      </c>
      <c r="D240" s="11" t="n">
        <v>484</v>
      </c>
      <c r="E240" s="11" t="s">
        <v>1306</v>
      </c>
      <c r="F240" s="11" t="n">
        <v>1</v>
      </c>
      <c r="G240" s="11" t="s">
        <v>916</v>
      </c>
      <c r="H240" s="63" t="n">
        <v>250000</v>
      </c>
      <c r="I240" s="11" t="n">
        <v>0</v>
      </c>
      <c r="J240" s="11" t="s">
        <v>1307</v>
      </c>
      <c r="K240" s="11" t="s">
        <v>60</v>
      </c>
      <c r="L240" s="11" t="str">
        <f aca="false">LEFT(K240,1)</f>
        <v>J</v>
      </c>
    </row>
    <row r="241" customFormat="false" ht="15" hidden="false" customHeight="true" outlineLevel="0" collapsed="false">
      <c r="A241" s="11" t="s">
        <v>1041</v>
      </c>
      <c r="B241" s="11" t="s">
        <v>1008</v>
      </c>
      <c r="C241" s="11" t="s">
        <v>1009</v>
      </c>
      <c r="D241" s="11" t="n">
        <v>455</v>
      </c>
      <c r="E241" s="11" t="s">
        <v>1010</v>
      </c>
      <c r="F241" s="11" t="n">
        <v>1</v>
      </c>
      <c r="G241" s="11" t="s">
        <v>916</v>
      </c>
      <c r="H241" s="63" t="n">
        <v>800000</v>
      </c>
      <c r="I241" s="11" t="n">
        <v>0</v>
      </c>
      <c r="J241" s="27" t="s">
        <v>1011</v>
      </c>
      <c r="K241" s="11" t="s">
        <v>60</v>
      </c>
      <c r="L241" s="11" t="str">
        <f aca="false">LEFT(K241,1)</f>
        <v>J</v>
      </c>
    </row>
    <row r="242" customFormat="false" ht="15" hidden="false" customHeight="true" outlineLevel="0" collapsed="false">
      <c r="A242" s="11" t="s">
        <v>1041</v>
      </c>
      <c r="B242" s="11" t="s">
        <v>1008</v>
      </c>
      <c r="C242" s="11" t="s">
        <v>1009</v>
      </c>
      <c r="D242" s="11" t="n">
        <v>461</v>
      </c>
      <c r="E242" s="11" t="s">
        <v>1012</v>
      </c>
      <c r="F242" s="11" t="n">
        <v>1</v>
      </c>
      <c r="G242" s="11" t="s">
        <v>916</v>
      </c>
      <c r="H242" s="63" t="n">
        <v>800000</v>
      </c>
      <c r="I242" s="11" t="n">
        <v>0</v>
      </c>
      <c r="J242" s="27" t="s">
        <v>1013</v>
      </c>
      <c r="K242" s="11" t="s">
        <v>60</v>
      </c>
      <c r="L242" s="11" t="str">
        <f aca="false">LEFT(K242,1)</f>
        <v>J</v>
      </c>
    </row>
    <row r="243" customFormat="false" ht="15" hidden="false" customHeight="true" outlineLevel="0" collapsed="false">
      <c r="A243" s="11" t="s">
        <v>1041</v>
      </c>
      <c r="B243" s="11" t="s">
        <v>1008</v>
      </c>
      <c r="C243" s="11" t="s">
        <v>1009</v>
      </c>
      <c r="D243" s="11" t="n">
        <v>460</v>
      </c>
      <c r="E243" s="11" t="s">
        <v>1014</v>
      </c>
      <c r="F243" s="11" t="n">
        <v>1</v>
      </c>
      <c r="G243" s="11" t="s">
        <v>916</v>
      </c>
      <c r="H243" s="63" t="n">
        <v>1000000</v>
      </c>
      <c r="I243" s="11" t="n">
        <v>0</v>
      </c>
      <c r="J243" s="11" t="s">
        <v>1015</v>
      </c>
      <c r="K243" s="11" t="s">
        <v>60</v>
      </c>
      <c r="L243" s="11" t="str">
        <f aca="false">LEFT(K243,1)</f>
        <v>J</v>
      </c>
    </row>
    <row r="244" customFormat="false" ht="15" hidden="false" customHeight="true" outlineLevel="0" collapsed="false">
      <c r="A244" s="11" t="s">
        <v>1041</v>
      </c>
      <c r="B244" s="11" t="s">
        <v>1008</v>
      </c>
      <c r="C244" s="11" t="s">
        <v>1009</v>
      </c>
      <c r="D244" s="11" t="n">
        <v>453</v>
      </c>
      <c r="E244" s="11" t="s">
        <v>1308</v>
      </c>
      <c r="F244" s="11" t="n">
        <v>1</v>
      </c>
      <c r="G244" s="11" t="s">
        <v>916</v>
      </c>
      <c r="H244" s="63" t="n">
        <v>450000</v>
      </c>
      <c r="I244" s="11" t="n">
        <v>0</v>
      </c>
      <c r="J244" s="27" t="s">
        <v>1309</v>
      </c>
      <c r="K244" s="11" t="s">
        <v>60</v>
      </c>
      <c r="L244" s="11" t="str">
        <f aca="false">LEFT(K244,1)</f>
        <v>J</v>
      </c>
    </row>
    <row r="245" customFormat="false" ht="15" hidden="false" customHeight="true" outlineLevel="0" collapsed="false">
      <c r="A245" s="11" t="s">
        <v>1041</v>
      </c>
      <c r="B245" s="11" t="s">
        <v>1008</v>
      </c>
      <c r="C245" s="11" t="s">
        <v>1009</v>
      </c>
      <c r="D245" s="11" t="n">
        <v>462</v>
      </c>
      <c r="E245" s="11" t="s">
        <v>1310</v>
      </c>
      <c r="F245" s="11" t="n">
        <v>1</v>
      </c>
      <c r="G245" s="11" t="s">
        <v>916</v>
      </c>
      <c r="H245" s="63" t="n">
        <v>250000</v>
      </c>
      <c r="I245" s="11" t="n">
        <v>0</v>
      </c>
      <c r="J245" s="11" t="s">
        <v>1311</v>
      </c>
      <c r="K245" s="11" t="s">
        <v>60</v>
      </c>
      <c r="L245" s="11" t="str">
        <f aca="false">LEFT(K245,1)</f>
        <v>J</v>
      </c>
    </row>
    <row r="246" customFormat="false" ht="15" hidden="false" customHeight="true" outlineLevel="0" collapsed="false">
      <c r="A246" s="11" t="s">
        <v>1041</v>
      </c>
      <c r="B246" s="11" t="s">
        <v>1008</v>
      </c>
      <c r="C246" s="11" t="s">
        <v>1009</v>
      </c>
      <c r="D246" s="11" t="n">
        <v>458</v>
      </c>
      <c r="E246" s="11" t="s">
        <v>1312</v>
      </c>
      <c r="F246" s="11" t="n">
        <v>1</v>
      </c>
      <c r="G246" s="11" t="s">
        <v>916</v>
      </c>
      <c r="H246" s="63" t="n">
        <v>300000</v>
      </c>
      <c r="I246" s="11" t="n">
        <v>0</v>
      </c>
      <c r="J246" s="11" t="s">
        <v>1313</v>
      </c>
      <c r="K246" s="11" t="s">
        <v>60</v>
      </c>
      <c r="L246" s="11" t="str">
        <f aca="false">LEFT(K246,1)</f>
        <v>J</v>
      </c>
    </row>
    <row r="247" customFormat="false" ht="15" hidden="false" customHeight="true" outlineLevel="0" collapsed="false">
      <c r="A247" s="11" t="s">
        <v>1041</v>
      </c>
      <c r="B247" s="11" t="s">
        <v>1008</v>
      </c>
      <c r="C247" s="11" t="s">
        <v>1009</v>
      </c>
      <c r="D247" s="11" t="n">
        <v>454</v>
      </c>
      <c r="E247" s="11" t="s">
        <v>1016</v>
      </c>
      <c r="F247" s="11" t="n">
        <v>1</v>
      </c>
      <c r="G247" s="11" t="s">
        <v>916</v>
      </c>
      <c r="H247" s="63" t="n">
        <v>300000</v>
      </c>
      <c r="I247" s="11" t="n">
        <v>0</v>
      </c>
      <c r="J247" s="27" t="s">
        <v>1017</v>
      </c>
      <c r="K247" s="11" t="s">
        <v>60</v>
      </c>
      <c r="L247" s="11" t="str">
        <f aca="false">LEFT(K247,1)</f>
        <v>J</v>
      </c>
    </row>
    <row r="248" customFormat="false" ht="15" hidden="false" customHeight="true" outlineLevel="0" collapsed="false">
      <c r="A248" s="11" t="s">
        <v>1041</v>
      </c>
      <c r="B248" s="11" t="s">
        <v>1018</v>
      </c>
      <c r="C248" s="11" t="s">
        <v>1019</v>
      </c>
      <c r="D248" s="11" t="n">
        <v>0</v>
      </c>
      <c r="E248" s="11" t="s">
        <v>1020</v>
      </c>
      <c r="F248" s="11" t="n">
        <v>1</v>
      </c>
      <c r="G248" s="11" t="s">
        <v>916</v>
      </c>
      <c r="H248" s="63" t="n">
        <v>383032.469415126</v>
      </c>
      <c r="I248" s="11" t="n">
        <v>0</v>
      </c>
      <c r="J248" s="11"/>
      <c r="K248" s="11" t="s">
        <v>64</v>
      </c>
      <c r="L248" s="11" t="str">
        <f aca="false">LEFT(K248,1)</f>
        <v>L</v>
      </c>
    </row>
    <row r="249" customFormat="false" ht="15" hidden="false" customHeight="true" outlineLevel="0" collapsed="false">
      <c r="A249" s="11" t="s">
        <v>1041</v>
      </c>
      <c r="B249" s="11" t="s">
        <v>1018</v>
      </c>
      <c r="C249" s="11" t="s">
        <v>1019</v>
      </c>
      <c r="D249" s="11" t="n">
        <v>205</v>
      </c>
      <c r="E249" s="11" t="s">
        <v>1314</v>
      </c>
      <c r="F249" s="11" t="n">
        <v>1</v>
      </c>
      <c r="G249" s="11" t="s">
        <v>916</v>
      </c>
      <c r="H249" s="63" t="n">
        <v>184571.23</v>
      </c>
      <c r="I249" s="11" t="n">
        <v>0</v>
      </c>
      <c r="J249" s="11" t="s">
        <v>1291</v>
      </c>
      <c r="K249" s="11" t="s">
        <v>64</v>
      </c>
      <c r="L249" s="11" t="str">
        <f aca="false">LEFT(K249,1)</f>
        <v>L</v>
      </c>
    </row>
    <row r="250" customFormat="false" ht="15" hidden="false" customHeight="true" outlineLevel="0" collapsed="false">
      <c r="A250" s="11" t="s">
        <v>1041</v>
      </c>
      <c r="B250" s="11" t="s">
        <v>1018</v>
      </c>
      <c r="C250" s="11" t="s">
        <v>1021</v>
      </c>
      <c r="D250" s="11" t="n">
        <v>0</v>
      </c>
      <c r="E250" s="11" t="s">
        <v>1022</v>
      </c>
      <c r="F250" s="11" t="n">
        <v>1</v>
      </c>
      <c r="G250" s="11" t="s">
        <v>916</v>
      </c>
      <c r="H250" s="63" t="n">
        <v>172916.860855588</v>
      </c>
      <c r="I250" s="11" t="n">
        <v>0</v>
      </c>
      <c r="J250" s="11"/>
      <c r="K250" s="11" t="s">
        <v>64</v>
      </c>
      <c r="L250" s="11" t="str">
        <f aca="false">LEFT(K250,1)</f>
        <v>L</v>
      </c>
    </row>
    <row r="251" customFormat="false" ht="15" hidden="false" customHeight="true" outlineLevel="0" collapsed="false">
      <c r="A251" s="11" t="s">
        <v>1041</v>
      </c>
      <c r="B251" s="11" t="s">
        <v>1018</v>
      </c>
      <c r="C251" s="11" t="s">
        <v>1021</v>
      </c>
      <c r="D251" s="11" t="n">
        <v>206</v>
      </c>
      <c r="E251" s="11" t="s">
        <v>1315</v>
      </c>
      <c r="F251" s="11" t="n">
        <v>1</v>
      </c>
      <c r="G251" s="11" t="s">
        <v>916</v>
      </c>
      <c r="H251" s="63" t="n">
        <v>6753.86</v>
      </c>
      <c r="I251" s="11" t="n">
        <v>0</v>
      </c>
      <c r="J251" s="11" t="s">
        <v>1291</v>
      </c>
      <c r="K251" s="11" t="s">
        <v>64</v>
      </c>
      <c r="L251" s="11" t="str">
        <f aca="false">LEFT(K251,1)</f>
        <v>L</v>
      </c>
    </row>
    <row r="252" customFormat="false" ht="15" hidden="false" customHeight="true" outlineLevel="0" collapsed="false">
      <c r="A252" s="11" t="s">
        <v>1041</v>
      </c>
      <c r="B252" s="11" t="s">
        <v>1018</v>
      </c>
      <c r="C252" s="11" t="s">
        <v>1023</v>
      </c>
      <c r="D252" s="11" t="n">
        <v>0</v>
      </c>
      <c r="E252" s="11" t="s">
        <v>1024</v>
      </c>
      <c r="F252" s="11" t="n">
        <v>1</v>
      </c>
      <c r="G252" s="11" t="s">
        <v>916</v>
      </c>
      <c r="H252" s="63" t="n">
        <v>166272.451844131</v>
      </c>
      <c r="I252" s="11" t="n">
        <v>0</v>
      </c>
      <c r="J252" s="11"/>
      <c r="K252" s="11" t="s">
        <v>64</v>
      </c>
      <c r="L252" s="11" t="str">
        <f aca="false">LEFT(K252,1)</f>
        <v>L</v>
      </c>
    </row>
    <row r="253" customFormat="false" ht="15" hidden="false" customHeight="true" outlineLevel="0" collapsed="false">
      <c r="A253" s="11" t="s">
        <v>1041</v>
      </c>
      <c r="B253" s="11" t="s">
        <v>1018</v>
      </c>
      <c r="C253" s="11" t="s">
        <v>1023</v>
      </c>
      <c r="D253" s="11" t="n">
        <v>207</v>
      </c>
      <c r="E253" s="11" t="s">
        <v>1316</v>
      </c>
      <c r="F253" s="11" t="n">
        <v>1</v>
      </c>
      <c r="G253" s="11" t="s">
        <v>916</v>
      </c>
      <c r="H253" s="63" t="n">
        <v>743486.83</v>
      </c>
      <c r="I253" s="11" t="n">
        <v>0</v>
      </c>
      <c r="J253" s="11" t="s">
        <v>1291</v>
      </c>
      <c r="K253" s="11" t="s">
        <v>64</v>
      </c>
      <c r="L253" s="11" t="str">
        <f aca="false">LEFT(K253,1)</f>
        <v>L</v>
      </c>
    </row>
    <row r="254" customFormat="false" ht="15" hidden="false" customHeight="true" outlineLevel="0" collapsed="false">
      <c r="A254" s="11" t="s">
        <v>1041</v>
      </c>
      <c r="B254" s="11" t="s">
        <v>1018</v>
      </c>
      <c r="C254" s="11" t="s">
        <v>1025</v>
      </c>
      <c r="D254" s="11" t="n">
        <v>0</v>
      </c>
      <c r="E254" s="11" t="s">
        <v>1026</v>
      </c>
      <c r="F254" s="11" t="n">
        <v>1</v>
      </c>
      <c r="G254" s="11" t="s">
        <v>916</v>
      </c>
      <c r="H254" s="63" t="n">
        <v>3956889.9874656</v>
      </c>
      <c r="I254" s="11" t="n">
        <v>0</v>
      </c>
      <c r="J254" s="11"/>
      <c r="K254" s="11" t="s">
        <v>64</v>
      </c>
      <c r="L254" s="11" t="str">
        <f aca="false">LEFT(K254,1)</f>
        <v>L</v>
      </c>
    </row>
    <row r="255" customFormat="false" ht="15" hidden="false" customHeight="true" outlineLevel="0" collapsed="false">
      <c r="A255" s="11" t="s">
        <v>1041</v>
      </c>
      <c r="B255" s="11" t="s">
        <v>1018</v>
      </c>
      <c r="C255" s="11" t="s">
        <v>1025</v>
      </c>
      <c r="D255" s="11" t="n">
        <v>209</v>
      </c>
      <c r="E255" s="11" t="s">
        <v>1317</v>
      </c>
      <c r="F255" s="11" t="n">
        <v>1</v>
      </c>
      <c r="G255" s="11" t="s">
        <v>916</v>
      </c>
      <c r="H255" s="63" t="n">
        <v>828937.32</v>
      </c>
      <c r="I255" s="11" t="n">
        <v>0</v>
      </c>
      <c r="J255" s="11" t="s">
        <v>1291</v>
      </c>
      <c r="K255" s="11" t="s">
        <v>64</v>
      </c>
      <c r="L255" s="11" t="str">
        <f aca="false">LEFT(K255,1)</f>
        <v>L</v>
      </c>
    </row>
    <row r="256" customFormat="false" ht="15" hidden="false" customHeight="true" outlineLevel="0" collapsed="false">
      <c r="A256" s="11" t="s">
        <v>1041</v>
      </c>
      <c r="B256" s="11" t="s">
        <v>1018</v>
      </c>
      <c r="C256" s="11" t="s">
        <v>1027</v>
      </c>
      <c r="D256" s="11" t="n">
        <v>0</v>
      </c>
      <c r="E256" s="11" t="s">
        <v>1028</v>
      </c>
      <c r="F256" s="11" t="n">
        <v>1</v>
      </c>
      <c r="G256" s="11" t="s">
        <v>916</v>
      </c>
      <c r="H256" s="63" t="n">
        <v>335913.465393555</v>
      </c>
      <c r="I256" s="11" t="n">
        <v>0</v>
      </c>
      <c r="J256" s="11"/>
      <c r="K256" s="11" t="s">
        <v>64</v>
      </c>
      <c r="L256" s="11" t="str">
        <f aca="false">LEFT(K256,1)</f>
        <v>L</v>
      </c>
    </row>
    <row r="257" customFormat="false" ht="15" hidden="false" customHeight="true" outlineLevel="0" collapsed="false">
      <c r="A257" s="11" t="s">
        <v>1041</v>
      </c>
      <c r="B257" s="11" t="s">
        <v>1018</v>
      </c>
      <c r="C257" s="11" t="s">
        <v>1027</v>
      </c>
      <c r="D257" s="11" t="n">
        <v>210</v>
      </c>
      <c r="E257" s="11" t="s">
        <v>1318</v>
      </c>
      <c r="F257" s="11" t="n">
        <v>1</v>
      </c>
      <c r="G257" s="11" t="s">
        <v>916</v>
      </c>
      <c r="H257" s="63" t="n">
        <v>33204.45</v>
      </c>
      <c r="I257" s="11" t="n">
        <v>0</v>
      </c>
      <c r="J257" s="11" t="s">
        <v>1291</v>
      </c>
      <c r="K257" s="11" t="s">
        <v>64</v>
      </c>
      <c r="L257" s="11" t="str">
        <f aca="false">LEFT(K257,1)</f>
        <v>L</v>
      </c>
    </row>
    <row r="258" customFormat="false" ht="15" hidden="false" customHeight="true" outlineLevel="0" collapsed="false">
      <c r="A258" s="11" t="s">
        <v>1041</v>
      </c>
      <c r="B258" s="11" t="s">
        <v>1018</v>
      </c>
      <c r="C258" s="11" t="s">
        <v>1029</v>
      </c>
      <c r="D258" s="11" t="n">
        <v>0</v>
      </c>
      <c r="E258" s="11" t="s">
        <v>1030</v>
      </c>
      <c r="F258" s="11" t="n">
        <v>1</v>
      </c>
      <c r="G258" s="11" t="s">
        <v>916</v>
      </c>
      <c r="H258" s="63" t="n">
        <v>0</v>
      </c>
      <c r="I258" s="11" t="n">
        <v>0</v>
      </c>
      <c r="J258" s="11"/>
      <c r="K258" s="11" t="s">
        <v>64</v>
      </c>
      <c r="L258" s="11" t="str">
        <f aca="false">LEFT(K258,1)</f>
        <v>L</v>
      </c>
    </row>
    <row r="259" customFormat="false" ht="15" hidden="false" customHeight="true" outlineLevel="0" collapsed="false">
      <c r="A259" s="11" t="s">
        <v>1041</v>
      </c>
      <c r="B259" s="11" t="s">
        <v>1018</v>
      </c>
      <c r="C259" s="11" t="s">
        <v>1029</v>
      </c>
      <c r="D259" s="11" t="n">
        <v>212</v>
      </c>
      <c r="E259" s="11" t="s">
        <v>1319</v>
      </c>
      <c r="F259" s="11" t="n">
        <v>1</v>
      </c>
      <c r="G259" s="11" t="s">
        <v>916</v>
      </c>
      <c r="H259" s="63" t="n">
        <v>69243.95</v>
      </c>
      <c r="I259" s="11" t="n">
        <v>0</v>
      </c>
      <c r="J259" s="11" t="s">
        <v>1291</v>
      </c>
      <c r="K259" s="11" t="s">
        <v>64</v>
      </c>
      <c r="L259" s="11" t="str">
        <f aca="false">LEFT(K259,1)</f>
        <v>L</v>
      </c>
    </row>
    <row r="260" customFormat="false" ht="15" hidden="false" customHeight="true" outlineLevel="0" collapsed="false">
      <c r="A260" s="11" t="s">
        <v>1041</v>
      </c>
      <c r="B260" s="11" t="s">
        <v>1018</v>
      </c>
      <c r="C260" s="11" t="s">
        <v>1031</v>
      </c>
      <c r="D260" s="11" t="n">
        <v>0</v>
      </c>
      <c r="E260" s="11" t="s">
        <v>1032</v>
      </c>
      <c r="F260" s="11" t="n">
        <v>1</v>
      </c>
      <c r="G260" s="11" t="s">
        <v>916</v>
      </c>
      <c r="H260" s="63" t="n">
        <v>641900.223058441</v>
      </c>
      <c r="I260" s="11" t="n">
        <v>0</v>
      </c>
      <c r="J260" s="11"/>
      <c r="K260" s="11" t="s">
        <v>64</v>
      </c>
      <c r="L260" s="11" t="str">
        <f aca="false">LEFT(K260,1)</f>
        <v>L</v>
      </c>
    </row>
    <row r="261" customFormat="false" ht="15" hidden="false" customHeight="true" outlineLevel="0" collapsed="false">
      <c r="A261" s="11" t="s">
        <v>1041</v>
      </c>
      <c r="B261" s="11" t="s">
        <v>1018</v>
      </c>
      <c r="C261" s="11" t="s">
        <v>1031</v>
      </c>
      <c r="D261" s="11" t="n">
        <v>213</v>
      </c>
      <c r="E261" s="11" t="s">
        <v>1320</v>
      </c>
      <c r="F261" s="11" t="n">
        <v>1</v>
      </c>
      <c r="G261" s="11" t="s">
        <v>916</v>
      </c>
      <c r="H261" s="63" t="n">
        <v>95912.21</v>
      </c>
      <c r="I261" s="11" t="n">
        <v>0</v>
      </c>
      <c r="J261" s="11" t="s">
        <v>1291</v>
      </c>
      <c r="K261" s="11" t="s">
        <v>64</v>
      </c>
      <c r="L261" s="11" t="str">
        <f aca="false">LEFT(K261,1)</f>
        <v>L</v>
      </c>
    </row>
    <row r="262" customFormat="false" ht="15" hidden="false" customHeight="true" outlineLevel="0" collapsed="false">
      <c r="A262" s="11" t="s">
        <v>1041</v>
      </c>
      <c r="B262" s="11" t="s">
        <v>1018</v>
      </c>
      <c r="C262" s="11" t="s">
        <v>1033</v>
      </c>
      <c r="D262" s="11" t="n">
        <v>0</v>
      </c>
      <c r="E262" s="11" t="s">
        <v>1034</v>
      </c>
      <c r="F262" s="11" t="n">
        <v>1</v>
      </c>
      <c r="G262" s="11" t="s">
        <v>916</v>
      </c>
      <c r="H262" s="63" t="n">
        <v>443511.280375409</v>
      </c>
      <c r="I262" s="11" t="n">
        <v>0</v>
      </c>
      <c r="J262" s="11"/>
      <c r="K262" s="11" t="s">
        <v>64</v>
      </c>
      <c r="L262" s="11" t="str">
        <f aca="false">LEFT(K262,1)</f>
        <v>L</v>
      </c>
    </row>
    <row r="263" customFormat="false" ht="15" hidden="false" customHeight="true" outlineLevel="0" collapsed="false">
      <c r="A263" s="11" t="s">
        <v>1041</v>
      </c>
      <c r="B263" s="11" t="s">
        <v>1018</v>
      </c>
      <c r="C263" s="11" t="s">
        <v>1033</v>
      </c>
      <c r="D263" s="11" t="n">
        <v>214</v>
      </c>
      <c r="E263" s="11" t="s">
        <v>1321</v>
      </c>
      <c r="F263" s="11" t="n">
        <v>1</v>
      </c>
      <c r="G263" s="11" t="s">
        <v>916</v>
      </c>
      <c r="H263" s="63" t="n">
        <v>2125.77</v>
      </c>
      <c r="I263" s="11" t="n">
        <v>0</v>
      </c>
      <c r="J263" s="11" t="s">
        <v>1291</v>
      </c>
      <c r="K263" s="11" t="s">
        <v>64</v>
      </c>
      <c r="L263" s="11" t="str">
        <f aca="false">LEFT(K263,1)</f>
        <v>L</v>
      </c>
    </row>
    <row r="264" customFormat="false" ht="15" hidden="false" customHeight="true" outlineLevel="0" collapsed="false">
      <c r="A264" s="11" t="s">
        <v>1041</v>
      </c>
      <c r="B264" s="11" t="s">
        <v>1035</v>
      </c>
      <c r="C264" s="11" t="s">
        <v>1036</v>
      </c>
      <c r="D264" s="11" t="n">
        <v>174</v>
      </c>
      <c r="E264" s="11" t="s">
        <v>1037</v>
      </c>
      <c r="F264" s="11" t="n">
        <v>1</v>
      </c>
      <c r="G264" s="11" t="s">
        <v>916</v>
      </c>
      <c r="H264" s="63" t="n">
        <v>4680899.19441448</v>
      </c>
      <c r="I264" s="11" t="n">
        <v>0</v>
      </c>
      <c r="J264" s="11" t="s">
        <v>1291</v>
      </c>
      <c r="K264" s="11" t="s">
        <v>66</v>
      </c>
      <c r="L264" s="11" t="str">
        <f aca="false">LEFT(K264,1)</f>
        <v>M</v>
      </c>
    </row>
    <row r="265" customFormat="false" ht="15" hidden="false" customHeight="true" outlineLevel="0" collapsed="false">
      <c r="A265" s="11" t="s">
        <v>1041</v>
      </c>
      <c r="B265" s="11" t="s">
        <v>1038</v>
      </c>
      <c r="C265" s="11" t="s">
        <v>1039</v>
      </c>
      <c r="D265" s="11" t="n">
        <v>217</v>
      </c>
      <c r="E265" s="11" t="s">
        <v>1040</v>
      </c>
      <c r="F265" s="11" t="n">
        <v>1</v>
      </c>
      <c r="G265" s="11" t="s">
        <v>916</v>
      </c>
      <c r="H265" s="63" t="n">
        <v>2283517</v>
      </c>
      <c r="I265" s="11" t="n">
        <v>0</v>
      </c>
      <c r="J265" s="11"/>
      <c r="K265" s="11" t="s">
        <v>62</v>
      </c>
      <c r="L265" s="11" t="str">
        <f aca="false">LEFT(K265,1)</f>
        <v>K</v>
      </c>
    </row>
    <row r="266" customFormat="false" ht="15" hidden="false" customHeight="true" outlineLevel="0" collapsed="false">
      <c r="G266" s="3" t="s">
        <v>1322</v>
      </c>
      <c r="H266" s="15" t="n">
        <f aca="false">SUM(H2:H265)</f>
        <v>57247543.9342415</v>
      </c>
    </row>
  </sheetData>
  <autoFilter ref="A1:L2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2026-09-29T17:48:53Z</dcterms:created>
  <dc:creator>openpyxl</dc:creator>
  <dc:description/>
  <dc:language>en-US</dc:language>
  <cp:lastModifiedBy/>
  <dcterms:modified xsi:type="dcterms:W3CDTF">2026-10-02T21:12:25Z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