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5.xml.rels" ContentType="application/vnd.openxmlformats-package.relationships+xml"/>
  <Override PartName="/xl/worksheets/_rels/sheet9.xml.rels" ContentType="application/vnd.openxmlformats-package.relationships+xml"/>
  <Override PartName="/xl/worksheets/_rels/sheet2.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vmlDrawing1.vml" ContentType="application/vnd.openxmlformats-officedocument.vmlDrawing"/>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Layers" sheetId="2" state="visible" r:id="rId4"/>
    <sheet name="Unit Costs" sheetId="3" state="visible" r:id="rId5"/>
    <sheet name="Timeline" sheetId="4" state="visible" r:id="rId6"/>
    <sheet name="Sept 2026 Walk" sheetId="5" state="visible" r:id="rId7"/>
    <sheet name="2023 Indicative" sheetId="6" state="visible" r:id="rId8"/>
    <sheet name="Benchmarks" sheetId="7" state="visible" r:id="rId9"/>
    <sheet name="Cost Curve" sheetId="8" state="visible" r:id="rId10"/>
    <sheet name="Public Projects" sheetId="9" state="visible" r:id="rId11"/>
    <sheet name="2026$ Adjustment" sheetId="10" state="visible" r:id="rId12"/>
    <sheet name="Layer Escalators" sheetId="11" state="visible" r:id="rId13"/>
    <sheet name="Statistics" sheetId="12" state="visible" r:id="rId14"/>
    <sheet name="Savings Register" sheetId="13" state="visible" r:id="rId15"/>
    <sheet name="Scope Challenge" sheetId="14" state="visible" r:id="rId16"/>
    <sheet name="Line Items" sheetId="15" state="visible" r:id="rId17"/>
  </sheets>
  <definedNames>
    <definedName function="false" hidden="true" localSheetId="14" name="_xlnm._FilterDatabase" vbProcedure="false">'Line Items'!$A$1:$L$265</definedName>
    <definedName function="false" hidden="true" localSheetId="8" name="_xlnm._FilterDatabase" vbProcedure="false">'Public Projects'!$A$3:$S$106</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B24" authorId="0">
      <text>
        <r>
          <rPr>
            <sz val="10"/>
            <rFont val="Arial"/>
            <family val="2"/>
          </rPr>
          <t xml:space="preserve">Solution Selection Form, approved SDC 2/15/2024: 'Conceptual (-25%/+50%) Distribution Scope Cost Estimate: $4.793 million'. Partial funding of $2,085K approved MPAC 8/5/2024. Scope: 5,465 ft circuit extension, 3 manholes, 1,270 ft 6-5in duct bank, 16,395 ft 3-700 cable.</t>
        </r>
      </text>
    </comment>
    <comment ref="B26" authorId="0">
      <text>
        <r>
          <rPr>
            <sz val="10"/>
            <rFont val="Arial"/>
            <family val="2"/>
          </rPr>
          <t xml:space="preserve">Rev 3 note on seq 432: 'cover agreement dated 12/6/25 = $11,860,850 minus actual cost and downpayment $1,213,042.82, total = $10,647,808'. Line carries $11,778,062, i.e. 10.6% escalation on a price that Exhibit C fixes until Final Acceptance. The $246,000 labor portion of the SOV is not visible on a separate line.</t>
        </r>
      </text>
    </comment>
  </commentList>
</comments>
</file>

<file path=xl/sharedStrings.xml><?xml version="1.0" encoding="utf-8"?>
<sst xmlns="http://schemas.openxmlformats.org/spreadsheetml/2006/main" count="4367" uniqueCount="2002">
  <si>
    <t xml:space="preserve">Hyde Park BESS (Project 21334 / 24211) - Cost Analysis Workbook</t>
  </si>
  <si>
    <t xml:space="preserve">Purpose</t>
  </si>
  <si>
    <t xml:space="preserve">Traceable data source behind the Cost Analysis deck, Basis of Estimate and all-in cost whitepaper. Every number on a slide ties to a cell here.</t>
  </si>
  <si>
    <t xml:space="preserve">Prepared</t>
  </si>
  <si>
    <t xml:space="preserve">Eversource Cost Estimating CoE, 29 Sep 2026. Source of record: ESF - Hyde Park BESS Total Rev 3.xlsm (24 Sep 2026), Item and Overview tabs.</t>
  </si>
  <si>
    <t xml:space="preserve">Convention</t>
  </si>
  <si>
    <t xml:space="preserve">Blue font = input value keyed from a source document (editable). Black = formula. Navy header = section. Gold fill = headline metric.</t>
  </si>
  <si>
    <t xml:space="preserve">Tab: Layers</t>
  </si>
  <si>
    <t xml:space="preserve">Rev 3 line items rolled into 13 cost layers (A-M). Directs are as-estimated; the 'Loaded' column spreads Station 360 risk, contingency, indirects and AFUDC pro rata over direct layers so each layer carries its full share of the approval-level total.</t>
  </si>
  <si>
    <t xml:space="preserve">Tab: Unit Costs</t>
  </si>
  <si>
    <t xml:space="preserve">$/kW and $/kWh at each boundary: vendor contract only, battery system installed, station complete, all-in approval level, and all-in including the D-Line interconnection (24211).</t>
  </si>
  <si>
    <t xml:space="preserve">Tab: Timeline</t>
  </si>
  <si>
    <t xml:space="preserve">Every funding action, estimate and vendor price point from the 2021 IFR to Rev 3, with basis and in-service date drift.</t>
  </si>
  <si>
    <t xml:space="preserve">Tab: Sept 2026 Walk</t>
  </si>
  <si>
    <t xml:space="preserve">Rev 0 -&gt; Rev 1 -&gt; Rev 2 -&gt; Rev 3 variance walk from the ESF revisions and the 9/1-9/23/2026 email record.</t>
  </si>
  <si>
    <t xml:space="preserve">Tab: Benchmarks</t>
  </si>
  <si>
    <t xml:space="preserve">Published industry benchmarks with metric definition, dollar year and duration. Source quality tier: green = primary, yellow = secondary.</t>
  </si>
  <si>
    <t xml:space="preserve">Tab: 2023 Indicative</t>
  </si>
  <si>
    <t xml:space="preserve">July 2023 five-bidder indicative pricing (Site Two = Hyde Park 10 MW/20 MWh) and what each excluded.</t>
  </si>
  <si>
    <t xml:space="preserve">Tab: Line Items</t>
  </si>
  <si>
    <t xml:space="preserve">All 292 Rev 3 line items with the layer assignment used for the roll-up. Change a layer letter in column K and the Layers tab recalculates.</t>
  </si>
  <si>
    <t xml:space="preserve">Vintage / escalation</t>
  </si>
  <si>
    <t xml:space="preserve">Rev 3 carries $2,948,100 of escalation (ESF Overview). Battery line escalated at 3%/yr to 2027-28 delivery even though the Nomad price is fixed until Final Acceptance; see BOE section 'Escalation'.</t>
  </si>
  <si>
    <t xml:space="preserve">Accuracy</t>
  </si>
  <si>
    <t xml:space="preserve">Rev 3 is classed Conceptual (-25% / +50%) on the ESF. Sta 360 preliminary engineering is in progress (Sep 2026); IFC expected Aug 2027.</t>
  </si>
  <si>
    <t xml:space="preserve">Cost Curve</t>
  </si>
  <si>
    <t xml:space="preserve">Industry installed-cost series 2015-2035 as published (EIA, BNEF, NREL), Hyde Park points, the 2-h / 10 MW adjustment, the escalation carried in Rev 3 and the common-dollar comparison (deck slides 10-11). Added 2 Oct 2026.</t>
  </si>
  <si>
    <t xml:space="preserve">Tab: Public Projects</t>
  </si>
  <si>
    <t xml:space="preserve">103 public project costs compiled 29 Sep to 3 Oct 2026 (81 used in the regression; exclusions and reasons in column N). $/kWh, $/kW and duration are formulas.</t>
  </si>
  <si>
    <t xml:space="preserve">Tab: Statistics</t>
  </si>
  <si>
    <t xml:space="preserve">Reference-class, regression and Monte Carlo results as values, with the model parameters. See the Statistical Benchmarking Memo for method and limits.</t>
  </si>
  <si>
    <t xml:space="preserve">Tab: 2026$ Adjustment</t>
  </si>
  <si>
    <t xml:space="preserve">Dollar-year adjustment of the reference-class comparables to 2026 under five battery indices (selector B6) with fixed quantities: anchor battery shares by owner (B4, B5, at the B7 anchor year) back-cast to each project's own year, Handy-Whitman on the remainder; medians, Hyde Park percentiles, the superseded fixed-share factor and the naive whole-cost deflation; New York cohort. Deck slides 12-16. Revised 5 Oct 2026.</t>
  </si>
  <si>
    <t xml:space="preserve">Tab: Layer Escalators</t>
  </si>
  <si>
    <t xml:space="preserve">One published index per cost layer (IBEW 103 labor, PPI transformers, PPI switchgear, ENR CCI, PPI engineering services, Handy-Whitman) with Hyde Park and developer weights, the composite 2018-to-2026 factor, and the 55-project class under seven re-basing methods. Deck slides 17-18. Added 3 Oct 2026.</t>
  </si>
  <si>
    <t xml:space="preserve">Tab: Savings Register</t>
  </si>
  <si>
    <t xml:space="preserve">Cost-saving levers in three tiers sized from the Rev 3 rows, direct and loaded at the marginal loader, with owner, closing condition and evidence; Station 496 relay detail; Section 48E assumptions. Deck slides 27-29. Added 3 Oct 2026; levers B5-B8 revised 5 Oct 2026.</t>
  </si>
  <si>
    <t xml:space="preserve">Tab: Scope Challenge</t>
  </si>
  <si>
    <t xml:space="preserve">Layer-by-layer scope challenge (what the function requires against what Rev 3 carries), reductions and exposures, the cost cases and the five-gate containment plan. Deck slides 30-33. Added 5 Oct 2026.</t>
  </si>
  <si>
    <t xml:space="preserve">Cost layers - ESF Total Rev 3 (24 Sep 2026), Project 21334 (Sta 360 + Sta 496)</t>
  </si>
  <si>
    <t xml:space="preserve">Directs by layer are SUMIFS over the Line Items tab. Loaded = Station 360 direct layers x load factor (risk + contingency + indirects + AFUDC spread pro rata); Station 496 is carried whole as an interconnection cost.</t>
  </si>
  <si>
    <t xml:space="preserve">Layer</t>
  </si>
  <si>
    <t xml:space="preserve">Direct ($)</t>
  </si>
  <si>
    <t xml:space="preserve">% of total</t>
  </si>
  <si>
    <t xml:space="preserve">Loaded ($)</t>
  </si>
  <si>
    <t xml:space="preserve">% of loaded</t>
  </si>
  <si>
    <t xml:space="preserve">Cumulative loaded ($)</t>
  </si>
  <si>
    <t xml:space="preserve">What it is</t>
  </si>
  <si>
    <t xml:space="preserve">A. Battery supply contract (Nomad)</t>
  </si>
  <si>
    <t xml:space="preserve">Nomad fixed-price supply contract $12,106,850 (12 Voyager 3.0 LFP units, PCS, BMS, fire protection, 10-yr warranty, spares, remote support) as carried in Rev 3: $1,213,043 actual LNTP payments + $11,778,062 to-go (escalated).</t>
  </si>
  <si>
    <t xml:space="preserve">B. Battery installation &amp; integration (owner scope)</t>
  </si>
  <si>
    <t xml:space="preserve">Owner-scope work that exists only because of the batteries: 5,557 mh installation labor, 12 foundation pads, fire suppression, GSU-to-BESS conduit and 600 V cable.</t>
  </si>
  <si>
    <t xml:space="preserve">C. Battery balance-of-plant (GSUs, EMS/comms, aux power)</t>
  </si>
  <si>
    <t xml:space="preserve">Four 3 MVA 13.8 kV/480 V generator step-up transformers, site EMS/communications, AC/DC auxiliary power panels. Vendors often bundle these in a 'turnkey' quote; here they are owner-furnished.</t>
  </si>
  <si>
    <t xml:space="preserve">D. Station 360 13.8 kV switching &amp; interconnection facilities</t>
  </si>
  <si>
    <t xml:space="preserve">The new 13.8 kV switching station (Sta 360): four Siemens SDV7 1200 A breaker skids with relays/PTs/DC, disconnects, metering transclosures, station service transformer, riser poles, 15 kV cable, duct bank to feeder manholes, ground grid, lighting, control cable.</t>
  </si>
  <si>
    <t xml:space="preserve">E. Site development &amp; civil (former landfill site)</t>
  </si>
  <si>
    <t xml:space="preserve">Developing a 200 ft x 200 ft yard on a closed construction-debris landfill: clear and grub, 760 ft access road, 24+12 soil borings, 2,520 CY cut, imported fill, trap rock, 14 ft retaining wall, fence, mob/demob.</t>
  </si>
  <si>
    <t xml:space="preserve">F. Station 496 feeder protection upgrades (interconnection)</t>
  </si>
  <si>
    <t xml:space="preserve">Station 496 protection upgrades required to accept the BESS on four feeders: 20 SEL relays, transfer trip over dark fiber, RTU/SCADA points, removals. Carried at its full approval level incl. its own indirects/AFUDC/contingency.</t>
  </si>
  <si>
    <t xml:space="preserve">G. Testing &amp; commissioning</t>
  </si>
  <si>
    <t xml:space="preserve">Lead commissioning engineer, field test engineers, field SCADA and telecom commissioning.</t>
  </si>
  <si>
    <t xml:space="preserve">H. Owner soft costs (engineering, siting, environmental, outreach, PM, land)</t>
  </si>
  <si>
    <t xml:space="preserve">Engineering (internal and Leidos/VHB), Article 80 siting and legal, environmental permits (DEP post-closure use, SWPPP, Tier II), community outreach, project management, construction reps, land.</t>
  </si>
  <si>
    <t xml:space="preserve">I. Taxes, CWIP, builders-risk insurance</t>
  </si>
  <si>
    <t xml:space="preserve">Property tax, CWIP, sales and use tax on external material, builders all-risk insurance.</t>
  </si>
  <si>
    <t xml:space="preserve">J. Risk register</t>
  </si>
  <si>
    <t xml:space="preserve">Twelve enumerated risk items on Sta 360 (see BOE).</t>
  </si>
  <si>
    <t xml:space="preserve">K. Contingency</t>
  </si>
  <si>
    <t xml:space="preserve">General contingency on Sta 360.</t>
  </si>
  <si>
    <t xml:space="preserve">L. Indirects / overheads</t>
  </si>
  <si>
    <t xml:space="preserve">Corporate indirects: E&amp;S station overhead, general services, non-productive time, payroll benefits, AS&amp;E, MDEC, vehicles, lobby stock.</t>
  </si>
  <si>
    <t xml:space="preserve">M. AFUDC</t>
  </si>
  <si>
    <t xml:space="preserve">Allowance for funds used during construction, Sta 360.</t>
  </si>
  <si>
    <t xml:space="preserve">Total - Project 21334 approval level</t>
  </si>
  <si>
    <t xml:space="preserve">Station 360 direct layers A-E, G-I (sum)</t>
  </si>
  <si>
    <t xml:space="preserve">Load factor = (Sta 360 directs + J+K+L+M) / Sta 360 directs</t>
  </si>
  <si>
    <t xml:space="preserve">Check: loaded total less direct total (should be 0)</t>
  </si>
  <si>
    <t xml:space="preserve">Memo: D-Line interconnection, project 24211 (SSF Feb 2024 conceptual, not re-estimated)</t>
  </si>
  <si>
    <t xml:space="preserve">Memo: Nomad contract fixed price (Exhibit C, cover agreement dated 3/10/2026)</t>
  </si>
  <si>
    <t xml:space="preserve">Memo: escalation carried on the fixed-price battery line (Rev 3 line 432 less contract balance)</t>
  </si>
  <si>
    <t xml:space="preserve">Unit costs at each cost boundary (10 MW / 20 MWh, 2-hour)</t>
  </si>
  <si>
    <t xml:space="preserve">Nameplate MW</t>
  </si>
  <si>
    <t xml:space="preserve">Nameplate MWh</t>
  </si>
  <si>
    <t xml:space="preserve">Boundary</t>
  </si>
  <si>
    <t xml:space="preserve">Total ($)</t>
  </si>
  <si>
    <t xml:space="preserve">$/kW</t>
  </si>
  <si>
    <t xml:space="preserve">$/kWh</t>
  </si>
  <si>
    <t xml:space="preserve">Multiple of vendor contract</t>
  </si>
  <si>
    <t xml:space="preserve">Definition</t>
  </si>
  <si>
    <t xml:space="preserve">1. Vendor contract as quoted (Nomad fixed price)</t>
  </si>
  <si>
    <t xml:space="preserve">What the vendor calls 'the project cost': containers, batteries, PCS, BMS, fire protection, spares, 7-yr warranty extension, remote support, shipping, supervision, commissioning, training.</t>
  </si>
  <si>
    <t xml:space="preserve">2. Battery supply as carried in Rev 3 (contract + actuals + escalation) - Layer A</t>
  </si>
  <si>
    <t xml:space="preserve">Rev 3 line 432 + line 445.</t>
  </si>
  <si>
    <t xml:space="preserve">3. Battery system installed (Layers A+B+C, direct)</t>
  </si>
  <si>
    <t xml:space="preserve">Adds owner installation labor, pads, fire suppression, GSUs, EMS/comms, aux power. Closest analogue to a 'turnkey BESS' benchmark before soft costs.</t>
  </si>
  <si>
    <t xml:space="preserve">4. Station complete, direct (Layers A-E + G-I, no loaders)</t>
  </si>
  <si>
    <t xml:space="preserve">Adds the 13.8 kV switching station, landfill site development, testing, owner soft costs and taxes.</t>
  </si>
  <si>
    <t xml:space="preserve">5. Station 360 approval level (loaded)</t>
  </si>
  <si>
    <t xml:space="preserve">Adds risk, contingency, indirects and AFUDC. Equals ESF 'Hyde Park BESS - Sta. 360 - Rev 3' $49,994,200.</t>
  </si>
  <si>
    <t xml:space="preserve">6. Project 21334 approval level (Sta 360 + Sta 496)</t>
  </si>
  <si>
    <t xml:space="preserve">Adds the Station 496 feeder protection upgrades. Equals ESF Total Rev 3 $57,247,300.</t>
  </si>
  <si>
    <t xml:space="preserve">7. All-in including D-Line interconnection 24211 (memo)</t>
  </si>
  <si>
    <t xml:space="preserve">Adds the 2024 conceptual distribution circuit extension estimate. Not yet re-estimated; treat as indicative.</t>
  </si>
  <si>
    <t xml:space="preserve">Battery supply contract as share of project 21334 approval level</t>
  </si>
  <si>
    <t xml:space="preserve">Everything that is not the battery contract ($)</t>
  </si>
  <si>
    <t xml:space="preserve">Interconnection-driven cost, loaded: Layer D + Layer F ($)</t>
  </si>
  <si>
    <t xml:space="preserve">Interconnection-driven cost incl. D-Line memo ($)</t>
  </si>
  <si>
    <t xml:space="preserve">Cost and funding history, 2021 - 2026</t>
  </si>
  <si>
    <t xml:space="preserve">Date</t>
  </si>
  <si>
    <t xml:space="preserve">Event</t>
  </si>
  <si>
    <t xml:space="preserve">Value ($)</t>
  </si>
  <si>
    <t xml:space="preserve">Type</t>
  </si>
  <si>
    <t xml:space="preserve">Basis / source</t>
  </si>
  <si>
    <t xml:space="preserve">$/kWh at 20 MWh</t>
  </si>
  <si>
    <t xml:space="preserve">2021-06</t>
  </si>
  <si>
    <t xml:space="preserve">Initial Funding Request (IFR)</t>
  </si>
  <si>
    <t xml:space="preserve">funding</t>
  </si>
  <si>
    <t xml:space="preserve">IFR approved 6/11/2021; 15 MW/20 MWh concept; ISD Q3 2025</t>
  </si>
  <si>
    <t xml:space="preserve">2023-05</t>
  </si>
  <si>
    <t xml:space="preserve">IFR Rev 1</t>
  </si>
  <si>
    <t xml:space="preserve">Cumulative initial funding $300K + $200K</t>
  </si>
  <si>
    <t xml:space="preserve">2023-07</t>
  </si>
  <si>
    <t xml:space="preserve">Vendor indicative pricing, 5 bidders (Site Two, 10 MW/20 MWh)</t>
  </si>
  <si>
    <t xml:space="preserve">vendor</t>
  </si>
  <si>
    <t xml:space="preserve">Company 3 turnkey indicative price; range $9.59M-$18.22M across bidders</t>
  </si>
  <si>
    <t xml:space="preserve">2023-12</t>
  </si>
  <si>
    <t xml:space="preserve">E-23-373 conceptual estimate</t>
  </si>
  <si>
    <t xml:space="preserve">estimate</t>
  </si>
  <si>
    <t xml:space="preserve">Conceptual -25/+50%; ISD 4/23/2027; 2023 dollars escalated</t>
  </si>
  <si>
    <t xml:space="preserve">2024-02</t>
  </si>
  <si>
    <t xml:space="preserve">SSF preferred alternative (BESS + D-Line)</t>
  </si>
  <si>
    <t xml:space="preserve">$44.379M station + $4.793M distribution; SDC 2/15/2024</t>
  </si>
  <si>
    <t xml:space="preserve">2024-07</t>
  </si>
  <si>
    <t xml:space="preserve">Partial Funding Rev 1</t>
  </si>
  <si>
    <t xml:space="preserve">EPAC 7/10/2024</t>
  </si>
  <si>
    <t xml:space="preserve">2026-02</t>
  </si>
  <si>
    <t xml:space="preserve">Partial Funding Rev 2</t>
  </si>
  <si>
    <t xml:space="preserve">PowerPlan 2/18/2026; FF estimate still $43.926M</t>
  </si>
  <si>
    <t xml:space="preserve">2026-03</t>
  </si>
  <si>
    <t xml:space="preserve">Nomad cover agreement executed</t>
  </si>
  <si>
    <t xml:space="preserve">Fixed price, 12 Voyager units, 10-yr warranty; SOV dated 12/8/2025</t>
  </si>
  <si>
    <t xml:space="preserve">2026-06</t>
  </si>
  <si>
    <t xml:space="preserve">Partial Funding Rev 3</t>
  </si>
  <si>
    <t xml:space="preserve">EPAC 6/25/2026; FF estimate still $43.926M; ISD 12/28/2028</t>
  </si>
  <si>
    <t xml:space="preserve">2026-08</t>
  </si>
  <si>
    <t xml:space="preserve">Sta 360 + 496 estimate Rev 0</t>
  </si>
  <si>
    <t xml:space="preserve">ESF 8/26/2026; battery line carried at ~$6M</t>
  </si>
  <si>
    <t xml:space="preserve">2026-09-01</t>
  </si>
  <si>
    <t xml:space="preserve">Estimate Rev 1</t>
  </si>
  <si>
    <t xml:space="preserve">Battery material increased per project team</t>
  </si>
  <si>
    <t xml:space="preserve">2026-09-10</t>
  </si>
  <si>
    <t xml:space="preserve">Estimate Rev 2</t>
  </si>
  <si>
    <t xml:space="preserve">Battery line reset to cover agreement ($13.1M escalated) + $1.5M relays</t>
  </si>
  <si>
    <t xml:space="preserve">2026-09-24</t>
  </si>
  <si>
    <t xml:space="preserve">Estimate Rev 3 (current)</t>
  </si>
  <si>
    <t xml:space="preserve">Relays removed (-$1.5M), SSVT qty 3-&gt;1, engineering re-based to $501K + actuals</t>
  </si>
  <si>
    <t xml:space="preserve">In-service date drift</t>
  </si>
  <si>
    <t xml:space="preserve">As of</t>
  </si>
  <si>
    <t xml:space="preserve">Planned ISD</t>
  </si>
  <si>
    <t xml:space="preserve">Q3 2025</t>
  </si>
  <si>
    <t xml:space="preserve">Apr 2027</t>
  </si>
  <si>
    <t xml:space="preserve">Sep 2027</t>
  </si>
  <si>
    <t xml:space="preserve">2026-01</t>
  </si>
  <si>
    <t xml:space="preserve">Aug 2028</t>
  </si>
  <si>
    <t xml:space="preserve">Dec 2028</t>
  </si>
  <si>
    <t xml:space="preserve">September 2026 estimate revision walk (Project 21334 approval level)</t>
  </si>
  <si>
    <t xml:space="preserve">Step</t>
  </si>
  <si>
    <t xml:space="preserve">Approval level ($)</t>
  </si>
  <si>
    <t xml:space="preserve">Change ($)</t>
  </si>
  <si>
    <t xml:space="preserve">Driver (from ESF clarifications and 9/1-9/23/2026 email record)</t>
  </si>
  <si>
    <t xml:space="preserve">Rev 0</t>
  </si>
  <si>
    <t xml:space="preserve">2026-08-26</t>
  </si>
  <si>
    <t xml:space="preserve">Sta 360 built up from E-23-373 quantities and 7/28/2023 indicative pricing; battery material carried at about $6M (PM: 'change the battery cost (line 71) from 6 to 12.1M').</t>
  </si>
  <si>
    <t xml:space="preserve">Rev 1</t>
  </si>
  <si>
    <t xml:space="preserve">Per project team, increase battery material cost.</t>
  </si>
  <si>
    <t xml:space="preserve">Rev 2</t>
  </si>
  <si>
    <t xml:space="preserve">Battery line reset to Nomad cover agreement and escalated to $13,119,867; $1,545,014 'Relays, P&amp;C systems for batteries' carried from 2023 Company 1 pricing; 3 SSVTs; engineering hours from E-23-373; $609K LNTP actuals shown separately.</t>
  </si>
  <si>
    <t xml:space="preserve">Rev 3</t>
  </si>
  <si>
    <t xml:space="preserve">Relays deleted (-$1.5M, duplicated in $300K/breaker Siemens price per P&amp;C Engineering 9/22); SSVT quantity 3 to 1; engineering re-based to $501K to-go plus actuals (9/18); actuals updated to 9/23 ($5.52M); battery line = contract less $1,213,043 paid, escalated.</t>
  </si>
  <si>
    <t xml:space="preserve">Reference: full-funding placeholder carried in PF Rev 2 and Rev 3 PAFs</t>
  </si>
  <si>
    <t xml:space="preserve">Rev 3 vs. full-funding placeholder</t>
  </si>
  <si>
    <t xml:space="preserve">July 28, 2023 indicative pricing - Site Two (Hyde Park, 10 MW / 20 MWh), five bidders</t>
  </si>
  <si>
    <t xml:space="preserve">Bidder</t>
  </si>
  <si>
    <t xml:space="preserve">Total indicative price ($)</t>
  </si>
  <si>
    <t xml:space="preserve">Notes on scope / exclusions</t>
  </si>
  <si>
    <t xml:space="preserve">Company 1</t>
  </si>
  <si>
    <t xml:space="preserve">8 Hithium containers, 4 SMA 3950 PCS skids, switchgear $707K; excludes sound mitigation; prevailing wage and IRA compliance; 5-yr warranty; interconnection by Eversource.</t>
  </si>
  <si>
    <t xml:space="preserve">Company 2 (Opt 1)</t>
  </si>
  <si>
    <t xml:space="preserve">Assumes connection to substation bus (no switchgear); augmentation required year 7; no LTSA/extended warranty; 'Eversource would be responsible for interconnection cost'.</t>
  </si>
  <si>
    <t xml:space="preserve">Company 2 (Opt 2)</t>
  </si>
  <si>
    <t xml:space="preserve">As Option 1 with lower-cost enclosure option.</t>
  </si>
  <si>
    <t xml:space="preserve">Company 3</t>
  </si>
  <si>
    <t xml:space="preserve">Basis of the E-23-373 estimate. Battery enclosure $10.58M, PCS $0.83M, step-up transformers $0.63M, sound mitigation $0.47M, turnkey civil/installation $4.56M, spares/transport $0.59M.</t>
  </si>
  <si>
    <t xml:space="preserve">Company 4</t>
  </si>
  <si>
    <t xml:space="preserve">'Complete scope' line items; no step-up transformer; no builders risk; local permits only; no below-grade risk; non-union labor.</t>
  </si>
  <si>
    <t xml:space="preserve">Company 5</t>
  </si>
  <si>
    <t xml:space="preserve">Highest engineering/PM line ($3.15M) and installation $2.05M.</t>
  </si>
  <si>
    <t xml:space="preserve">Low</t>
  </si>
  <si>
    <t xml:space="preserve">High</t>
  </si>
  <si>
    <t xml:space="preserve">Median</t>
  </si>
  <si>
    <t xml:space="preserve">Every bidder listed interconnection, permitting beyond local, below-grade risk, sound walls, spares or long-term service as excluded or 'Eversource responsibility'. Source: BESS_Indicative_Pricing.xlsx (attachment to 9/9/2026 email).</t>
  </si>
  <si>
    <t xml:space="preserve">Published industry benchmarks (filled from research log; see whitepaper references)</t>
  </si>
  <si>
    <t xml:space="preserve">Source</t>
  </si>
  <si>
    <t xml:space="preserve">Year</t>
  </si>
  <si>
    <t xml:space="preserve">Metric</t>
  </si>
  <si>
    <t xml:space="preserve">Value</t>
  </si>
  <si>
    <t xml:space="preserve">Units</t>
  </si>
  <si>
    <t xml:space="preserve">Duration</t>
  </si>
  <si>
    <t xml:space="preserve">Dollar year</t>
  </si>
  <si>
    <t xml:space="preserve">What is included</t>
  </si>
  <si>
    <t xml:space="preserve">Confidence</t>
  </si>
  <si>
    <t xml:space="preserve">URL</t>
  </si>
  <si>
    <t xml:space="preserve">BloombergNEF battery pack price survey</t>
  </si>
  <si>
    <t xml:space="preserve">Pack price, stationary storage segment</t>
  </si>
  <si>
    <t xml:space="preserve">n/a</t>
  </si>
  <si>
    <t xml:space="preserve">2025 real</t>
  </si>
  <si>
    <t xml:space="preserve">Cells and pack hardware only, ex-works. No PCS, enclosure, BOS, installation or interconnection.</t>
  </si>
  <si>
    <t xml:space="preserve">Medium</t>
  </si>
  <si>
    <t xml:space="preserve">https://about.bnef.com/insights/clean-transport/lithium-ion-battery-pack-prices-fall-to-108-per-kilowatt-hour-despite-rising-metal-prices-bloombergnef/</t>
  </si>
  <si>
    <t xml:space="preserve">Pack price, all-segment volume-weighted average</t>
  </si>
  <si>
    <t xml:space="preserve">Cells and pack hardware only.</t>
  </si>
  <si>
    <t xml:space="preserve">Anza Renewables pricing insights</t>
  </si>
  <si>
    <t xml:space="preserve">Distribution-scale AC system price, delivered incl. tariffs, Q1 2026</t>
  </si>
  <si>
    <t xml:space="preserve">distribution-scale</t>
  </si>
  <si>
    <t xml:space="preserve">2026 nominal</t>
  </si>
  <si>
    <t xml:space="preserve">Equipment delivered (DC blocks + PCS). No EPC, civil, station or interconnection.</t>
  </si>
  <si>
    <t xml:space="preserve">https://www.anzarenewables.com/energy-storage-pricing-insights/</t>
  </si>
  <si>
    <t xml:space="preserve">BloombergNEF Energy Storage System Cost Survey</t>
  </si>
  <si>
    <t xml:space="preserve">Turnkey system price, United States</t>
  </si>
  <si>
    <t xml:space="preserve">4-h reference</t>
  </si>
  <si>
    <t xml:space="preserve">2025</t>
  </si>
  <si>
    <t xml:space="preserve">Racks/DC blocks, PCS, BOS, EMS, integration, installation and commissioning. Excludes grid connection, land, development and owner's costs (scope wording from prior-year summaries; verify in 2025 methodology).</t>
  </si>
  <si>
    <t xml:space="preserve">https://www.bnef.com/insights/38229</t>
  </si>
  <si>
    <t xml:space="preserve">2024</t>
  </si>
  <si>
    <t xml:space="preserve">As above.</t>
  </si>
  <si>
    <t xml:space="preserve">https://www.bnef.com/insights/35543</t>
  </si>
  <si>
    <t xml:space="preserve">Turnkey system price, global average (range $135-580)</t>
  </si>
  <si>
    <t xml:space="preserve">2023</t>
  </si>
  <si>
    <t xml:space="preserve">https://www.bnef.com/insights/33081</t>
  </si>
  <si>
    <t xml:space="preserve">NREL, Cole et al., Cost Projections for Utility-Scale Battery Storage: 2025 Update (NREL/TP-6A40-93281)</t>
  </si>
  <si>
    <t xml:space="preserve">Total installed cost, base year 2024, bottom-up model</t>
  </si>
  <si>
    <t xml:space="preserve">4-h, 60 MW</t>
  </si>
  <si>
    <t xml:space="preserve">2024 (verify)</t>
  </si>
  <si>
    <t xml:space="preserve">Pack, PCS, structural and electrical BOS, installation labor, EPC overhead, developer overhead, sales tax, permitting and an interconnection allowance, contingency, profit. Developer perspective; no utility indirects or AFUDC.</t>
  </si>
  <si>
    <t xml:space="preserve">https://docs.nrel.gov/docs/fy25osti/93281.pdf</t>
  </si>
  <si>
    <t xml:space="preserve">EIA / Sargent &amp; Lundy, Capital Cost and Performance Characteristics (AEO2025)</t>
  </si>
  <si>
    <t xml:space="preserve">Overnight capital cost, 150 MW / 600 MWh</t>
  </si>
  <si>
    <t xml:space="preserve">4-h, 150 MW</t>
  </si>
  <si>
    <t xml:space="preserve">EPC plus owner's costs (development, land, permitting, owner's engineering, spares, contingency). Overnight: excludes AFUDC. Interconnection limited to a tie to an assumed nearby substation. $1,744/kW.</t>
  </si>
  <si>
    <t xml:space="preserve">https://www.eia.gov/analysis/studies/powerplants/capitalcost/pdf/capital_cost_AEO2025.pdf</t>
  </si>
  <si>
    <t xml:space="preserve">LBNL, Utility-Scale Solar 2025 edition</t>
  </si>
  <si>
    <t xml:space="preserve">Empirical all-in battery capex, hybrid PV+storage plants installed 2024</t>
  </si>
  <si>
    <t xml:space="preserve">avg 3.3-h</t>
  </si>
  <si>
    <t xml:space="preserve">EIA-860 reported capitalized cost, battery share of hybrid plants.</t>
  </si>
  <si>
    <t xml:space="preserve">https://emp.lbl.gov/sites/default/files/2025-10/Utility%20Scale%20Solar%202025%20Edition%20Slides.pdf</t>
  </si>
  <si>
    <t xml:space="preserve">EIA Form 860, construction cost of generators installed in 2023</t>
  </si>
  <si>
    <t xml:space="preserve">Capacity-weighted average construction cost, battery storage (6,841 MW, $9.3B)</t>
  </si>
  <si>
    <t xml:space="preserve">mixed (not stated)</t>
  </si>
  <si>
    <t xml:space="preserve">2023 nominal</t>
  </si>
  <si>
    <t xml:space="preserve">Respondent-reported total capitalized construction cost.</t>
  </si>
  <si>
    <t xml:space="preserve">https://www.eia.gov/electricity/generatorcosts</t>
  </si>
  <si>
    <t xml:space="preserve">Wood Mackenzie / ACP, US Energy Storage Monitor</t>
  </si>
  <si>
    <t xml:space="preserve">Utility-scale system price, Q2 2026</t>
  </si>
  <si>
    <t xml:space="preserve">4-h implied</t>
  </si>
  <si>
    <t xml:space="preserve">2026</t>
  </si>
  <si>
    <t xml:space="preserve">Turnkey system incl. EPC; interconnection excluded (verify).</t>
  </si>
  <si>
    <t xml:space="preserve">https://cleanpower.org/resources/u-s-energy-storage-monitor/</t>
  </si>
  <si>
    <t xml:space="preserve">LBNL, Interconnection cost analysis in ISO-NE (Kemp et al.)</t>
  </si>
  <si>
    <t xml:space="preserve">Average interconnection cost, storage requests 2018-21</t>
  </si>
  <si>
    <t xml:space="preserve">nominal</t>
  </si>
  <si>
    <t xml:space="preserve">Point of interconnection plus network upgrades from ISO studies. Equals $115/kWh for a 10 MW / 20 MWh system.</t>
  </si>
  <si>
    <t xml:space="preserve">https://eta-publications.lbl.gov/sites/default/files/iso-ne_interconnection_costs_vfinal.pdf</t>
  </si>
  <si>
    <t xml:space="preserve">NV Energy, Reid Gardner BESS (Energy Vault EPC)</t>
  </si>
  <si>
    <t xml:space="preserve">Utility-owned 220 MW / 440 MWh, 2-h, at former coal site with existing switchyard, $257M</t>
  </si>
  <si>
    <t xml:space="preserve">2-h, 220 MW</t>
  </si>
  <si>
    <t xml:space="preserve">2022-23</t>
  </si>
  <si>
    <t xml:space="preserve">EPC construction cost using existing interconnection.</t>
  </si>
  <si>
    <t xml:space="preserve">https://en.wikipedia.org/wiki/Reid_Gardner_Battery_Energy_Storage_System</t>
  </si>
  <si>
    <t xml:space="preserve">Southern California Edison / Ameresco (CPUC approval Dec 2021)</t>
  </si>
  <si>
    <t xml:space="preserve">Utility-owned 537.5 MW / 2,150 MWh at three existing substations, $1.226B</t>
  </si>
  <si>
    <t xml:space="preserve">4-h</t>
  </si>
  <si>
    <t xml:space="preserve">2021</t>
  </si>
  <si>
    <t xml:space="preserve">EPC plus maintenance term; sited at existing substations; emergency-procurement timelines.</t>
  </si>
  <si>
    <t xml:space="preserve">https://www.cpuc.ca.gov/news-and-updates/all-news/cpuc-approves-energy-storage-contract-for-sce</t>
  </si>
  <si>
    <t xml:space="preserve">Hawaiian Electric, Waena BESS, Maui (PUC approval Dec 2023)</t>
  </si>
  <si>
    <t xml:space="preserve">Utility-owned 40 MW / 160 MWh Tesla Megapack, $82.1M approved (increase pending for tariffs)</t>
  </si>
  <si>
    <t xml:space="preserve">4-h, 40 MW</t>
  </si>
  <si>
    <t xml:space="preserve">Purchase and installation at utility-owned site.</t>
  </si>
  <si>
    <t xml:space="preserve">https://www.energy-storage.news/hawaiian-electric-requests-funds-with-tariffs-expected-to-drive-up-cost-of-tesla-bess/</t>
  </si>
  <si>
    <t xml:space="preserve">National Grid Massachusetts, 2018 rate case proposal</t>
  </si>
  <si>
    <t xml:space="preserve">Proposed utility-owned 14 MW / 56 MWh, $50M</t>
  </si>
  <si>
    <t xml:space="preserve">4-h, 14 MW</t>
  </si>
  <si>
    <t xml:space="preserve">2018 estimate</t>
  </si>
  <si>
    <t xml:space="preserve">Utility capital estimate; build status not confirmed.</t>
  </si>
  <si>
    <t xml:space="preserve">https://www.sec.gov/Archives/edgar/data/0001004315/000100431518000103/a6kannouncments16nov10de.htm</t>
  </si>
  <si>
    <t xml:space="preserve">Eversource Martha's Vineyard Phase 1 (D.P.U. 18-155, cancelled 2021)</t>
  </si>
  <si>
    <t xml:space="preserve">Utility estimate, 4.9 MW / 20 MWh, $15M</t>
  </si>
  <si>
    <t xml:space="preserve">4-h, 4.9 MW</t>
  </si>
  <si>
    <t xml:space="preserve">2018-19 estimate</t>
  </si>
  <si>
    <t xml:space="preserve">Utility capital estimate, indoor building at service center.</t>
  </si>
  <si>
    <t xml:space="preserve">https://www.mass.gov/info-details/utility-owned-large-scale-battery-energy-storage</t>
  </si>
  <si>
    <t xml:space="preserve">Eversource Outer Cape BESS, Provincetown (D.P.U. 17-05)</t>
  </si>
  <si>
    <t xml:space="preserve">Final cost $49M, 24.9 MW / 38 MWh, in service 2022</t>
  </si>
  <si>
    <t xml:space="preserve">1.5-h, 24.9 MW</t>
  </si>
  <si>
    <t xml:space="preserve">2019-22 nominal</t>
  </si>
  <si>
    <t xml:space="preserve">Full utility capital: batteries, PCS, site civil, microgrid islanding controls, interconnection, overheads. $1,968/kW.</t>
  </si>
  <si>
    <t xml:space="preserve">https://www.utilitydive.com/news/eversource-advances-cape-cod-battery-project-defers-13-mile-distribution-l/552171/</t>
  </si>
  <si>
    <t xml:space="preserve">Hyde Park boundaries for comparison ($/kWh, from Unit Costs tab)</t>
  </si>
  <si>
    <t xml:space="preserve">Nomad equipment only (12 units, PCS, BMS, fire)</t>
  </si>
  <si>
    <t xml:space="preserve">Vendor contract</t>
  </si>
  <si>
    <t xml:space="preserve">Battery installed (A+B+C)</t>
  </si>
  <si>
    <t xml:space="preserve">Station complete, direct</t>
  </si>
  <si>
    <t xml:space="preserve">Station 360 approval level</t>
  </si>
  <si>
    <t xml:space="preserve">Project 21334 approval level</t>
  </si>
  <si>
    <t xml:space="preserve">All-in incl. D-Line memo</t>
  </si>
  <si>
    <t xml:space="preserve">Retrieved 29 Sep 2026 from search-index excerpts of the cited pages; direct PDF access was blocked in the research environment. Figures tagged High appear in the primary source text; Medium are reported by a reputable secondary source quoting the primary. Verify against the PDFs before external use.</t>
  </si>
  <si>
    <t xml:space="preserve">ISO interconnection cost references (LBNL series; ISO-NE Transitional Cluster Study interim, Jun 2026)</t>
  </si>
  <si>
    <t xml:space="preserve">LBNL ISO-NE interconnection brief</t>
  </si>
  <si>
    <t xml:space="preserve">Storage median, studies 2018-21</t>
  </si>
  <si>
    <t xml:space="preserve">real (2022$ likely)</t>
  </si>
  <si>
    <t xml:space="preserve">POI + network upgrades from ISO studies; all-status storage mean ~ $230/kW</t>
  </si>
  <si>
    <t xml:space="preserve">https://emp.lbl.gov/publications/interconnection-cost-analysis-iso-new</t>
  </si>
  <si>
    <t xml:space="preserve">ISO-NE Transitional Cluster Study interim</t>
  </si>
  <si>
    <t xml:space="preserve">Average interconnection cost, 23 transmission-connected projects (~$3.2B / 4.8 GW)</t>
  </si>
  <si>
    <t xml:space="preserve">System network upgrades ~ $2.5B; WCMA &gt; $1,000/kW, SEMA ~ $177/kW; 21 of 26 requests are BESS</t>
  </si>
  <si>
    <t xml:space="preserve">High (totals) / Medium (zonal)</t>
  </si>
  <si>
    <t xml:space="preserve">https://www.mass.gov/doc/letter-to-iso-ne-on-transitional-cluster-study-interim-results-june-25-2026/download</t>
  </si>
  <si>
    <t xml:space="preserve">LBNL NYISO interconnection brief</t>
  </si>
  <si>
    <t xml:space="preserve">Storage, 1-50 MW requests (vs $32/kW above 250 MW)</t>
  </si>
  <si>
    <t xml:space="preserve">real</t>
  </si>
  <si>
    <t xml:space="preserve">Only ISO-level storage cost by size</t>
  </si>
  <si>
    <t xml:space="preserve">https://emp.lbl.gov/publications/interconnection-cost-analysis-nyiso</t>
  </si>
  <si>
    <t xml:space="preserve">LBNL PJM interconnection brief</t>
  </si>
  <si>
    <t xml:space="preserve">Storage mean, all statuses</t>
  </si>
  <si>
    <t xml:space="preserve">Median $63/kW; complete storage ~ $4/kW</t>
  </si>
  <si>
    <t xml:space="preserve">https://emp.lbl.gov/publications/interconnection-cost-analysis-pjm</t>
  </si>
  <si>
    <t xml:space="preserve">LBNL MISO interconnection brief</t>
  </si>
  <si>
    <t xml:space="preserve">Storage potential cost, 2018-21</t>
  </si>
  <si>
    <t xml:space="preserve">https://emp.lbl.gov/publications/generator-interconnection-cost</t>
  </si>
  <si>
    <t xml:space="preserve">NYSERDA State of Storage</t>
  </si>
  <si>
    <t xml:space="preserve">Bulk (&gt;5 MW) average installed cost</t>
  </si>
  <si>
    <t xml:space="preserve">2025 nominal</t>
  </si>
  <si>
    <t xml:space="preserve">Retail front-of-meter standalone $666/kWh</t>
  </si>
  <si>
    <t xml:space="preserve">https://www.nyserda.ny.gov/</t>
  </si>
  <si>
    <t xml:space="preserve">Modo Energy global capex survey</t>
  </si>
  <si>
    <t xml:space="preserve">Median 2-h system capex (4-h: $201/kWh)</t>
  </si>
  <si>
    <t xml:space="preserve">2-h</t>
  </si>
  <si>
    <t xml:space="preserve">Doubling duration cuts ~38%/MWh</t>
  </si>
  <si>
    <t xml:space="preserve">https://modoenergy.com/research/en/global-battery-capex-september-2026-research</t>
  </si>
  <si>
    <t xml:space="preserve">Battery installed-cost curve and escalation basis (deck slides 10-11)</t>
  </si>
  <si>
    <t xml:space="preserve">Series plotted as published. Direct access to eia.gov, bnef.com and energy-storage.news was blocked by the research proxy; values come from search-index excerpts of those pages and carry the confidence tag of the excerpt. Verify against the primary pages before external use.</t>
  </si>
  <si>
    <t xml:space="preserve">A. Industry series as published ($/kWh)</t>
  </si>
  <si>
    <t xml:space="preserve">Series</t>
  </si>
  <si>
    <t xml:space="preserve">Dollar basis</t>
  </si>
  <si>
    <t xml:space="preserve">Scope</t>
  </si>
  <si>
    <t xml:space="preserve">EIA reported all-in, utility-scale (EIA-860, nominal $/kWh)</t>
  </si>
  <si>
    <t xml:space="preserve">Nominal, capacity-weighted average energy-capacity cost of batteries installed in the year</t>
  </si>
  <si>
    <t xml:space="preserve">Respondent-reported total capitalized construction cost</t>
  </si>
  <si>
    <t xml:space="preserve">https://www.eia.gov/todayinenergy/detail.php?id=45596</t>
  </si>
  <si>
    <t xml:space="preserve">BNEF turnkey system, global avg, 4-h ($/kWh, real survey-year)</t>
  </si>
  <si>
    <t xml:space="preserve">Real USD of the survey year</t>
  </si>
  <si>
    <t xml:space="preserve">Racks, PCS, BOS, EMS, integration, installation, commissioning; excludes grid connection, land, development, owner's costs</t>
  </si>
  <si>
    <t xml:space="preserve">https://www.bnef.com/insights/30443 ; https://www.bnef.com/insights/33081 ; https://www.bnef.com/insights/35543 ; https://www.bnef.com/insights/38229</t>
  </si>
  <si>
    <t xml:space="preserve">BNEF turnkey system, United States, 4-h</t>
  </si>
  <si>
    <t xml:space="preserve">As above</t>
  </si>
  <si>
    <t xml:space="preserve">NREL bottom-up all-in, 4-h 60 MW (2024$), mid-case projection</t>
  </si>
  <si>
    <t xml:space="preserve">2024 dollars; 2028 point is a linear interpolation between the 2024 base and the 2035 mid case</t>
  </si>
  <si>
    <t xml:space="preserve">Pack, PCS, BOS, installation, EPC and developer overhead, sales tax, permitting and interconnection allowance, contingency, profit</t>
  </si>
  <si>
    <t xml:space="preserve">High (2024 and 2035 points); derived (2028)</t>
  </si>
  <si>
    <t xml:space="preserve">B. Hyde Park points ($/kWh at 20,000 kWh)</t>
  </si>
  <si>
    <t xml:space="preserve">Year (decimal)</t>
  </si>
  <si>
    <t xml:space="preserve">Point</t>
  </si>
  <si>
    <t xml:space="preserve">Basis</t>
  </si>
  <si>
    <t xml:space="preserve">2023 indicative bids, low (Company 2 Opt 2 $9,586,600)</t>
  </si>
  <si>
    <t xml:space="preserve">July 2023 indicative sheet</t>
  </si>
  <si>
    <t xml:space="preserve">2023 indicative bids, high (Company 3 $18,222,342)</t>
  </si>
  <si>
    <t xml:space="preserve">Nomad equipment only ($10,638,000)</t>
  </si>
  <si>
    <t xml:space="preserve">Cover agreement SOV</t>
  </si>
  <si>
    <t xml:space="preserve">Nomad contract ($12,106,850)</t>
  </si>
  <si>
    <t xml:space="preserve">Cover agreement Exhibit C</t>
  </si>
  <si>
    <t xml:space="preserve">Battery as carried in Rev 3, layer A (contract balance escalated + actuals)</t>
  </si>
  <si>
    <t xml:space="preserve">Rev 3 lines 432 + 445</t>
  </si>
  <si>
    <t xml:space="preserve">Battery installed, layers A+B+C</t>
  </si>
  <si>
    <t xml:space="preserve">Rev 3 layers A, B, C</t>
  </si>
  <si>
    <t xml:space="preserve">C. Adjusting a 4-h, 60-240 MWh index to 2-h, 20 MWh</t>
  </si>
  <si>
    <t xml:space="preserve">Input</t>
  </si>
  <si>
    <t xml:space="preserve">Note</t>
  </si>
  <si>
    <t xml:space="preserve">Duration factor, low</t>
  </si>
  <si>
    <t xml:space="preserve">NREL cost structure: pack $/kWh x hours + BOS $/kW; 2-h vs 4-h</t>
  </si>
  <si>
    <t xml:space="preserve">Duration factor, high</t>
  </si>
  <si>
    <t xml:space="preserve">as above</t>
  </si>
  <si>
    <t xml:space="preserve">Size elasticity</t>
  </si>
  <si>
    <t xml:space="preserve">Appendix B regression, ln(MWh) coefficient</t>
  </si>
  <si>
    <t xml:space="preserve">Reference MWh</t>
  </si>
  <si>
    <t xml:space="preserve">NREL 60 MW x 4 h</t>
  </si>
  <si>
    <t xml:space="preserve">Hyde Park MWh</t>
  </si>
  <si>
    <t xml:space="preserve">Size factor</t>
  </si>
  <si>
    <t xml:space="preserve">(20/240)^-0.173</t>
  </si>
  <si>
    <t xml:space="preserve">Combined factor, low</t>
  </si>
  <si>
    <t xml:space="preserve">Combined factor, high</t>
  </si>
  <si>
    <t xml:space="preserve">BNEF US turnkey 2025, adjusted low</t>
  </si>
  <si>
    <t xml:space="preserve">vs Nomad equipment $532</t>
  </si>
  <si>
    <t xml:space="preserve">BNEF US turnkey 2025, adjusted high</t>
  </si>
  <si>
    <t xml:space="preserve">NREL 2024 base $334 to 2028 at 3%/yr</t>
  </si>
  <si>
    <t xml:space="preserve">NREL 2028, adjusted low</t>
  </si>
  <si>
    <t xml:space="preserve">vs Hyde Park installed $833</t>
  </si>
  <si>
    <t xml:space="preserve">NREL 2028, adjusted high</t>
  </si>
  <si>
    <t xml:space="preserve">Escalation rate</t>
  </si>
  <si>
    <t xml:space="preserve">ESF template, approx.</t>
  </si>
  <si>
    <t xml:space="preserve">D. Escalation in Rev 3 (ESF Overview row 34, included in directs)</t>
  </si>
  <si>
    <t xml:space="preserve">Item</t>
  </si>
  <si>
    <t xml:space="preserve">$</t>
  </si>
  <si>
    <t xml:space="preserve">Escalation, Station 360</t>
  </si>
  <si>
    <t xml:space="preserve">ESF Sta 360 Rev 3 Overview</t>
  </si>
  <si>
    <t xml:space="preserve">Escalation, Station 496</t>
  </si>
  <si>
    <t xml:space="preserve">ESF Total Rev 3 Overview</t>
  </si>
  <si>
    <t xml:space="preserve">Escalation, project 21334</t>
  </si>
  <si>
    <t xml:space="preserve">ESF Overview shows $2,948,100 after rounding</t>
  </si>
  <si>
    <t xml:space="preserve">of which on the Nomad balance (fixed price)</t>
  </si>
  <si>
    <t xml:space="preserve">Rev 3 line 432 less contract balance</t>
  </si>
  <si>
    <t xml:space="preserve">of which on other scope</t>
  </si>
  <si>
    <t xml:space="preserve">Share of approval level</t>
  </si>
  <si>
    <t xml:space="preserve">Spend 2027-2028 (Schedule tab)</t>
  </si>
  <si>
    <t xml:space="preserve">ESF Schedule tab, 2027 + 2028 columns</t>
  </si>
  <si>
    <t xml:space="preserve">Escalation from a 12-month slip at the template rate</t>
  </si>
  <si>
    <t xml:space="preserve">before AFUDC, PM, indirects</t>
  </si>
  <si>
    <t xml:space="preserve">Non-battery material (Materials category less layer A)</t>
  </si>
  <si>
    <t xml:space="preserve">exposure to tariff / commodity moves above 3%</t>
  </si>
  <si>
    <t xml:space="preserve">E. Same comparison, same dollars ($/kWh)</t>
  </si>
  <si>
    <t xml:space="preserve">Nominal as carried</t>
  </si>
  <si>
    <t xml:space="preserve">Ex-escalation (2026$)</t>
  </si>
  <si>
    <t xml:space="preserve">Benchmark brought to 2028 at the template rate</t>
  </si>
  <si>
    <t xml:space="preserve">BNEF US turnkey 2025 -&gt; 2028</t>
  </si>
  <si>
    <t xml:space="preserve">Battery as carried (A)</t>
  </si>
  <si>
    <t xml:space="preserve">NREL 4-h 2024$ -&gt; 2028</t>
  </si>
  <si>
    <t xml:space="preserve">NREL 2028 adjusted to 2-h, 10 MW (low); high = adjusted high</t>
  </si>
  <si>
    <t xml:space="preserve">EIA/S&amp;L 2023$ -&gt; 2028</t>
  </si>
  <si>
    <t xml:space="preserve">Ex-escalation removes the Station 360 escalation from the direct boundaries; the B+C share is allocated pro rata to direct cost across Station 360 layers B to I and is approximate.</t>
  </si>
  <si>
    <t xml:space="preserve">Public project-level BESS costs (103 compiled; 81 used in the regression). Blue = keyed from source; $/kWh, $/kW and duration are formulas.</t>
  </si>
  <si>
    <t xml:space="preserve">Project</t>
  </si>
  <si>
    <t xml:space="preserve">Owner</t>
  </si>
  <si>
    <t xml:space="preserve">Owner type</t>
  </si>
  <si>
    <t xml:space="preserve">State</t>
  </si>
  <si>
    <t xml:space="preserve">ISO</t>
  </si>
  <si>
    <t xml:space="preserve">MW</t>
  </si>
  <si>
    <t xml:space="preserve">MWh</t>
  </si>
  <si>
    <t xml:space="preserve">COD year</t>
  </si>
  <si>
    <t xml:space="preserve">Cost ($)</t>
  </si>
  <si>
    <t xml:space="preserve">Cost basis</t>
  </si>
  <si>
    <t xml:space="preserve">Site type</t>
  </si>
  <si>
    <t xml:space="preserve">Excluded (reason)</t>
  </si>
  <si>
    <t xml:space="preserve">Duration (h)</t>
  </si>
  <si>
    <t xml:space="preserve">Source URL</t>
  </si>
  <si>
    <t xml:space="preserve">Notes</t>
  </si>
  <si>
    <t xml:space="preserve">In reference class? ($/kWh if yes)</t>
  </si>
  <si>
    <t xml:space="preserve">Outer Cape (Provincetown) BESS</t>
  </si>
  <si>
    <t xml:space="preserve">Eversource (NSTAR Electric)</t>
  </si>
  <si>
    <t xml:space="preserve">IOU</t>
  </si>
  <si>
    <t xml:space="preserve">MA</t>
  </si>
  <si>
    <t xml:space="preserve">ISO-NE</t>
  </si>
  <si>
    <t xml:space="preserve">final/actual (as reported)</t>
  </si>
  <si>
    <t xml:space="preserve">all-in incl. 8,000 sf building, fiber-optic control network and Provincetown loop circuitry (microgrid)</t>
  </si>
  <si>
    <t xml:space="preserve">existing municipal site (town transfer station), distribution-connected</t>
  </si>
  <si>
    <t xml:space="preserve">https://provincetownindependent.org/featured/2026/05/13/eversource-will-upgrade-exposed-poles-on-shore-road/</t>
  </si>
  <si>
    <t xml:space="preserve">DPU 17-05 (2017) approved budget range $35-45M; $49M final per Provincetown Independent and capecod.com reporting; cost includes non-battery microgrid/fiber scope</t>
  </si>
  <si>
    <t xml:space="preserve">Nantucket BESS</t>
  </si>
  <si>
    <t xml:space="preserve">National Grid (Massachusetts Electric)</t>
  </si>
  <si>
    <t xml:space="preserve">all-in incl. new 15 MW diesel generator and power control house</t>
  </si>
  <si>
    <t xml:space="preserve">existing utility site (Bunker Rd), distribution/island</t>
  </si>
  <si>
    <t xml:space="preserve">cost bundles 15 MW diesel generator and control house</t>
  </si>
  <si>
    <t xml:space="preserve">https://www.renewableenergyworld.com/energy-storage/battery/6-mw-48-mwh-battery-storage-system-unveiled-on-nantucket-island-in-massachusetts/</t>
  </si>
  <si>
    <t xml:space="preserve">Tesla Powerpack 8-hour; $81M includes generator - battery-only cost not disclosed; alternative was ~$200M third submarine cable</t>
  </si>
  <si>
    <t xml:space="preserve">Martha's Vineyard BESS Phase 1 (cancelled)</t>
  </si>
  <si>
    <t xml:space="preserve">estimate (DPU 18-155 filing)</t>
  </si>
  <si>
    <t xml:space="preserve">all-in utility capital estimate</t>
  </si>
  <si>
    <t xml:space="preserve">greenfield adjacent to Oak Bluffs substation</t>
  </si>
  <si>
    <t xml:space="preserve">https://www.microgridknowledge.com/distributed-energy/article/11429907/eversource-pushes-ahead-with-147-mw-battery-project-on-marthas-vineyard</t>
  </si>
  <si>
    <t xml:space="preserve">cod_year = DPU approval year (2019); Eversource cancelled project May 2021; never built</t>
  </si>
  <si>
    <t xml:space="preserve">Martha's Vineyard BESS Phase 2 (cancelled)</t>
  </si>
  <si>
    <t xml:space="preserve">cod_year = DPU approval year (2019); planned COD 2023; cancelled May 2021</t>
  </si>
  <si>
    <t xml:space="preserve">Sterling MLD Chocksett Road BESS</t>
  </si>
  <si>
    <t xml:space="preserve">Sterling Municipal Light Department</t>
  </si>
  <si>
    <t xml:space="preserve">muni/coop</t>
  </si>
  <si>
    <t xml:space="preserve">turnkey battery + installation (NEC Energy Solutions)</t>
  </si>
  <si>
    <t xml:space="preserve">existing substation</t>
  </si>
  <si>
    <t xml:space="preserve">https://www.cesa.org/resource-library/resource/project-overview-sterling-municipal-energy-storage-project/</t>
  </si>
  <si>
    <t xml:space="preserve">$1.4M MA DOER resiliency grant + $250k DOE grant; commissioned Dec 2016</t>
  </si>
  <si>
    <t xml:space="preserve">Pomona (Ladentown) BESS</t>
  </si>
  <si>
    <t xml:space="preserve">Orange &amp; Rockland Utilities (Con Edison)</t>
  </si>
  <si>
    <t xml:space="preserve">NY</t>
  </si>
  <si>
    <t xml:space="preserve">NYISO</t>
  </si>
  <si>
    <t xml:space="preserve">final/actual (utility press release)</t>
  </si>
  <si>
    <t xml:space="preserve">all-in utility-owned (developed/built by Key Capture Energy)</t>
  </si>
  <si>
    <t xml:space="preserve">existing substation (adjacent Ladentown substation, O&amp;R property)</t>
  </si>
  <si>
    <t xml:space="preserve">https://www.oru.com/en/about-us/media-center/news/2021/04-20/oru-key-capture-energy-begins-operations-at-orus-first-energy-storage-facility</t>
  </si>
  <si>
    <t xml:space="preserve">4-hour; first O&amp;R storage facility</t>
  </si>
  <si>
    <t xml:space="preserve">Salem Smart Power Center</t>
  </si>
  <si>
    <t xml:space="preserve">Portland General Electric</t>
  </si>
  <si>
    <t xml:space="preserve">OR</t>
  </si>
  <si>
    <t xml:space="preserve">non-ISO (WECC NW)</t>
  </si>
  <si>
    <t xml:space="preserve">final/actual (demonstration total)</t>
  </si>
  <si>
    <t xml:space="preserve">all-in demonstration incl. building, microgrid, smart-grid controls; DOE cost-share (PNW Smart Grid Demo)</t>
  </si>
  <si>
    <t xml:space="preserve">greenfield industrial site (SE Salem)</t>
  </si>
  <si>
    <t xml:space="preserve">2013 demonstration incl. building and smart-grid controls</t>
  </si>
  <si>
    <t xml:space="preserve">https://investors.portlandgeneral.com/news-releases/news-release-details/portland-general-electric-opens-salem-smart-power-center-along</t>
  </si>
  <si>
    <t xml:space="preserve">EnerDel Li-ion 5 MW/1.25 MWh; R&amp;D demo - not representative of commercial cost</t>
  </si>
  <si>
    <t xml:space="preserve">Waena BESS (Maui)</t>
  </si>
  <si>
    <t xml:space="preserve">Hawaiian Electric (Maui Electric)</t>
  </si>
  <si>
    <t xml:space="preserve">HI</t>
  </si>
  <si>
    <t xml:space="preserve">non-ISO (island)</t>
  </si>
  <si>
    <t xml:space="preserve">approved budget/estimate (HPUC Dec 2023)</t>
  </si>
  <si>
    <t xml:space="preserve">all-in purchase and installation; EPRM cost recovery</t>
  </si>
  <si>
    <t xml:space="preserve">greenfield on utility land adjacent Waena switchyard</t>
  </si>
  <si>
    <t xml:space="preserve">https://www.sec.gov/Archives/edgar/data/0000354707/000035470726000054/he-20260630.htm</t>
  </si>
  <si>
    <t xml:space="preserve">Original 2020 estimate $60M; July 2025 PUC allowed recovery up to +20% over estimate for tariff-driven cost changes; $27.2M incurred as of 6/30/2026; Tesla Megapack</t>
  </si>
  <si>
    <t xml:space="preserve">Arlington Microgrid</t>
  </si>
  <si>
    <t xml:space="preserve">Snohomish County PUD</t>
  </si>
  <si>
    <t xml:space="preserve">WA</t>
  </si>
  <si>
    <t xml:space="preserve">all-in microgrid incl. 500 kW solar, Clean Energy Center building, V2G, controls</t>
  </si>
  <si>
    <t xml:space="preserve">greenfield at PUD Arlington office site</t>
  </si>
  <si>
    <t xml:space="preserve">microgrid incl. solar, building, V2G</t>
  </si>
  <si>
    <t xml:space="preserve">https://www.snopud.com/community-environment/our-energy-future/projects/arlington-microgrid-project/</t>
  </si>
  <si>
    <t xml:space="preserve">$3.5M WA Clean Energy Fund grant; battery-only cost not separated COD corrected to Oct 2021 (EIA-860M).</t>
  </si>
  <si>
    <t xml:space="preserve">Reid Gardner BESS</t>
  </si>
  <si>
    <t xml:space="preserve">NV Energy (Berkshire Hathaway Energy)</t>
  </si>
  <si>
    <t xml:space="preserve">NV</t>
  </si>
  <si>
    <t xml:space="preserve">non-ISO (WECC; EIM)</t>
  </si>
  <si>
    <t xml:space="preserve">all-in</t>
  </si>
  <si>
    <t xml:space="preserve">coal-site (retired Reid Gardner Generating Station)</t>
  </si>
  <si>
    <t xml:space="preserve">https://reviewjournal.com/business/energy/nv-energy-cuts-ribbon-on-257m-facility-meant-to-boost-solar-energy-3040299</t>
  </si>
  <si>
    <t xml:space="preserve">Energy Vault EPC; ~40% (~$100M) of cost offset by IRA tax credits; PUCN approved 2022</t>
  </si>
  <si>
    <t xml:space="preserve">Constable (Evergreen) BESS</t>
  </si>
  <si>
    <t xml:space="preserve">final/actual (Electric Utility Plant recorded incl. AFUDC, 10-K)</t>
  </si>
  <si>
    <t xml:space="preserve">rate-base capital incl. AFUDC (EPC by Mortenson)</t>
  </si>
  <si>
    <t xml:space="preserve">greenfield (Hillsboro)</t>
  </si>
  <si>
    <t xml:space="preserve">https://www.sec.gov/Archives/edgar/data/784977/000078497725000012/por-20241231.htm</t>
  </si>
  <si>
    <t xml:space="preserve">4-hour; COD Dec 2024</t>
  </si>
  <si>
    <t xml:space="preserve">Seaside BESS</t>
  </si>
  <si>
    <t xml:space="preserve">contract price (fixed-cost build-transfer agreement, excl. AFUDC)</t>
  </si>
  <si>
    <t xml:space="preserve">EPC/BTA turnkey excl. AFUDC</t>
  </si>
  <si>
    <t xml:space="preserve">greenfield (North Portland)</t>
  </si>
  <si>
    <t xml:space="preserve">Eolian BTA; OPUC Order 25-417 rate base $220M net of $125M ITC; COD July 2025</t>
  </si>
  <si>
    <t xml:space="preserve">Essex Solar + Storage</t>
  </si>
  <si>
    <t xml:space="preserve">Green Mountain Power</t>
  </si>
  <si>
    <t xml:space="preserve">VT</t>
  </si>
  <si>
    <t xml:space="preserve">estimate (development + interconnection)</t>
  </si>
  <si>
    <t xml:space="preserve">all-in incl. 4.9 MW solar (18,326 panels) and interconnection</t>
  </si>
  <si>
    <t xml:space="preserve">greenfield</t>
  </si>
  <si>
    <t xml:space="preserve">bundles 4.9 MW solar</t>
  </si>
  <si>
    <t xml:space="preserve">https://vtdigger.org/2022/09/29/green-mountain-power-expands-battery-storage-to-avoid-buying-energy-from-the-grid/</t>
  </si>
  <si>
    <t xml:space="preserve">Tesla Powerpack 2 MW/4-hour; cost includes solar - not separable COD corrected to Sep 2019 (EIA-860M).</t>
  </si>
  <si>
    <t xml:space="preserve">Northern New York (Chateaugay) BESS</t>
  </si>
  <si>
    <t xml:space="preserve">New York Power Authority</t>
  </si>
  <si>
    <t xml:space="preserve">other (state power authority)</t>
  </si>
  <si>
    <t xml:space="preserve">approved budget (NYPA Trustees)</t>
  </si>
  <si>
    <t xml:space="preserve">existing substation (adjacent NYPA Willis substation)</t>
  </si>
  <si>
    <t xml:space="preserve">https://nypa.gov/news/press-releases/2023/20230825-utility</t>
  </si>
  <si>
    <t xml:space="preserve">1-hour system; initial $23.8M approval + $6M added</t>
  </si>
  <si>
    <t xml:space="preserve">Ozone Park BESS</t>
  </si>
  <si>
    <t xml:space="preserve">Con Edison</t>
  </si>
  <si>
    <t xml:space="preserve">estimate (utility spokesman: 'about $15 million')</t>
  </si>
  <si>
    <t xml:space="preserve">all-in facility</t>
  </si>
  <si>
    <t xml:space="preserve">utility property in Ozone Park, Queens (distribution)</t>
  </si>
  <si>
    <t xml:space="preserve">https://ny1.com/nyc/queens/news/2019/05/10/con-ed-creates-battery-farm-to-address-summer-strain-on-power-grid</t>
  </si>
  <si>
    <t xml:space="preserve">8-hour; some sources cite 2 MW; cost figure is an informal spokesman statement</t>
  </si>
  <si>
    <t xml:space="preserve">Hot Springs Microgrid</t>
  </si>
  <si>
    <t xml:space="preserve">Duke Energy Progress</t>
  </si>
  <si>
    <t xml:space="preserve">NC</t>
  </si>
  <si>
    <t xml:space="preserve">non-ISO (SERC)</t>
  </si>
  <si>
    <t xml:space="preserve">all-in microgrid incl. 2 MW(AC) solar and controls</t>
  </si>
  <si>
    <t xml:space="preserve">greenfield (town of Hot Springs)</t>
  </si>
  <si>
    <t xml:space="preserve">bundles 2 MW solar; MWh not confirmed</t>
  </si>
  <si>
    <t xml:space="preserve">https://www.theassemblync.com/business/hot-springs-microgrid-duke-energy/</t>
  </si>
  <si>
    <t xml:space="preserve">Battery cited as 4 MW/16 MWh in NCUC filings and 4.4 MW in Duke releases; MWh left blank (not confirmed in retrieved excerpts); 2017 announcement put Hot Springs + Asheville combined at ~$30M</t>
  </si>
  <si>
    <t xml:space="preserve">Virginia battery pilot portfolio (Scott Solar 10+2 MW, New Kent 2 MW, Hanover/Ashland 2 MW)</t>
  </si>
  <si>
    <t xml:space="preserve">Dominion Energy Virginia</t>
  </si>
  <si>
    <t xml:space="preserve">VA</t>
  </si>
  <si>
    <t xml:space="preserve">PJM</t>
  </si>
  <si>
    <t xml:space="preserve">company estimate at SCC filing (portfolio of three sites, ~$33M)</t>
  </si>
  <si>
    <t xml:space="preserve">all-in construction</t>
  </si>
  <si>
    <t xml:space="preserve">mixed: solar co-located (Scott Solar) and substation sites</t>
  </si>
  <si>
    <t xml:space="preserve">https://www.tdworld.com/distributed-energy-resources/energy-storage/article/20972946/dominion-energy-announces-battery-storage-pilot-projects</t>
  </si>
  <si>
    <t xml:space="preserve">Scott Solar units are 4-hour (48 MWh); MWh for 2 MW units not confirmed so total left blank; SCC approved Feb 2020; Scott Solar operational 2022 | MWh and cost added 2 Oct 2026 (Scott 48 + Ashland 4 + New Kent 4 MWh)</t>
  </si>
  <si>
    <t xml:space="preserve">Glacier BESS</t>
  </si>
  <si>
    <t xml:space="preserve">Puget Sound Energy</t>
  </si>
  <si>
    <t xml:space="preserve">final/actual (PSE $7.4M + $3.8M state grant)</t>
  </si>
  <si>
    <t xml:space="preserve">all-in demonstration</t>
  </si>
  <si>
    <t xml:space="preserve">existing substation (adjacent Glacier substation)</t>
  </si>
  <si>
    <t xml:space="preserve">https://www.pse.com/en/pages/grid-modernization/glacier-demo-project</t>
  </si>
  <si>
    <t xml:space="preserve">WA Dept of Commerce $3.8M Smart Grid grant; PNNL performance reports</t>
  </si>
  <si>
    <t xml:space="preserve">Chugach BESS (Southcentral Power Project site)</t>
  </si>
  <si>
    <t xml:space="preserve">Chugach Electric Association (75%) / Matanuska Electric Association (25%)</t>
  </si>
  <si>
    <t xml:space="preserve">AK</t>
  </si>
  <si>
    <t xml:space="preserve">non-ISO (Railbelt)</t>
  </si>
  <si>
    <t xml:space="preserve">existing generation site (adjacent SPP plant)</t>
  </si>
  <si>
    <t xml:space="preserve">https://www.chugachelectric.com/your-cooperative/news-community/news-releases/2024/10/7/battery-energy-storage-system-officially-commissioned</t>
  </si>
  <si>
    <t xml:space="preserve">24 Tesla Megapacks; ADN reported $63M in 2023, $65M at 2024 commissioning; may qualify for ITC</t>
  </si>
  <si>
    <t xml:space="preserve">Trenton Channel Energy Center BESS</t>
  </si>
  <si>
    <t xml:space="preserve">DTE Electric</t>
  </si>
  <si>
    <t xml:space="preserve">MI</t>
  </si>
  <si>
    <t xml:space="preserve">MISO</t>
  </si>
  <si>
    <t xml:space="preserve">approved estimate (MPSC, 2024)</t>
  </si>
  <si>
    <t xml:space="preserve">all-in incl. new substation and transmission tie</t>
  </si>
  <si>
    <t xml:space="preserve">coal-site (retired Trenton Channel plant)</t>
  </si>
  <si>
    <t xml:space="preserve">https://www.energy-storage.news/us-utility-dte-starts-220mw-880mwh-bess-project-at-michigan-coal-plant-site/</t>
  </si>
  <si>
    <t xml:space="preserve">Powin LFP; ~$140M IRA tax credits offset; planned COD 2026</t>
  </si>
  <si>
    <t xml:space="preserve">Roadrunner Reserve (Phase 1)</t>
  </si>
  <si>
    <t xml:space="preserve">Tucson Electric Power</t>
  </si>
  <si>
    <t xml:space="preserve">AZ</t>
  </si>
  <si>
    <t xml:space="preserve">non-ISO (WECC SW)</t>
  </si>
  <si>
    <t xml:space="preserve">estimate at announcement (2023)</t>
  </si>
  <si>
    <t xml:space="preserve">EPC turnkey (DEPCOM Power)</t>
  </si>
  <si>
    <t xml:space="preserve">greenfield (SE Tucson)</t>
  </si>
  <si>
    <t xml:space="preserve">https://tucson.com/news/local/business/article_95df9266-623a-11ee-8f58-8bdd862facf6.html</t>
  </si>
  <si>
    <t xml:space="preserve">TEP later described the first 200 MW as a '$350 million investment' (tep.com) - unclear whether $350M is updated Phase 1 cost or Phase 2; both reported</t>
  </si>
  <si>
    <t xml:space="preserve">Roadrunner Reserve 2 (Phase 2)</t>
  </si>
  <si>
    <t xml:space="preserve">estimate (utility statement)</t>
  </si>
  <si>
    <t xml:space="preserve">existing site expansion (adjacent Phase 1)</t>
  </si>
  <si>
    <t xml:space="preserve">https://www.tep.com/roadrunner/</t>
  </si>
  <si>
    <t xml:space="preserve">Online June 2026 per TEP; combined 400 MW / 1,600 MWh</t>
  </si>
  <si>
    <t xml:space="preserve">Minnesota utility-owned distribution battery program (200 MW)</t>
  </si>
  <si>
    <t xml:space="preserve">Xcel Energy (Northern States Power-MN)</t>
  </si>
  <si>
    <t xml:space="preserve">MN</t>
  </si>
  <si>
    <t xml:space="preserve">approved program budget (MPUC, 2026)</t>
  </si>
  <si>
    <t xml:space="preserve">rate-base program capital (multiple distribution sites)</t>
  </si>
  <si>
    <t xml:space="preserve">distribution substations (various)</t>
  </si>
  <si>
    <t xml:space="preserve">program budget, MWh not stated</t>
  </si>
  <si>
    <t xml:space="preserve">https://www.utilitydive.com/news/minnesota-approves-xcels-controversial-utility-owned-virtual-power-plant/816673/</t>
  </si>
  <si>
    <t xml:space="preserve">Programmatic, not a single project; PUC approved 200 MW with interim assessment at 50 MW; duration not confirmed in retrieved excerpt</t>
  </si>
  <si>
    <t xml:space="preserve">Harding Street BESS</t>
  </si>
  <si>
    <t xml:space="preserve">Indianapolis Power &amp; Light (AES Indiana)</t>
  </si>
  <si>
    <t xml:space="preserve">IN</t>
  </si>
  <si>
    <t xml:space="preserve">estimate at announcement (2015)</t>
  </si>
  <si>
    <t xml:space="preserve">existing generation site (Harding Street station)</t>
  </si>
  <si>
    <t xml:space="preserve">https://www.utilitydive.com/news/indianapolis-power-light-to-invest-25m-in-storage-facility/399502/</t>
  </si>
  <si>
    <t xml:space="preserve">First MISO grid battery; primary frequency response; placed in rate base</t>
  </si>
  <si>
    <t xml:space="preserve">Kingsbery Community Solar + Storage</t>
  </si>
  <si>
    <t xml:space="preserve">Austin Energy</t>
  </si>
  <si>
    <t xml:space="preserve">TX</t>
  </si>
  <si>
    <t xml:space="preserve">ERCOT</t>
  </si>
  <si>
    <t xml:space="preserve">all-in battery incl. install at community solar site</t>
  </si>
  <si>
    <t xml:space="preserve">existing substation (Kingsbery) with community solar</t>
  </si>
  <si>
    <t xml:space="preserve">https://www.statesman.com/story/news/2016/09/04/austin-energy-poised-to-test-its-first-energy-storage-system/9995279007/</t>
  </si>
  <si>
    <t xml:space="preserve">$1M TCEQ grant; Tesla battery (Younicos integrator) COD corrected to Sep 2018 (EIA-860M).</t>
  </si>
  <si>
    <t xml:space="preserve">Nova Scotia BESS portfolio (Bridgewater, Waverley, White Rock; 3 x 50 MW) [CANADA]</t>
  </si>
  <si>
    <t xml:space="preserve">Nova Scotia Power (Emera) with Wskijnu'k Mtmo'taqnuow Agency</t>
  </si>
  <si>
    <t xml:space="preserve">NS (Canada)</t>
  </si>
  <si>
    <t xml:space="preserve">non-ISO (NS Power)</t>
  </si>
  <si>
    <t xml:space="preserve">approved budget (NSUARB) incl. AFUDC</t>
  </si>
  <si>
    <t xml:space="preserve">rate-base capital incl. AFUDC</t>
  </si>
  <si>
    <t xml:space="preserve">greenfield (3 sites)</t>
  </si>
  <si>
    <t xml:space="preserve">https://www.cbc.ca/news/canada/nova-scotia/nsp-battery-storage-system-approved-1.7235197</t>
  </si>
  <si>
    <t xml:space="preserve">Reported C$354M incl AFUDC; converted at ~0.73 USD/CAD (approximate); C$109M NRCan grant + C$138.2M CIB loan; 4-hour</t>
  </si>
  <si>
    <t xml:space="preserve">Guam ESS (Agana 24 MW/6 MWh + Talofofo 16 MW/16 MWh)</t>
  </si>
  <si>
    <t xml:space="preserve">Guam Power Authority</t>
  </si>
  <si>
    <t xml:space="preserve">GU</t>
  </si>
  <si>
    <t xml:space="preserve">contract price (turnkey, 2017)</t>
  </si>
  <si>
    <t xml:space="preserve">EPC turnkey (LG CNS)</t>
  </si>
  <si>
    <t xml:space="preserve">existing substations</t>
  </si>
  <si>
    <t xml:space="preserve">https://www.utilitydive.com/news/lg-subsidiary-will-install-40-mw-of-batteries-on-guam/444490/</t>
  </si>
  <si>
    <t xml:space="preserve">Two systems under one $43M contract; 12-month delivery from 2017; reported operating by 2021; COD year not confirmed in excerpts</t>
  </si>
  <si>
    <t xml:space="preserve">Fairhaven BESS</t>
  </si>
  <si>
    <t xml:space="preserve">Baltimore Gas &amp; Electric (Exelon)</t>
  </si>
  <si>
    <t xml:space="preserve">MD</t>
  </si>
  <si>
    <t xml:space="preserve">final/actual (reported to MD PSC)</t>
  </si>
  <si>
    <t xml:space="preserve">all-in utility-owned</t>
  </si>
  <si>
    <t xml:space="preserve">existing substation (Fairhaven)</t>
  </si>
  <si>
    <t xml:space="preserve">https://psc.maryland.gov/wp-content/uploads/Energy-Storage-Pilot-Program-Interim-Report.pdf</t>
  </si>
  <si>
    <t xml:space="preserve">Initial estimate $9,841,000; actual $16,161,336; MWh cited as 7.1 (proposal) and 9.74 (interim report); PJM frequency regulation + winter peak</t>
  </si>
  <si>
    <t xml:space="preserve">Regina BESS [CANADA]</t>
  </si>
  <si>
    <t xml:space="preserve">SaskPower</t>
  </si>
  <si>
    <t xml:space="preserve">other (crown utility)</t>
  </si>
  <si>
    <t xml:space="preserve">SK (Canada)</t>
  </si>
  <si>
    <t xml:space="preserve">non-ISO (SaskPower)</t>
  </si>
  <si>
    <t xml:space="preserve">as-built C$34M per secondary source (estimate C$26M), converted at 0.74 USD/CAD</t>
  </si>
  <si>
    <t xml:space="preserve">greenfield (Regina)</t>
  </si>
  <si>
    <t xml:space="preserve">https://www.cbc.ca/news/canada/saskatchewan/saskpower-battery-energy-storage-1.7253756</t>
  </si>
  <si>
    <t xml:space="preserve">MWh set to 20 (20 MW / 20 MWh) and cost re-based to the as-built figure 2 Oct 2026; FX 0.74</t>
  </si>
  <si>
    <t xml:space="preserve">Stafford Hill Solar + Storage (Rutland)</t>
  </si>
  <si>
    <t xml:space="preserve">final/actual (storage component)</t>
  </si>
  <si>
    <t xml:space="preserve">battery + inverters (storage share of $10M project)</t>
  </si>
  <si>
    <t xml:space="preserve">greenfield (capped landfill) with 2.5 MW solar</t>
  </si>
  <si>
    <t xml:space="preserve">https://www.cleanegroup.org/initiatives/technical-assistance-fund/featured-installations/stafford-hill/</t>
  </si>
  <si>
    <t xml:space="preserve">Mixed chemistry: 2 MW/1 MWh Li-ion + 2 MW/2.4 MWh advanced lead-acid; solar portion ~$5.77M</t>
  </si>
  <si>
    <t xml:space="preserve">Westside Canal BESS Phase 2a</t>
  </si>
  <si>
    <t xml:space="preserve">San Diego Gas &amp; Electric (Sempra)</t>
  </si>
  <si>
    <t xml:space="preserve">CA</t>
  </si>
  <si>
    <t xml:space="preserve">CAISO</t>
  </si>
  <si>
    <t xml:space="preserve">approved estimate (CPUC)</t>
  </si>
  <si>
    <t xml:space="preserve">existing site (adjacent Westside Canal Phase 1, Imperial Valley)</t>
  </si>
  <si>
    <t xml:space="preserve">https://www.sempra.com/newsroom/press-releases/sdge-expands-energy-storage-capabilities-enhance-grid-resiliency-and</t>
  </si>
  <si>
    <t xml:space="preserve">COD Dec 2024; duration/MWh not confirmed in retrieved excerpt (SDG&amp;E portfolio is predominantly 4-hour)</t>
  </si>
  <si>
    <t xml:space="preserve">Westside Canal BESS Phase 2b (expansion)</t>
  </si>
  <si>
    <t xml:space="preserve">approved estimate (CPUC, Mar 2025)</t>
  </si>
  <si>
    <t xml:space="preserve">existing site expansion (Imperial Valley)</t>
  </si>
  <si>
    <t xml:space="preserve">Adds 100 MW to existing 131 MW facility; projected fully operational June 2025; MWh not confirmed</t>
  </si>
  <si>
    <t xml:space="preserve">Smarter Network Storage (Leighton Buzzard) [UK]</t>
  </si>
  <si>
    <t xml:space="preserve">UK Power Networks</t>
  </si>
  <si>
    <t xml:space="preserve">IOU (regulated DNO)</t>
  </si>
  <si>
    <t xml:space="preserve">Bedfordshire (UK)</t>
  </si>
  <si>
    <t xml:space="preserve">GB (National Grid ESO)</t>
  </si>
  <si>
    <t xml:space="preserve">final (project budget)</t>
  </si>
  <si>
    <t xml:space="preserve">all-in demonstration incl. trials/R&amp;D (Low Carbon Networks Fund)</t>
  </si>
  <si>
    <t xml:space="preserve">existing primary substation</t>
  </si>
  <si>
    <t xml:space="preserve">R&amp;D demonstration incl. trials</t>
  </si>
  <si>
    <t xml:space="preserve">https://innovation.ukpowernetworks.co.uk/projects/smarter-network-storage-sns</t>
  </si>
  <si>
    <t xml:space="preserve">Reported GBP 18.7M; converted at ~1.55 USD/GBP (2014); Samsung SDI/S&amp;C/Younicos</t>
  </si>
  <si>
    <t xml:space="preserve">Dalrymple ESCRI BESS [AUSTRALIA]</t>
  </si>
  <si>
    <t xml:space="preserve">ElectraNet (transmission network service provider)</t>
  </si>
  <si>
    <t xml:space="preserve">IOU (regulated TNSP)</t>
  </si>
  <si>
    <t xml:space="preserve">SA (Australia)</t>
  </si>
  <si>
    <t xml:space="preserve">NEM</t>
  </si>
  <si>
    <t xml:space="preserve">existing substation (Dalrymple)</t>
  </si>
  <si>
    <t xml:space="preserve">https://arena.gov.au/news/grid-scale-escri-battery-charges-up-in-south-australia/</t>
  </si>
  <si>
    <t xml:space="preserve">Reported A$30M; converted at ~0.74 USD/AUD (2018); A$12M ARENA grant later repaid; operated by AGL under lease</t>
  </si>
  <si>
    <t xml:space="preserve">Oneida Energy Storage [CANADA]</t>
  </si>
  <si>
    <t xml:space="preserve">Northland Power / Six Nations of the Grand River / NRStor / Aecon</t>
  </si>
  <si>
    <t xml:space="preserve">IPP</t>
  </si>
  <si>
    <t xml:space="preserve">ON (Canada)</t>
  </si>
  <si>
    <t xml:space="preserve">IESO</t>
  </si>
  <si>
    <t xml:space="preserve">final/actual (reported ~C$700M vs C$800M budget)</t>
  </si>
  <si>
    <t xml:space="preserve">greenfield (Haldimand County)</t>
  </si>
  <si>
    <t xml:space="preserve">https://www.northlandpower.com/en/news/press-release/northland-power-announces-commercial-operations-at-oneida-energy-storage-project-canadas-largest-bat.aspx</t>
  </si>
  <si>
    <t xml:space="preserve">Converted at ~0.73 USD/CAD; CIB loan; IESO capacity contract; COD May 2025</t>
  </si>
  <si>
    <t xml:space="preserve">SwRI Solar + Storage (5 MW PV + 10 MW BESS)</t>
  </si>
  <si>
    <t xml:space="preserve">CPS Energy</t>
  </si>
  <si>
    <t xml:space="preserve">approved budget (CPS Board)</t>
  </si>
  <si>
    <t xml:space="preserve">all-in incl. 5 MW solar</t>
  </si>
  <si>
    <t xml:space="preserve">greenfield (SwRI land, San Antonio)</t>
  </si>
  <si>
    <t xml:space="preserve">bundles 5 MW solar</t>
  </si>
  <si>
    <t xml:space="preserve">https://www.powermag.com/press-releases/cps-energy-launches-solar-energy-and-battery-storage-project/</t>
  </si>
  <si>
    <t xml:space="preserve">$3M TCEQ NTIG grant; cost includes solar - not separable</t>
  </si>
  <si>
    <t xml:space="preserve">SCE substation BESS portfolio (Springvale 225 MW, Hinson 200 MW, Etiwanda 112.5 MW)</t>
  </si>
  <si>
    <t xml:space="preserve">Southern California Edison</t>
  </si>
  <si>
    <t xml:space="preserve">contract price (EPCM contract, CPUC-authorized Dec 2021)</t>
  </si>
  <si>
    <t xml:space="preserve">EPC + maintenance (Ameresco EPCM)</t>
  </si>
  <si>
    <t xml:space="preserve">4-hour; emergency reliability procurement under 2021 Governor's proclamation; aggregate of three sites</t>
  </si>
  <si>
    <t xml:space="preserve">Whitehorse Grid-Scale BESS [CANADA]</t>
  </si>
  <si>
    <t xml:space="preserve">Yukon Energy</t>
  </si>
  <si>
    <t xml:space="preserve">YT (Canada)</t>
  </si>
  <si>
    <t xml:space="preserve">non-ISO (Yukon isolated grid)</t>
  </si>
  <si>
    <t xml:space="preserve">YUB-reviewed final capital estimate C$35M, converted at 0.74 USD/CAD</t>
  </si>
  <si>
    <t xml:space="preserve">greenfield (Whitehorse)</t>
  </si>
  <si>
    <t xml:space="preserve">https://yukonenergy.ca/energy-in-yukon/projects-facilities/battery-storage</t>
  </si>
  <si>
    <t xml:space="preserve">COD 2023 and final-estimate cost added 2 Oct 2026; C$16.5M federal contribution not netted; FX 0.74</t>
  </si>
  <si>
    <t xml:space="preserve">Rock Hill (Asheville) substation BESS</t>
  </si>
  <si>
    <t xml:space="preserve">estimate (upper bound: 'less than $15 million')</t>
  </si>
  <si>
    <t xml:space="preserve">existing substation (Rock Hill, Sweeten Creek Rd)</t>
  </si>
  <si>
    <t xml:space="preserve">https://news.duke-energy.com/releases/north-carolinas-largest-battery-system-now-operating-at-duke-energy-substation</t>
  </si>
  <si>
    <t xml:space="preserve">Cost is an upper bound; MWh not confirmed; 2017 announcement: Hot Springs + Asheville ~$30M combined</t>
  </si>
  <si>
    <t xml:space="preserve">Morro Bay BESS (proposed, not built)</t>
  </si>
  <si>
    <t xml:space="preserve">Vistra</t>
  </si>
  <si>
    <t xml:space="preserve">estimate ($500-600M, developer statement)</t>
  </si>
  <si>
    <t xml:space="preserve">existing retired gas plant site (Morro Bay)</t>
  </si>
  <si>
    <t xml:space="preserve">proposed, no COD, developer statement</t>
  </si>
  <si>
    <t xml:space="preserve">https://esterobaynews.com/featured-stories/vistra-proposes-worlds-biggest-battery-storage-facility/</t>
  </si>
  <si>
    <t xml:space="preserve">Midpoint of $500-600M range; local approval not obtained; project status uncertain/reportedly shelved; cod_year blank</t>
  </si>
  <si>
    <t xml:space="preserve">Kwinana BESS Stage 1 [AUSTRALIA]</t>
  </si>
  <si>
    <t xml:space="preserve">Synergy (WA state-owned utility)</t>
  </si>
  <si>
    <t xml:space="preserve">other (state-owned utility)</t>
  </si>
  <si>
    <t xml:space="preserve">WA (Australia)</t>
  </si>
  <si>
    <t xml:space="preserve">SWIS/WEM</t>
  </si>
  <si>
    <t xml:space="preserve">final (as reported)</t>
  </si>
  <si>
    <t xml:space="preserve">coal-site (decommissioned Kwinana Power Station)</t>
  </si>
  <si>
    <t xml:space="preserve">https://www.pv-magazine-australia.com/2023/05/15/wa-plans-bigger-batteries-as-200-kwinana-system-put-to-test/</t>
  </si>
  <si>
    <t xml:space="preserve">Reported A$155M (USD 103.5M as stated by source); state/federal funded</t>
  </si>
  <si>
    <t xml:space="preserve">WindCharger [CANADA]</t>
  </si>
  <si>
    <t xml:space="preserve">TransAlta Renewables</t>
  </si>
  <si>
    <t xml:space="preserve">AB (Canada)</t>
  </si>
  <si>
    <t xml:space="preserve">AESO</t>
  </si>
  <si>
    <t xml:space="preserve">final/actual (total capital cost)</t>
  </si>
  <si>
    <t xml:space="preserve">existing wind farm site (Summerview II)</t>
  </si>
  <si>
    <t xml:space="preserve">https://renewablesnow.com/news/transalta-renewables-10-mw-wind-powered-battery-reaches-cod-in-alberta-717754/</t>
  </si>
  <si>
    <t xml:space="preserve">Reported C$14.5M (USD 11M as stated by source); ~50% ERA grant; Tesla Megapack</t>
  </si>
  <si>
    <t xml:space="preserve">Weld Energy Storage (for Platte River Power Authority)</t>
  </si>
  <si>
    <t xml:space="preserve">Weld Energy Storage LLC (NextEra Energy Resources)</t>
  </si>
  <si>
    <t xml:space="preserve">CO</t>
  </si>
  <si>
    <t xml:space="preserve">non-ISO (WECC)</t>
  </si>
  <si>
    <t xml:space="preserve">estimate (reported project cost)</t>
  </si>
  <si>
    <t xml:space="preserve">greenfield (Weld County)</t>
  </si>
  <si>
    <t xml:space="preserve">https://coloradobiz.com/platte-river-energy-storage-weld-county-battery-project/</t>
  </si>
  <si>
    <t xml:space="preserve">IPP-owned under long-term storage agreement with Platte River; MW not confirmed in retrieved excerpt; planned COD late 2026</t>
  </si>
  <si>
    <t xml:space="preserve">Glenarm BESS (for Pasadena Water &amp; Power)</t>
  </si>
  <si>
    <t xml:space="preserve">Glenarm BESS LLC (EPC Energy SPE)</t>
  </si>
  <si>
    <t xml:space="preserve">contract price (15-year services contract value)</t>
  </si>
  <si>
    <t xml:space="preserve">contract value - not a construction cost</t>
  </si>
  <si>
    <t xml:space="preserve">existing gas plant site (Glenarm Power Plant)</t>
  </si>
  <si>
    <t xml:space="preserve">15-year contract value, not capex</t>
  </si>
  <si>
    <t xml:space="preserve">https://pasadenanow.com/main/city-committee-unanimously-approves-100-million-long-term-contracts-for-renewable-energy-battery-energy-storage</t>
  </si>
  <si>
    <t xml:space="preserve">$9.6M CEC DEBA grant to PWP; 4-hour; planned COD 2027; treat as contract value not capex</t>
  </si>
  <si>
    <t xml:space="preserve">NineDot Arthur Kill Road BESS (Staten Island)</t>
  </si>
  <si>
    <t xml:space="preserve">NineDot Energy (GB Arthur Kill Storage LLC)</t>
  </si>
  <si>
    <t xml:space="preserve">developer</t>
  </si>
  <si>
    <t xml:space="preserve">NYCIDA project budget (inducement resolution Apr 2024)</t>
  </si>
  <si>
    <t xml:space="preserve">all-in developer-owned (total project cost incl. solar canopy); incentives not netted</t>
  </si>
  <si>
    <t xml:space="preserve">leased lot, distribution-connected, two 4.9 MW systems</t>
  </si>
  <si>
    <t xml:space="preserve">https://edc.nyc/sites/default/files/2025-03/GB%20Arthur%20Kill%20Storage%20LLC%20-%20Inducement%20and%20Authorizing%20Resolution%20April%202024.pdf</t>
  </si>
  <si>
    <t xml:space="preserve">Added 2 Oct 2026 after review comment; 4-h; VDER revenue; NYSERDA incentive and ITC not netted Cost corrected 5 Oct 2026 to NineDot's own NYCIDA Mar 2024 notice ($39,440,000); the $43,384,000 previously used came from Elevate's resolution.</t>
  </si>
  <si>
    <t xml:space="preserve">Elevate Renewables Victory Blvd BESS (Staten Island)</t>
  </si>
  <si>
    <t xml:space="preserve">Elevate Renewables F7 LLC (ArcLight)</t>
  </si>
  <si>
    <t xml:space="preserve">NYCIDA total project cost (public hearing notice Apr 2024)</t>
  </si>
  <si>
    <t xml:space="preserve">all-in developer-owned (total project cost); incentives not netted</t>
  </si>
  <si>
    <t xml:space="preserve">existing ArcLight generation site, 4401 Victory Blvd</t>
  </si>
  <si>
    <t xml:space="preserve">https://edc.nyc/sites/default/files/2024-03/IDA-Public-Hearing-Notice-April-18-2024.pdf</t>
  </si>
  <si>
    <t xml:space="preserve">Added 2 Oct 2026; 4-h; sited at existing generation property</t>
  </si>
  <si>
    <t xml:space="preserve">Soltage Brigis 1A BESS (Maspeth, Queens)</t>
  </si>
  <si>
    <t xml:space="preserve">Soltage NY DevCo LLC</t>
  </si>
  <si>
    <t xml:space="preserve">NYCIDA total project cost (public hearing notice Mar 2024)</t>
  </si>
  <si>
    <t xml:space="preserve">53-05 46th St, Maspeth; distribution-connected</t>
  </si>
  <si>
    <t xml:space="preserve">https://edc.nyc/sites/default/files/2024-02/IDA-Public-Hearing-Notice-March-7-2024-Public-Hearing.pdf</t>
  </si>
  <si>
    <t xml:space="preserve">Added 2 Oct 2026; MWh not stated in excerpt, 4-h assumed (NY retail-tier norm)</t>
  </si>
  <si>
    <t xml:space="preserve">Ashburnham MLP substation BESS</t>
  </si>
  <si>
    <t xml:space="preserve">Ashburnham Municipal Light Plant</t>
  </si>
  <si>
    <t xml:space="preserve">reported total plant cost (NEC / MMWEC)</t>
  </si>
  <si>
    <t xml:space="preserve">all-in muni-owned standalone; $600K ACES grant not netted</t>
  </si>
  <si>
    <t xml:space="preserve">adjacent to substation</t>
  </si>
  <si>
    <t xml:space="preserve">https://www.energy-storage.news/news/east-coast-ess-projects-switched-on-by-nec-aggreko</t>
  </si>
  <si>
    <t xml:space="preserve">Added 2 Oct 2026 (NE research pass); NEC Energy Solutions</t>
  </si>
  <si>
    <t xml:space="preserve">Braintree BELD solar-sited BESS</t>
  </si>
  <si>
    <t xml:space="preserve">Braintree Electric Light Department</t>
  </si>
  <si>
    <t xml:space="preserve">reported installed cost of battery (Borrego)</t>
  </si>
  <si>
    <t xml:space="preserve">battery cost only; co-located solar excluded; $700K ACES grant not netted</t>
  </si>
  <si>
    <t xml:space="preserve">co-located with solar (customer site)</t>
  </si>
  <si>
    <t xml:space="preserve">https://www.canarymedia.com/articles/enn/massachusetts-grants-help-get-energy-storage-projects-off-the-ground</t>
  </si>
  <si>
    <t xml:space="preserve">Added 2 Oct 2026; solar scope separate per source COD corrected to Jun 2018 (EIA-860M).</t>
  </si>
  <si>
    <t xml:space="preserve">Wellesley MLP BESS (Citizens Energy)</t>
  </si>
  <si>
    <t xml:space="preserve">Citizens Energy Corporation (third-party owner; savings shared with Wellesley MLP)</t>
  </si>
  <si>
    <t xml:space="preserve">reported project cost range $10M-$12M (midpoint used)</t>
  </si>
  <si>
    <t xml:space="preserve">all-in third-party-owned; no grant noted</t>
  </si>
  <si>
    <t xml:space="preserve">standalone containerized LFP (LS Energy Solutions)</t>
  </si>
  <si>
    <t xml:space="preserve">https://commonwealthbeacon.org/energy/wellesley-battery-expected-to-save-town-residents-8m-a-year/</t>
  </si>
  <si>
    <t xml:space="preserve">Added 2 Oct 2026; midpoint of a reported range</t>
  </si>
  <si>
    <t xml:space="preserve">Concord MLP grid-scale battery (planned)</t>
  </si>
  <si>
    <t xml:space="preserve">Concord Municipal Light Plant</t>
  </si>
  <si>
    <t xml:space="preserve">capital cost estimate / borrowing authorization (Special Town Meeting 1 May 2024)</t>
  </si>
  <si>
    <t xml:space="preserve">all-in muni-owned estimate; design + construction; no grant netting stated</t>
  </si>
  <si>
    <t xml:space="preserve">standalone (town site)</t>
  </si>
  <si>
    <t xml:space="preserve">https://concordma.gov/DocumentCenter/View/48195/2024-Special-Town-Meeting---Warrant-Article-1</t>
  </si>
  <si>
    <t xml:space="preserve">Added 2 Oct 2026; estimate (not built)</t>
  </si>
  <si>
    <t xml:space="preserve">VEC Hinesburg BESS</t>
  </si>
  <si>
    <t xml:space="preserve">Vermont Electric Cooperative</t>
  </si>
  <si>
    <t xml:space="preserve">total estimated cost reported by NRECA</t>
  </si>
  <si>
    <t xml:space="preserve">all-in coop-owned standalone</t>
  </si>
  <si>
    <t xml:space="preserve">standalone</t>
  </si>
  <si>
    <t xml:space="preserve">https://www.electric.coop/energy-storage-pays-off-for-vermont-electric-cooperative</t>
  </si>
  <si>
    <t xml:space="preserve">Added 2 Oct 2026; COD year inferred from article date COD corrected to 2019 (EIA-860M, NRECA); cost figure not verifiable at source.</t>
  </si>
  <si>
    <t xml:space="preserve">North Troy BESS (VEC + GMP)</t>
  </si>
  <si>
    <t xml:space="preserve">Vermont Electric Cooperative and Green Mountain Power</t>
  </si>
  <si>
    <t xml:space="preserve">reported total project cost (about $6M; Sandia says over $5M)</t>
  </si>
  <si>
    <t xml:space="preserve">all-in; $2M DOE/Sandia grant not netted</t>
  </si>
  <si>
    <t xml:space="preserve">standalone (EVLO LFP)</t>
  </si>
  <si>
    <t xml:space="preserve">https://vtdigger.org/2024/08/16/vermont-electric-and-green-mountain-power-launch-new-large-scale-battery-in-north-troy/</t>
  </si>
  <si>
    <t xml:space="preserve">Added 2 Oct 2026; shared utility ownership</t>
  </si>
  <si>
    <t xml:space="preserve">Westmoreland Clean Innovation Project BESS (withdrawn)</t>
  </si>
  <si>
    <t xml:space="preserve">Eversource NH</t>
  </si>
  <si>
    <t xml:space="preserve">NH</t>
  </si>
  <si>
    <t xml:space="preserve">estimated capex in PUC preauthorization petition DE 19-133 (withdrawn Feb 2020)</t>
  </si>
  <si>
    <t xml:space="preserve">utility-owned battery component only (EE and BYOD separate); never built</t>
  </si>
  <si>
    <t xml:space="preserve">non-wires alternative on 10-mile circuit</t>
  </si>
  <si>
    <t xml:space="preserve">https://www.nhpr.org/nh-news/2019-05-21/eversource-plans-7m-battery-storage-demonstration-project-in-westmoreland</t>
  </si>
  <si>
    <t xml:space="preserve">Added 2 Oct 2026; estimate (petition withdrawn); COD year set to 2020 plan</t>
  </si>
  <si>
    <t xml:space="preserve">Boston Medical Center BTM BESS</t>
  </si>
  <si>
    <t xml:space="preserve">Boston Medical Center</t>
  </si>
  <si>
    <t xml:space="preserve">reported total installed cost</t>
  </si>
  <si>
    <t xml:space="preserve">behind-the-meter C&amp;I hospital system; incentives not itemized</t>
  </si>
  <si>
    <t xml:space="preserve">behind the meter</t>
  </si>
  <si>
    <t xml:space="preserve">https://pv-magazine-usa.com/2025/04/22/a-boston-hospitals-572-kw-battery-is-expected-to-pay-for-itself-in-7-10-years/</t>
  </si>
  <si>
    <t xml:space="preserve">Added 2 Oct 2026; EXCLUDE from regression (behind-the-meter sub-MW) COD corrected to 2023 (EIA-860M).</t>
  </si>
  <si>
    <t xml:space="preserve">Agilitas AE-ESS NWS 1 (Long Island City)</t>
  </si>
  <si>
    <t xml:space="preserve">Agilitas Energy</t>
  </si>
  <si>
    <t xml:space="preserve">NYCIDA cost/benefit analysis (Jul 2020)</t>
  </si>
  <si>
    <t xml:space="preserve">gross developer-owned total project cost; sales-tax exemption not netted</t>
  </si>
  <si>
    <t xml:space="preserve">leased urban lot</t>
  </si>
  <si>
    <t xml:space="preserve">https://edc.nyc/sites/default/files/2020-07/NYCIDA-Agilitas-PHP.pdf</t>
  </si>
  <si>
    <t xml:space="preserve">Added 2 Oct 2026 (NY research pass); planned 2021; listed operating 2025 COD Jun 2025 (EIA-860M).</t>
  </si>
  <si>
    <t xml:space="preserve">Greenbacker Staten Island Energy Storage 3 (Androvette St)</t>
  </si>
  <si>
    <t xml:space="preserve">Greenbacker Renewable Energy</t>
  </si>
  <si>
    <t xml:space="preserve">NYCIDA estimated project budget (Mar 2022)</t>
  </si>
  <si>
    <t xml:space="preserve">gross; NYC sales-tax exemption $384750 not netted</t>
  </si>
  <si>
    <t xml:space="preserve">leased lot</t>
  </si>
  <si>
    <t xml:space="preserve">https://edc.nyc/sites/default/files/2022-02/Staten%20Island%20PHP.pdf</t>
  </si>
  <si>
    <t xml:space="preserve">Added 2 Oct 2026</t>
  </si>
  <si>
    <t xml:space="preserve">OSCII Blondell Ave BESS (Bronx)</t>
  </si>
  <si>
    <t xml:space="preserve">Orenda / North Sky JV (later Convergent)</t>
  </si>
  <si>
    <t xml:space="preserve">NYCIDA total project cost (Jul 2023 notice)</t>
  </si>
  <si>
    <t xml:space="preserve">gross; 2-hour system</t>
  </si>
  <si>
    <t xml:space="preserve">https://edc.nyc/sites/default/files/2023-06/IDA-Public-Hearing-Notice-July-20-2023.pdf</t>
  </si>
  <si>
    <t xml:space="preserve">Added 2 Oct 2026; one of few 2-h NYC comparables</t>
  </si>
  <si>
    <t xml:space="preserve">OSCII Gildersleeve Ave BESS (Bronx)</t>
  </si>
  <si>
    <t xml:space="preserve">NYCIDA total project cost (Jul 2023; re-noticed Nov 2024)</t>
  </si>
  <si>
    <t xml:space="preserve">gross</t>
  </si>
  <si>
    <t xml:space="preserve">https://edc.nyc/sites/default/files/2024-11/OSCII%20Gildersleeve%2C%20LLC_Public%20Hearing%20Package_Redacted.pdf</t>
  </si>
  <si>
    <t xml:space="preserve">Added 2 Oct 2026; a secondary summary conflates Gildersleeve + Gun Hill; treated as per-site</t>
  </si>
  <si>
    <t xml:space="preserve">OSCII Gun Hill Rd BESS (Bronx)</t>
  </si>
  <si>
    <t xml:space="preserve">NYCIDA estimated project budget (Jul 2023 PHP)</t>
  </si>
  <si>
    <t xml:space="preserve">https://edc.nyc/sites/default/files/2023-07/Gun%20Hill%20PHP_V2%20(Redacted).pdf</t>
  </si>
  <si>
    <t xml:space="preserve">Convergent SSC Richmond Rd BESS (Staten Island)</t>
  </si>
  <si>
    <t xml:space="preserve">Convergent Energy + Power</t>
  </si>
  <si>
    <t xml:space="preserve">NYCIDA total development cost (Mar 2024 notice)</t>
  </si>
  <si>
    <t xml:space="preserve">gross; containerized; low against peers</t>
  </si>
  <si>
    <t xml:space="preserve">Added 2 Oct 2026; unusually low; verify</t>
  </si>
  <si>
    <t xml:space="preserve">NineDot Wintergreen / Hunts Point BESS (Bronx)</t>
  </si>
  <si>
    <t xml:space="preserve">NineDot Energy</t>
  </si>
  <si>
    <t xml:space="preserve">NYCIDA cost/benefit analysis + 12 Mar 2024 board minutes</t>
  </si>
  <si>
    <t xml:space="preserve">gross incl. four solar canopies; equity + NY Green Bank revolver + commercial loan</t>
  </si>
  <si>
    <t xml:space="preserve">leased lot (four 4.9 MW units)</t>
  </si>
  <si>
    <t xml:space="preserve">https://edc.nyc/sites/default/files/2024-01/Wintergreen%20Clean%20Energy%20LLC%20PHP_Redacted.pdf</t>
  </si>
  <si>
    <t xml:space="preserve">Added 2 Oct 2026; NYSERDA records it at 19.6 MW / 78.3 MWh with $9.8M incentive (not netted)</t>
  </si>
  <si>
    <t xml:space="preserve">NineDot Blue Aster BESS (Hinsdale St Brooklyn)</t>
  </si>
  <si>
    <t xml:space="preserve">NYCIDA cost/benefit analysis (Jul 2024)</t>
  </si>
  <si>
    <t xml:space="preserve">gross incl. small solar</t>
  </si>
  <si>
    <t xml:space="preserve">subdivided parcel</t>
  </si>
  <si>
    <t xml:space="preserve">https://edc.nyc/sites/default/files/2024-07/Blue%20Aster%20Public%20Hearing%20Package_Redacted.pdf</t>
  </si>
  <si>
    <t xml:space="preserve">Added 2 Oct 2026; 14.7 MW aggregate (three units)</t>
  </si>
  <si>
    <t xml:space="preserve">Convergent East Bay Ave Energy Storage 1 (Bronx)</t>
  </si>
  <si>
    <t xml:space="preserve">NYCIDA budget (latest of three filings: $12.05M notice Sep 2024; $17.74M core application; $19.51M budget)</t>
  </si>
  <si>
    <t xml:space="preserve">https://edc.nyc/sites/default/files/2024-09/East%20Bay%20Energy%20PHP%20v2.pdf</t>
  </si>
  <si>
    <t xml:space="preserve">Added 2 Oct 2026; three figures across filings; latest budget used</t>
  </si>
  <si>
    <t xml:space="preserve">NineDot Devoe Ave BESS (Bronx)</t>
  </si>
  <si>
    <t xml:space="preserve">NYCIDA notice and IDA resolution (Nov 2024); budget $38.467M; City Record $20M</t>
  </si>
  <si>
    <t xml:space="preserve">gross incl. two solar canopies</t>
  </si>
  <si>
    <t xml:space="preserve">leased lot (two 4.9 MW units)</t>
  </si>
  <si>
    <t xml:space="preserve">https://edc.nyc/sites/default/files/2024-11/Devoe_Public%20Hearing%20Package_Redacted.pdf</t>
  </si>
  <si>
    <t xml:space="preserve">Added 2 Oct 2026; notice/resolution figure used</t>
  </si>
  <si>
    <t xml:space="preserve">NineDot Seneca Lake / Boston Rd BESS (Bronx)</t>
  </si>
  <si>
    <t xml:space="preserve">NYCIDA cost/benefit analysis (Mar 2025): about $10M construction + $14.7M equipment</t>
  </si>
  <si>
    <t xml:space="preserve">gross; capacity reported two ways (2x8.0 or 2x9.8 MW)</t>
  </si>
  <si>
    <t xml:space="preserve">https://edc.nyc/sites/default/files/2025-03/Seneca%20Lake_Public%20Hearing%20Package_Redacted.pdf</t>
  </si>
  <si>
    <t xml:space="preserve">Added 2 Oct 2026; EXCLUDE from regression until verified (one excerpt gave $227.8M)</t>
  </si>
  <si>
    <t xml:space="preserve">Soltage Brigis 2 / Maspeth ESS (Queens)</t>
  </si>
  <si>
    <t xml:space="preserve">Soltage</t>
  </si>
  <si>
    <t xml:space="preserve">NYCIDA cost/benefit analysis (Sep 2025)</t>
  </si>
  <si>
    <t xml:space="preserve">gross; 15% equity / 85% commercial loan; blockhouse design</t>
  </si>
  <si>
    <t xml:space="preserve">https://edc.nyc/sites/default/files/2025-09/Soltage%20Brigis%202%20PHP%20Redacted.pdf</t>
  </si>
  <si>
    <t xml:space="preserve">Convergent 720 E 144th St Energy Storage 1 (Bronx)</t>
  </si>
  <si>
    <t xml:space="preserve">NYCIDA notice Sep 2025 (City Record $17.806M; IDA agenda budget $19.587M)</t>
  </si>
  <si>
    <t xml:space="preserve">gross; blockhouse</t>
  </si>
  <si>
    <t xml:space="preserve">https://edc.nyc/sites/default/files/2025-09/September%20NYCIDA%20Agenda%20and%20Resolutions.pdf</t>
  </si>
  <si>
    <t xml:space="preserve">Added 2 Oct 2026; notice figure used</t>
  </si>
  <si>
    <t xml:space="preserve">NineDot Eastern Towhee A/B (Centre St Brooklyn)</t>
  </si>
  <si>
    <t xml:space="preserve">NYCIDA notice (City Record Jun 2026)</t>
  </si>
  <si>
    <t xml:space="preserve">gross incl. solar canopies</t>
  </si>
  <si>
    <t xml:space="preserve">https://a856-cityrecord.nyc.gov/RequestDetail/20260617040</t>
  </si>
  <si>
    <t xml:space="preserve">Soltage McDonald BESS (46th St Maspeth)</t>
  </si>
  <si>
    <t xml:space="preserve">NYCIDA total project cost (Mar 2024 notice) as excerpted</t>
  </si>
  <si>
    <t xml:space="preserve">implies over $3000/kWh; likely notice error or multi-site total</t>
  </si>
  <si>
    <t xml:space="preserve">Added 2 Oct 2026; EXCLUDE (probable error; same notice lists Brigis 1A at $16.1M) Re-keyed 5 Oct 2026: 2481 McDonald Ave, Gravesend, 5 MW/20 MWh, $15,075,225 (Mar 2024 notice); the $62.8M was an office project in the same notice.</t>
  </si>
  <si>
    <t xml:space="preserve">Con Edison Storage on Demand mobile BESS (with NRG)</t>
  </si>
  <si>
    <t xml:space="preserve">REV demonstration budget (Utility Dive)</t>
  </si>
  <si>
    <t xml:space="preserve">trailer-mounted demonstration incl. demo overheads</t>
  </si>
  <si>
    <t xml:space="preserve">mobile</t>
  </si>
  <si>
    <t xml:space="preserve">https://www.utilitydive.com/news/coned-nrg-partner-on-4-mwh-mobile-battery-storage-demo-for-rev-docket/437125/</t>
  </si>
  <si>
    <t xml:space="preserve">Added 2 Oct 2026; EXCLUDE (demonstration; mobile)</t>
  </si>
  <si>
    <t xml:space="preserve">East Hampton Energy Storage Center (NextEra for LIPA)</t>
  </si>
  <si>
    <t xml:space="preserve">NextEra Energy Resources</t>
  </si>
  <si>
    <t xml:space="preserve">contract value to LIPA (East Hampton Star)</t>
  </si>
  <si>
    <t xml:space="preserve">contract value not capex (likely multi-year)</t>
  </si>
  <si>
    <t xml:space="preserve">utility-adjacent site</t>
  </si>
  <si>
    <t xml:space="preserve">https://www.easthamptonstar.com/government/202376/after-fire-substation-new-battery-worries</t>
  </si>
  <si>
    <t xml:space="preserve">Added 2 Oct 2026; EXCLUDE (contract value)</t>
  </si>
  <si>
    <t xml:space="preserve">Soldotna BESS (37 Megapacks)</t>
  </si>
  <si>
    <t xml:space="preserve">Homer Electric Association</t>
  </si>
  <si>
    <t xml:space="preserve">reported up-front capital (about $40M)</t>
  </si>
  <si>
    <t xml:space="preserve">all-in coop-owned standalone; $38M USDA/CFC financing; contract price not released</t>
  </si>
  <si>
    <t xml:space="preserve">existing generation plant site</t>
  </si>
  <si>
    <t xml:space="preserve">https://www.akbizmag.com/</t>
  </si>
  <si>
    <t xml:space="preserve">Added 2 Oct 2026 (US research pass)</t>
  </si>
  <si>
    <t xml:space="preserve">Power Creek BESS (Cordova)</t>
  </si>
  <si>
    <t xml:space="preserve">Cordova Electric Cooperative</t>
  </si>
  <si>
    <t xml:space="preserve">non-ISO (islanded)</t>
  </si>
  <si>
    <t xml:space="preserve">itemized project total (DOE EAC presentation)</t>
  </si>
  <si>
    <t xml:space="preserve">all-in: $1.4M Saft/ABB package + $0.2M design/integration + $0.3M force labor + $0.1M site</t>
  </si>
  <si>
    <t xml:space="preserve">remote hydro-diesel microgrid</t>
  </si>
  <si>
    <t xml:space="preserve">https://www.energy.gov/sites/prod/files/2019/10/f68/EAC_Storage_Koplin.pdf</t>
  </si>
  <si>
    <t xml:space="preserve">Added 2 Oct 2026; sub-1 MWh remote microgrid; outlier by design</t>
  </si>
  <si>
    <t xml:space="preserve">El Centro BESS (IID)</t>
  </si>
  <si>
    <t xml:space="preserve">Imperial Irrigation District</t>
  </si>
  <si>
    <t xml:space="preserve">public power</t>
  </si>
  <si>
    <t xml:space="preserve">non-ISO (IID BA)</t>
  </si>
  <si>
    <t xml:space="preserve">IID / GE turnkey deal value</t>
  </si>
  <si>
    <t xml:space="preserve">all-in turnkey at existing generating station</t>
  </si>
  <si>
    <t xml:space="preserve">existing generation site</t>
  </si>
  <si>
    <t xml:space="preserve">https://www.greentechmedia.com/</t>
  </si>
  <si>
    <t xml:space="preserve">Added 2 Oct 2026; 40-minute system; pre-2018 COD corrected to Oct 2016 (EIA-860M).</t>
  </si>
  <si>
    <t xml:space="preserve">LADWP Beacon Energy Storage System</t>
  </si>
  <si>
    <t xml:space="preserve">Los Angeles Department of Water and Power</t>
  </si>
  <si>
    <t xml:space="preserve">CAISO (LADWP BA)</t>
  </si>
  <si>
    <t xml:space="preserve">board-approved Doosan GridTech contract value</t>
  </si>
  <si>
    <t xml:space="preserve">contract value (equipment + integration); excludes LADWP owner costs</t>
  </si>
  <si>
    <t xml:space="preserve">adjacent to Beacon solar site</t>
  </si>
  <si>
    <t xml:space="preserve">https://www.energy-storage.news/municipal-utility-ladwp-to-increase-reliability-keep-rates-low-with-20mw-energy-storage-system/</t>
  </si>
  <si>
    <t xml:space="preserve">Added 3 Oct 2026 (third research pass); 0.5-h system</t>
  </si>
  <si>
    <t xml:space="preserve">Thurcroft BESS [UK]</t>
  </si>
  <si>
    <t xml:space="preserve">Gresham House Energy Storage Fund</t>
  </si>
  <si>
    <t xml:space="preserve">England (UK)</t>
  </si>
  <si>
    <t xml:space="preserve">GB</t>
  </si>
  <si>
    <t xml:space="preserve">total enterprise value of construction-ready project incl. build GBP 32.5M (converted at 1.27 USD/GBP)</t>
  </si>
  <si>
    <t xml:space="preserve">gross; standalone distribution-connected; fund-owned</t>
  </si>
  <si>
    <t xml:space="preserve">https://theenergyst.com/gresham-house-buys-50mw-battery-project-on-track-for-330mw/</t>
  </si>
  <si>
    <t xml:space="preserve">Added 3 Oct 2026; FX 1.27; up to GBP 0.75M contingent excluded</t>
  </si>
  <si>
    <t xml:space="preserve">Wickham Market BESS [UK]</t>
  </si>
  <si>
    <t xml:space="preserve">total enterprise value incl. build GBP 32.75M (converted at 1.27 USD/GBP)</t>
  </si>
  <si>
    <t xml:space="preserve">gross; standalone; fund-owned</t>
  </si>
  <si>
    <t xml:space="preserve">https://www.solarpowerportal.co.uk/news/gresham_house_acquires_another_50mw_battery_project_for_32.75m</t>
  </si>
  <si>
    <t xml:space="preserve">Added 3 Oct 2026; FX 1.27</t>
  </si>
  <si>
    <t xml:space="preserve">Lake Bonney BESS [AUSTRALIA]</t>
  </si>
  <si>
    <t xml:space="preserve">Infigen Energy (now Iberdrola Australia)</t>
  </si>
  <si>
    <t xml:space="preserve">ASX release: about AUD 38M development (converted at 0.70 USD/AUD)</t>
  </si>
  <si>
    <t xml:space="preserve">gross incl. AUD 10M ARENA + SA grants; Tesla Powerpack; co-located with wind but separately metered</t>
  </si>
  <si>
    <t xml:space="preserve">co-located (wind farm)</t>
  </si>
  <si>
    <t xml:space="preserve">https://iberdrola.com.au/assets/Documents/Investment-in-Lake-Bonney-Battery-Energy-Storage-System.pdf</t>
  </si>
  <si>
    <t xml:space="preserve">Added 3 Oct 2026; FX 0.70 ARENA project page records AUD 41.6M vs the AUD 38M ASX figure used; flagged.</t>
  </si>
  <si>
    <t xml:space="preserve">Hornsdale Power Reserve expansion [AUSTRALIA]</t>
  </si>
  <si>
    <t xml:space="preserve">Neoen</t>
  </si>
  <si>
    <t xml:space="preserve">ARENA release: total project cost AUD 71M incl. development and finance (converted at 0.70 USD/AUD)</t>
  </si>
  <si>
    <t xml:space="preserve">gross; grants AUD 23M not netted; includes development and financing costs</t>
  </si>
  <si>
    <t xml:space="preserve">expansion at existing site</t>
  </si>
  <si>
    <t xml:space="preserve">https://arena.gov.au/news/worlds-largest-scale-battery-set-to-get-even-bigger</t>
  </si>
  <si>
    <t xml:space="preserve">Added 3 Oct 2026; FX 0.70 Neoen reported EUR 53M (about AUD 82M) spent vs the AUD 71M announced; figure kept as announced, flagged.</t>
  </si>
  <si>
    <t xml:space="preserve">Wallgrove Grid Battery [AUSTRALIA]</t>
  </si>
  <si>
    <t xml:space="preserve">Transgrid</t>
  </si>
  <si>
    <t xml:space="preserve">NSW (Australia)</t>
  </si>
  <si>
    <t xml:space="preserve">ARENA / minister release: total project cost AUD 61.9M (converted at 0.75 USD/AUD)</t>
  </si>
  <si>
    <t xml:space="preserve">gross; grants AUD 21.5M not netted; Tesla Megapack at substation</t>
  </si>
  <si>
    <t xml:space="preserve">substation site</t>
  </si>
  <si>
    <t xml:space="preserve">https://www.minister.industry.gov.au/ministers/taylor/media-releases/energy-storage-project-strengthen-grid-reliability-nsw</t>
  </si>
  <si>
    <t xml:space="preserve">Added 3 Oct 2026; FX 0.75; transmission utility-owned</t>
  </si>
  <si>
    <t xml:space="preserve">Broken Hill BESS [AUSTRALIA]</t>
  </si>
  <si>
    <t xml:space="preserve">AGL Energy</t>
  </si>
  <si>
    <t xml:space="preserve">ARENA release: total project cost AUD 41M (converted at 0.67 USD/AUD)</t>
  </si>
  <si>
    <t xml:space="preserve">gross; ARENA AUD 14.84M not netted; grid-forming Fluence</t>
  </si>
  <si>
    <t xml:space="preserve">https://www.minister.industry.gov.au/ministers/taylor/media-releases/broken-hill-big-battery-gets-arena-boost</t>
  </si>
  <si>
    <t xml:space="preserve">Added 3 Oct 2026; FX 0.67 COD corrected to Aug 2024.</t>
  </si>
  <si>
    <t xml:space="preserve">Bouldercombe Battery [AUSTRALIA]</t>
  </si>
  <si>
    <t xml:space="preserve">Genex Power</t>
  </si>
  <si>
    <t xml:space="preserve">QLD (Australia)</t>
  </si>
  <si>
    <t xml:space="preserve">ASX: total capital budget AUD 60M incl. finance costs and contingency (converted at 0.67 USD/AUD)</t>
  </si>
  <si>
    <t xml:space="preserve">gross; ARENA-supported; Tesla Megapack</t>
  </si>
  <si>
    <t xml:space="preserve">https://announcements.asx.com.au/asxpdf/20230628/pdf/05r1qbx01kh8k6.pdf</t>
  </si>
  <si>
    <t xml:space="preserve">Added 3 Oct 2026; FX 0.67</t>
  </si>
  <si>
    <t xml:space="preserve">Wandoan South BESS [AUSTRALIA]</t>
  </si>
  <si>
    <t xml:space="preserve">Vena Energy</t>
  </si>
  <si>
    <t xml:space="preserve">project cost at financial close AUD 120M (converted at 0.75 USD/AUD)</t>
  </si>
  <si>
    <t xml:space="preserve">gross; Doosan EPC; AGL offtake</t>
  </si>
  <si>
    <t xml:space="preserve">https://pv-magazine.com/2020/12/16/ing-finances-100-mw-150-mwh-storage-project-in-australia</t>
  </si>
  <si>
    <t xml:space="preserve">Added 3 Oct 2026; FX 0.75; above 100 MWh (regression only) COD corrected to Aug 2022.</t>
  </si>
  <si>
    <t xml:space="preserve">Chinchilla Battery [AUSTRALIA]</t>
  </si>
  <si>
    <t xml:space="preserve">CS Energy (Queensland state-owned)</t>
  </si>
  <si>
    <t xml:space="preserve">CS Energy fact sheet: AUD 150M investment (converted at 0.67 USD/AUD)</t>
  </si>
  <si>
    <t xml:space="preserve">gross; 80 Megapack 2; Downer EPC; at Kogan Creek site</t>
  </si>
  <si>
    <t xml:space="preserve">https://www.csenergy.com.au/what-we-do/batteries/chinchilla-battery</t>
  </si>
  <si>
    <t xml:space="preserve">Added 3 Oct 2026; FX 0.67; above 100 MWh (regression only)</t>
  </si>
  <si>
    <t xml:space="preserve">Hazelwood BESS [AUSTRALIA]</t>
  </si>
  <si>
    <t xml:space="preserve">Engie / Eku Energy</t>
  </si>
  <si>
    <t xml:space="preserve">VIC (Australia)</t>
  </si>
  <si>
    <t xml:space="preserve">press: estimated project cost AUD 150M (converted at 0.67 USD/AUD)</t>
  </si>
  <si>
    <t xml:space="preserve">privately funded; Fluence with 20-yr O&amp;M</t>
  </si>
  <si>
    <t xml:space="preserve">former power station site</t>
  </si>
  <si>
    <t xml:space="preserve">https://www.pv-magazine-australia.com/2021/12/02/engie-begins-construction-of-150-mw-big-battery-at-hazelwood-site</t>
  </si>
  <si>
    <t xml:space="preserve">Nova Scotia Power BESS portfolio (Bridgewater + White Rock + Spider Lake) [CANADA]</t>
  </si>
  <si>
    <t xml:space="preserve">Nova Scotia Power</t>
  </si>
  <si>
    <t xml:space="preserve">non-ISO</t>
  </si>
  <si>
    <t xml:space="preserve">NSUARB-approved capital CAD 354M for three 50 MW / 200 MWh sites (converted at 0.74 USD/CAD)</t>
  </si>
  <si>
    <t xml:space="preserve">regulated utility all-in capital approval; portfolio of three sites</t>
  </si>
  <si>
    <t xml:space="preserve">three standalone sites</t>
  </si>
  <si>
    <t xml:space="preserve">https://energy-storage.news/nova-scotia-regulators-approve-ca354-million-bess-portfolio-in-atlantic-canadian-province</t>
  </si>
  <si>
    <t xml:space="preserve">Added 3 Oct 2026; FX 0.74; portfolio row; above 100 MWh (regression only)</t>
  </si>
  <si>
    <t xml:space="preserve">Tilbury Battery Storage [CANADA]</t>
  </si>
  <si>
    <t xml:space="preserve">Boralex / Walpole Island First Nation</t>
  </si>
  <si>
    <t xml:space="preserve">Ontario government release: project cost CAD 170M (converted at 0.74 USD/CAD)</t>
  </si>
  <si>
    <t xml:space="preserve">gross; IESO E-LT1 contract</t>
  </si>
  <si>
    <t xml:space="preserve">https://www.ess-news.com/2025/01/10/boralex-and-walpole-island-first-nation-announce-the-closing-of-a-172-million-financing/</t>
  </si>
  <si>
    <t xml:space="preserve">Added 3 Oct 2026; FX 0.74; above 100 MWh (regression only)</t>
  </si>
  <si>
    <t xml:space="preserve">Jurassic BESS [CANADA]</t>
  </si>
  <si>
    <t xml:space="preserve">Northland Power</t>
  </si>
  <si>
    <t xml:space="preserve">estimated total cost at financial close about CAD 120M (converted at 0.74 USD/CAD)</t>
  </si>
  <si>
    <t xml:space="preserve">gross; standalone Cypress County</t>
  </si>
  <si>
    <t xml:space="preserve">https://energy-storage.news/northland-secures-financing-for-80mw-160mwh-alberta-bess</t>
  </si>
  <si>
    <t xml:space="preserve">Kapolei Energy Storage</t>
  </si>
  <si>
    <t xml:space="preserve">Plus Power</t>
  </si>
  <si>
    <t xml:space="preserve">non-ISO (HECO)</t>
  </si>
  <si>
    <t xml:space="preserve">HPUC docket estimate as reported (USD 1361 per kW); developer declined to confirm final cost</t>
  </si>
  <si>
    <t xml:space="preserve">gross; standalone</t>
  </si>
  <si>
    <t xml:space="preserve">https://pv-magazine-usa.com/?p=7423</t>
  </si>
  <si>
    <t xml:space="preserve">Added 3 Oct 2026; EXCLUDE pending verification (Low); above 100 MWh</t>
  </si>
  <si>
    <t xml:space="preserve">Hemingway BESS (Idaho Power)</t>
  </si>
  <si>
    <t xml:space="preserve">Idaho Power</t>
  </si>
  <si>
    <t xml:space="preserve">ID</t>
  </si>
  <si>
    <t xml:space="preserve">IPUC Staff comments IPC-E-22-13: soft cap on utility-owned cost</t>
  </si>
  <si>
    <t xml:space="preserve">utility-owned; Powin EPC; excludes interconnection and transmission upgrades</t>
  </si>
  <si>
    <t xml:space="preserve">standalone at substation</t>
  </si>
  <si>
    <t xml:space="preserve">https://puc.idaho.gov/Fileroom/PublicFiles/ELEC/IPC/IPCE2213/Staff/20220830Comments-Redacted.pdf</t>
  </si>
  <si>
    <t xml:space="preserve">Added 3 Oct 2026 (third research pass); above 100 MWh (regression only)</t>
  </si>
  <si>
    <t xml:space="preserve">Roadrunner Reserve (TEP)</t>
  </si>
  <si>
    <t xml:space="preserve">SEC 8-K exhibit press release ($294M)</t>
  </si>
  <si>
    <t xml:space="preserve">utility-owned standalone; DEPCOM design-build; AFUDC not stated</t>
  </si>
  <si>
    <t xml:space="preserve">https://www.sec.gov/Archives/edgar/data/100122/000010012223000028/a2023ex991tepbatteryenergy.htm</t>
  </si>
  <si>
    <t xml:space="preserve">Added 3 Oct 2026; above 100 MWh (regression only)</t>
  </si>
  <si>
    <t xml:space="preserve">Roadrunner Reserve II (TEP)</t>
  </si>
  <si>
    <t xml:space="preserve">utility statement via local press (about $350M)</t>
  </si>
  <si>
    <t xml:space="preserve">twin of Roadrunner I on the same site</t>
  </si>
  <si>
    <t xml:space="preserve">https://www.kgun9.com/news/community-inspired-journalism/southeast-side-news/tucson-electric-power-doubles-battery-storage-capacity-at-roadrunner-reserve-facility</t>
  </si>
  <si>
    <t xml:space="preserve">Trenton Channel BESS (DTE)</t>
  </si>
  <si>
    <t xml:space="preserve">MPSC approval as reported: DTE range $423M-$460M pre-ITC</t>
  </si>
  <si>
    <t xml:space="preserve">utility-owned standalone at retired coal site; pre-ITC</t>
  </si>
  <si>
    <t xml:space="preserve">retired coal site</t>
  </si>
  <si>
    <t xml:space="preserve">Added 3 Oct 2026; upper end of range used; above 100 MWh (regression only)</t>
  </si>
  <si>
    <t xml:space="preserve">Weadock BESS (Consumers Energy)</t>
  </si>
  <si>
    <t xml:space="preserve">Consumers Energy</t>
  </si>
  <si>
    <t xml:space="preserve">local press (township review): about $70M</t>
  </si>
  <si>
    <t xml:space="preserve">utility-owned; Energy Vault supply; retired coal site</t>
  </si>
  <si>
    <t xml:space="preserve">https://www.wnem.com/2026/01/27/local-township-considers-battery-energy-storage-system/</t>
  </si>
  <si>
    <t xml:space="preserve">Added 3 Oct 2026; EXCLUDE pending verification (Low-Medium)</t>
  </si>
  <si>
    <t xml:space="preserve">Frontier Energy Storage (OG&amp;E)</t>
  </si>
  <si>
    <t xml:space="preserve">Oklahoma Gas &amp; Electric</t>
  </si>
  <si>
    <t xml:space="preserve">OK</t>
  </si>
  <si>
    <t xml:space="preserve">SPP</t>
  </si>
  <si>
    <t xml:space="preserve">OCC approval as reported (about $394M)</t>
  </si>
  <si>
    <t xml:space="preserve">utility-owned standalone</t>
  </si>
  <si>
    <t xml:space="preserve">https://www.kgou.org/energy/2026-08-11/battery-energy-storage-ramps-up-in-oklahoma-after-state-regulator-approval</t>
  </si>
  <si>
    <t xml:space="preserve">Edgewater BESS (Alliant / WPL)</t>
  </si>
  <si>
    <t xml:space="preserve">Wisconsin Power &amp; Light (Alliant)</t>
  </si>
  <si>
    <t xml:space="preserve">WI</t>
  </si>
  <si>
    <t xml:space="preserve">utility press release / PSCW application: anticipated project cost about $200M</t>
  </si>
  <si>
    <t xml:space="preserve">utility-owned standalone at retired coal site</t>
  </si>
  <si>
    <t xml:space="preserve">https://www.alliantenergy.com/news/news-center/2023/02/020123-edgewaterbattery</t>
  </si>
  <si>
    <t xml:space="preserve">Added 3 Oct 2026; 4-h assumed per source; above 100 MWh (regression only)</t>
  </si>
  <si>
    <t xml:space="preserve">Sierra Solar storage portion (NV Energy)</t>
  </si>
  <si>
    <t xml:space="preserve">NV Energy</t>
  </si>
  <si>
    <t xml:space="preserve">PUCN IRP approval; storage portion $731M of $1.5B (solar $734M; transmission $71M) per business press</t>
  </si>
  <si>
    <t xml:space="preserve">utility-owned; storage share separable per source; AFUDC not stated</t>
  </si>
  <si>
    <t xml:space="preserve">co-located with solar</t>
  </si>
  <si>
    <t xml:space="preserve">https://now.solar/2026/06/17/nv-energys-1-5-billion-solar-facility-in-churchill-county-on-target-northern-nevada-business-weekly/</t>
  </si>
  <si>
    <t xml:space="preserve">Asheville Rock Hill substation BESS (Duke Energy Progress)</t>
  </si>
  <si>
    <t xml:space="preserve">non-ISO (Duke BA)</t>
  </si>
  <si>
    <t xml:space="preserve">utility statement / trade press: almost $15M</t>
  </si>
  <si>
    <t xml:space="preserve">utility-owned standalone at substation; Samsung; frequency regulation</t>
  </si>
  <si>
    <t xml:space="preserve">https://www.solarpowerworldonline.com/2020/08/north-carolinas-largest-energy-storage-system-now-online-in-asheville/</t>
  </si>
  <si>
    <t xml:space="preserve">Added 3 Oct 2026; 1-h system; $15M used</t>
  </si>
  <si>
    <t xml:space="preserve">Babcock Ranch storage add-on (FPL)</t>
  </si>
  <si>
    <t xml:space="preserve">Florida Power &amp; Light</t>
  </si>
  <si>
    <t xml:space="preserve">FL</t>
  </si>
  <si>
    <t xml:space="preserve">non-ISO (FRCC)</t>
  </si>
  <si>
    <t xml:space="preserve">FPL statement via Utility Dive: about $15M for the battery</t>
  </si>
  <si>
    <t xml:space="preserve">battery cost stated separately from the existing 74.5 MW solar array</t>
  </si>
  <si>
    <t xml:space="preserve">existing solar site</t>
  </si>
  <si>
    <t xml:space="preserve">https://www.utilitydive.com/news/fpl-adds-40-mwh-battery-to-solar-array-claiming-largest-combined-system/518959/</t>
  </si>
  <si>
    <t xml:space="preserve">Added 3 Oct 2026</t>
  </si>
  <si>
    <t xml:space="preserve">Panton battery (Green Mountain Power)</t>
  </si>
  <si>
    <t xml:space="preserve">Vermont PUC CPG coverage: $3.0M battery (solar about $11M separate)</t>
  </si>
  <si>
    <t xml:space="preserve">battery cost stated separately from the 4.99 MW solar</t>
  </si>
  <si>
    <t xml:space="preserve">https://www.vermontpublic.org/vpr-news/2018-01-25/green-mountain-power-receives-state-permit-for-panton-solar-battery-system</t>
  </si>
  <si>
    <t xml:space="preserve">Oglethorpe Power three-site BESS (GRIP)</t>
  </si>
  <si>
    <t xml:space="preserve">Oglethorpe Power Corporation</t>
  </si>
  <si>
    <t xml:space="preserve">GA</t>
  </si>
  <si>
    <t xml:space="preserve">Oglethorpe FY2024 10-K: estimated total cost about $240M before grant proceeds</t>
  </si>
  <si>
    <t xml:space="preserve">standalone; three sites aggregate; GRIP grant about $81M not netted</t>
  </si>
  <si>
    <t xml:space="preserve">https://www.sec.gov/Archives/edgar/data/788816/000162828025015552/opc-20241231.htm</t>
  </si>
  <si>
    <t xml:space="preserve">Added 3 Oct 2026; portfolio row; above 100 MWh (regression only)</t>
  </si>
  <si>
    <t xml:space="preserve">Homer Electric second BESS (Soldotna area 45 MW / 4-h)</t>
  </si>
  <si>
    <t xml:space="preserve">NRECA via USDA PACE: roughly $112M project; $100M PACE loan (60% forgivable)</t>
  </si>
  <si>
    <t xml:space="preserve">standalone; ITC sought</t>
  </si>
  <si>
    <t xml:space="preserve">https://www.electric.coop/co-op-energy-storage-projects-get-boost-from-new-pace-awards</t>
  </si>
  <si>
    <t xml:space="preserve">Added 3 Oct 2026; distinct from the 2022 Soldotna 93 MWh system; above 100 MWh (regression only)</t>
  </si>
  <si>
    <t xml:space="preserve">Reference class (utility-owned, &lt;=100 MWh, not excluded): median $/kWh</t>
  </si>
  <si>
    <t xml:space="preserve">Column T flags the reference class (utility-owned, &lt;= 100 MWh, not excluded); the median and count above are live formulas. The Statistics tab carries the Python run values as of 29 Sep 2026.</t>
  </si>
  <si>
    <t xml:space="preserve">Dollar-year adjustment of the public comparables to 2026 (deck slides 12 and 14-16; revised 5 Oct 2026)</t>
  </si>
  <si>
    <t xml:space="preserve">Fixed quantities, not fixed shares: C(y) = s0 x I(y)/I(anchor) + (1 - s0) x HW(y)/HW(anchor); cost_2026 = cost_y x C(2026)/C(y). s0 = battery share at anchor-year prices (by owner type), I = battery index (selector B6), HW = Handy-Whitman North Atlantic. The battery share a project had in its own year is s0 x I(y)/I(anchor) / C(y) and is shown per row. Blue = inputs.</t>
  </si>
  <si>
    <t xml:space="preserve">Anchor battery share, utility-owned</t>
  </si>
  <si>
    <t xml:space="preserve">Anchor battery share, developer-owned</t>
  </si>
  <si>
    <t xml:space="preserve">Index selector (1 installed, 2 pack, 3 LCOS, 4 turnkey, 5 NREL)</t>
  </si>
  <si>
    <t xml:space="preserve">Anchor year for the shares</t>
  </si>
  <si>
    <t xml:space="preserve">A. Battery indices as published ($/kWh; LCOS $/MWh) and the construction index</t>
  </si>
  <si>
    <t xml:space="preserve">Installed all-in (EIA 2015-22, LBNL 2024)</t>
  </si>
  <si>
    <t xml:space="preserve">BNEF pack (real)</t>
  </si>
  <si>
    <t xml:space="preserve">Lazard LCOS midpoint</t>
  </si>
  <si>
    <t xml:space="preserve">BNEF turnkey</t>
  </si>
  <si>
    <t xml:space="preserve">NREL base year</t>
  </si>
  <si>
    <t xml:space="preserve">Handy-Whitman NA production plant</t>
  </si>
  <si>
    <t xml:space="preserve">published (blue)</t>
  </si>
  <si>
    <t xml:space="preserve">Battery cost index series used to normalize comparables to 2026 (research pass 2 Oct 2026; values from search-index excerpts of the publishers' releases, no interpolation by the researcher). adjust_model.py interpolates linearly between published points and holds series flat outside their span. Pack and turnkey are real dollars of each survey year; EIA and LBNL nominal; NREL as published; LCOS is $/MWh (a levelized, not capital, metric). Revised 5 Oct 2026: the installed series carries every EIA year 2015-2022 from the 2024 figure data file; adjust_model.py now holds physical quantities fixed (a fixed-weight composite index anchored on 2024 shares) instead of holding today's dollar shares fixed, so the implied battery share of an older project rises with the battery prices of its year. Installed: EIA, Battery Storage in the United States: 2024 figure data file, Figure 11 (capacity-weighted average cost/kWh of large-scale systems by installation year, 2022 final data), downloaded 5 Oct 2026; LBNL Utility-Scale Solar 2025 (2024 $458, battery share of hybrid plants, a different population). Handy-Whitman: https://www.pjm.com/-/media/DotCom/committees-groups/subcommittees/cds/postings/handy-whitman-index.ashx</t>
  </si>
  <si>
    <t xml:space="preserve">B. Reference class (35 comparables at or below 100 MWh, utility- and developer-owned)</t>
  </si>
  <si>
    <t xml:space="preserve">Nominal $/kWh</t>
  </si>
  <si>
    <t xml:space="preserve">Anchor share s0</t>
  </si>
  <si>
    <t xml:space="preserve">Index at COD</t>
  </si>
  <si>
    <t xml:space="preserve">Index at anchor</t>
  </si>
  <si>
    <t xml:space="preserve">Index 2026</t>
  </si>
  <si>
    <t xml:space="preserve">HW at COD</t>
  </si>
  <si>
    <t xml:space="preserve">HW at anchor</t>
  </si>
  <si>
    <t xml:space="preserve">HW 2026</t>
  </si>
  <si>
    <t xml:space="preserve">Factor to 2026 (fixed quantities)</t>
  </si>
  <si>
    <t xml:space="preserve">2026$ $/kWh</t>
  </si>
  <si>
    <t xml:space="preserve">Battery share in its own year</t>
  </si>
  <si>
    <t xml:space="preserve">Earlier fixed-share factor (40%)</t>
  </si>
  <si>
    <t xml:space="preserve">Naive: whole cost at battery rate</t>
  </si>
  <si>
    <t xml:space="preserve">utility</t>
  </si>
  <si>
    <t xml:space="preserve">Hyde Park installed $833, percentile</t>
  </si>
  <si>
    <t xml:space="preserve">Hyde Park station complete direct $1,483, percentile</t>
  </si>
  <si>
    <t xml:space="preserve">Hyde Park approval $2,862, percentile</t>
  </si>
  <si>
    <t xml:space="preserve">Python model (adjust_model.py): installed index, owner-specific anchor shares: median $742, Hyde Park station percentile 77%; earlier fixed-share form $838. Implied battery share of a utility-owned project: 73% in 2016, 56% in 2018.</t>
  </si>
  <si>
    <t xml:space="preserve">C. New York distribution-scale cohort (not in the regression; nominal dollars of the year shown)</t>
  </si>
  <si>
    <t xml:space="preserve">Cost $</t>
  </si>
  <si>
    <t xml:space="preserve">Hours</t>
  </si>
  <si>
    <t xml:space="preserve">NineDot Arthur Kill Road (two 4.9 MW systems)</t>
  </si>
  <si>
    <t xml:space="preserve">NYCIDA project budget (inducement resolution, Apr 2024)</t>
  </si>
  <si>
    <t xml:space="preserve">Elevate Renewables, 4401 Victory Blvd, Staten Island</t>
  </si>
  <si>
    <t xml:space="preserve">Elevate Renewables (ArcLight)</t>
  </si>
  <si>
    <t xml:space="preserve">NYCIDA total project cost (public hearing notice, Apr 2024)</t>
  </si>
  <si>
    <t xml:space="preserve">Soltage Brigis 1A, Maspeth, Queens</t>
  </si>
  <si>
    <t xml:space="preserve">NYCIDA total project cost (public hearing notice, Mar 2024); 4-h duration assumed (MWh not stated)</t>
  </si>
  <si>
    <t xml:space="preserve">Medium (cost High; duration assumed)</t>
  </si>
  <si>
    <t xml:space="preserve">NineDot 28-project NYC portfolio (financing proxy)</t>
  </si>
  <si>
    <t xml:space="preserve">Natixis construction/term loan + tax-credit bridge + LC facility, Feb 2026; a floor on total cost, not the cost itself</t>
  </si>
  <si>
    <t xml:space="preserve">Low-Medium (financing, not capex)</t>
  </si>
  <si>
    <t xml:space="preserve">https://www.prnewswire.com/news-releases/natixis-corporate--investment-banking-acts-as-sole-lead-arranger-and-bookrunner-for-ninedot-energy-in-431-million-financing-of-28-battery-energy-storage-systems-portfolio-in-new-york-city-302681842.html</t>
  </si>
  <si>
    <t xml:space="preserve">NYSERDA retail (&lt;= 5 MW) average total installed cost, 2022-23 installs</t>
  </si>
  <si>
    <t xml:space="preserve">NYSERDA program average</t>
  </si>
  <si>
    <t xml:space="preserve">New York's 6 GW Energy Storage Roadmap, NYSERDA/DPS, Dec 2022</t>
  </si>
  <si>
    <t xml:space="preserve">NYSERDA retail (&lt;= 5 MW) average total installed cost, 2020-21 installs</t>
  </si>
  <si>
    <t xml:space="preserve">Con Edison two-part test (CESIR), NY-BEST / NYSEIA filing 11 Mar 2026, Case 24-E-0621</t>
  </si>
  <si>
    <t xml:space="preserve">Con Edison two-part test (CESIR): NY-BEST and NYSEIA told the PSC on 11 Mar 2026 (Case 24-E-0621) that upgrade costs rose about 14-fold on 34 distributed battery projects totaling 161 MW, an average of about $21M per project, leaving nearly 600 MW unviable.</t>
  </si>
  <si>
    <t xml:space="preserve">New York distribution-connected cohort assembled after a review comment that many more projects have been built in New York (NineDot Energy and others). Values from search-index excerpts of the cited documents; edc.nyc, nyserda.ny.gov, canarymedia.com and mgrid.org were blocked by the research proxy.</t>
  </si>
  <si>
    <t xml:space="preserve">Per-layer escalators: one published index per cost layer (deck slides 17-18)</t>
  </si>
  <si>
    <t xml:space="preserve">cost_2026 = cost_y x SUM_i( w_i x I_i(2026) / I_i(y) ). Weights from the Rev 3 loaded layers (Hyde Park) or the NREL/PNNL merchant structure (developer). Blue = input. Series values and confidence tags from indices_layers.json; fetch_indices.py replaces them from the FRED/BLS APIs when the hosts are allowed.</t>
  </si>
  <si>
    <t xml:space="preserve">A. Index series (published points in blue; interpolated between, held flat outside)</t>
  </si>
  <si>
    <t xml:space="preserve">Battery: EIA/LBNL installed</t>
  </si>
  <si>
    <t xml:space="preserve">Labor: IBEW 103 base rate</t>
  </si>
  <si>
    <t xml:space="preserve">PPI transformers WPU117409</t>
  </si>
  <si>
    <t xml:space="preserve">PPI switchgear WPU1175</t>
  </si>
  <si>
    <t xml:space="preserve">ENR CCI 20-city</t>
  </si>
  <si>
    <t xml:space="preserve">PPI engineering services WPU4532</t>
  </si>
  <si>
    <t xml:space="preserve">Handy-Whitman NA dist. station equipment (362)</t>
  </si>
  <si>
    <t xml:space="preserve">ECI construction (alt. labor)</t>
  </si>
  <si>
    <t xml:space="preserve">PPI construction inputs WPUIP2300001</t>
  </si>
  <si>
    <t xml:space="preserve">2018 to 2026 ratio</t>
  </si>
  <si>
    <t xml:space="preserve">Confidence: Battery: EIA/LBNL installed: High 2015-2022 (EIA figure data, official); High 2024 (LBNL) but a different sample; 2023 interpolated; held flat after 2024; Labor: IBEW 103 base rate: Medium 2018-2025; Medium-Low 2026; Low 2015-2017 (back-cast); PPI transformers WPU117409: High 2015-2023; Medium 2025-2026; 2024 interpolated; PPI switchgear WPU1175: High 2015-2023; Medium 2025-2026; 2024 interpolated; ENR CCI 20-city: Medium 2017-2018 and 2023-2024; Medium-Low 2025; 2019-2022 interpolated (ENR Dec-over-Dec changes 2022 +5.6%, 2023 +2.6%, 2024 +0.9%, 2025 +3.6% as cross-check); PPI engineering services WPU4532: High 2015-2023; Low 2025-2026; Handy-Whitman NA production plant: Medium (2015-2018 seen in excerpt; later years from search summary of the same posting); production-plant line, not distribution plant; Handy-Whitman NA dist. station equipment (362): Medium 2015-2023 (own extraction); Low 2024-2026 (extended); ECI construction (alt. labor): Medium at the quoted points; gaps interpolated; PPI construction inputs WPUIP2300001: High 2015-2023; Medium 2025</t>
  </si>
  <si>
    <t xml:space="preserve">B. Layer map and weights (Hyde Park = Rev 3 loaded layers; blue = editable)</t>
  </si>
  <si>
    <t xml:space="preserve">Loaded $ (Rev 3)</t>
  </si>
  <si>
    <t xml:space="preserve">Weight</t>
  </si>
  <si>
    <t xml:space="preserve">Escalator column</t>
  </si>
  <si>
    <t xml:space="preserve">Weight / ratio</t>
  </si>
  <si>
    <t xml:space="preserve">Composite, Hyde Park scope, quantities fixed: a 2018 project in 2026 dollars = 1 / SUM(weight / ratio)</t>
  </si>
  <si>
    <t xml:space="preserve">Two-component model, fixed quantities (anchor 40%): 1.064 for 2018, 0.681 for 2016; earlier fixed-share form: 1.189 / 1.079; whole cost at the battery rate: 0.733; Handy-Whitman only: 1.493</t>
  </si>
  <si>
    <t xml:space="preserve">C. Reference class (55 projects) under each method, 2026 $/kWh (values from layer_index_model.py)</t>
  </si>
  <si>
    <t xml:space="preserve">Method</t>
  </si>
  <si>
    <t xml:space="preserve">Class median</t>
  </si>
  <si>
    <t xml:space="preserve">Q25</t>
  </si>
  <si>
    <t xml:space="preserve">Q75</t>
  </si>
  <si>
    <t xml:space="preserve">HP installed pct</t>
  </si>
  <si>
    <t xml:space="preserve">HP station pct</t>
  </si>
  <si>
    <t xml:space="preserve">Utility subclass median</t>
  </si>
  <si>
    <t xml:space="preserve">HP station pct (utility)</t>
  </si>
  <si>
    <t xml:space="preserve">As published</t>
  </si>
  <si>
    <t xml:space="preserve">Whole cost at the battery rate</t>
  </si>
  <si>
    <t xml:space="preserve">Battery 40% + Handy-Whitman 60%</t>
  </si>
  <si>
    <t xml:space="preserve">One index per layer, developer weights</t>
  </si>
  <si>
    <t xml:space="preserve">One index per layer, Hyde Park weights</t>
  </si>
  <si>
    <t xml:space="preserve">Layer method, BNEF pack for the battery</t>
  </si>
  <si>
    <t xml:space="preserve">Layer method, BNEF turnkey for the battery</t>
  </si>
  <si>
    <t xml:space="preserve">Earlier version: today's 40% share held fixed (superseded 5 Oct 2026)</t>
  </si>
  <si>
    <t xml:space="preserve">Earlier layer version, fixed shares (superseded)</t>
  </si>
  <si>
    <t xml:space="preserve">Developer composition (shares): battery 45%, pcs_bos 15%, labor 10%, civil 5%, transformer 5%, soft 12%, interconnect 8%. Merchant 4-h project structure. Shares are an analyst assumption bracketed by the NREL ATB bottom-up structure (pack, PCS, structural and electrical BOS, labor, EPC and developer overhead, interconnection allowance; line values not retrievable this pass), the IRS Notice 2026-15 safe-harbor table (cells = 52% of BESS equipment cost) and ESS News (Apr 2026: cells 25-45% of project capex). Confidence Medium-Low; sensitivity on the battery share is on slides 15 and 18.</t>
  </si>
  <si>
    <t xml:space="preserve">Statistical evaluation results (values from stats_model.py and mc_model.py, 29 Sep 2026)</t>
  </si>
  <si>
    <t xml:space="preserve">Reference class: all projects &lt;=100 MWh with an all-in disclosed cost, utility- and developer-owned (redefined 2 Oct 2026)</t>
  </si>
  <si>
    <t xml:space="preserve">n utility-owned / developer-owned</t>
  </si>
  <si>
    <t xml:space="preserve">25 / 10</t>
  </si>
  <si>
    <t xml:space="preserve">n</t>
  </si>
  <si>
    <t xml:space="preserve">Median $/kWh</t>
  </si>
  <si>
    <t xml:space="preserve">Q25 $/kWh</t>
  </si>
  <si>
    <t xml:space="preserve">Q75 $/kWh</t>
  </si>
  <si>
    <t xml:space="preserve">Min $/kWh</t>
  </si>
  <si>
    <t xml:space="preserve">Max $/kWh</t>
  </si>
  <si>
    <t xml:space="preserve">Hyde Park percentile in class: Vendor contract $605</t>
  </si>
  <si>
    <t xml:space="preserve">Hyde Park percentile in class: Battery installed $833</t>
  </si>
  <si>
    <t xml:space="preserve">Hyde Park percentile in class: Station complete, direct $1,483</t>
  </si>
  <si>
    <t xml:space="preserve">Hyde Park percentile in class: Approval level $2,862</t>
  </si>
  <si>
    <t xml:space="preserve">Reference class, utility-owned subclass (&lt;=100 MWh)</t>
  </si>
  <si>
    <t xml:space="preserve">Hyde Park percentile in subclass: Battery installed $833</t>
  </si>
  <si>
    <t xml:space="preserve">Hyde Park percentile in subclass: Station complete, direct $1,483</t>
  </si>
  <si>
    <t xml:space="preserve">Hyde Park percentile in subclass: Approval level $2,862</t>
  </si>
  <si>
    <t xml:space="preserve">Regression: ln($/kWh) ~ ln(MWh) + ln(duration) + year (OLS, HC1 errors)</t>
  </si>
  <si>
    <t xml:space="preserve">R-squared</t>
  </si>
  <si>
    <t xml:space="preserve">Adjusted R-squared</t>
  </si>
  <si>
    <t xml:space="preserve">Residual SD (log)</t>
  </si>
  <si>
    <t xml:space="preserve">Intercept: coefficient</t>
  </si>
  <si>
    <t xml:space="preserve">SE 0.143, p = 0.000</t>
  </si>
  <si>
    <t xml:space="preserve">Size elasticity (ln MWh): coefficient</t>
  </si>
  <si>
    <t xml:space="preserve">SE 0.040, p = 0.000</t>
  </si>
  <si>
    <t xml:space="preserve">Duration elasticity (ln hours): coefficient</t>
  </si>
  <si>
    <t xml:space="preserve">SE 0.111, p = 0.003</t>
  </si>
  <si>
    <t xml:space="preserve">Year (per year after 2020): coefficient</t>
  </si>
  <si>
    <t xml:space="preserve">SE 0.029, p = 0.549</t>
  </si>
  <si>
    <t xml:space="preserve">Prediction for 20 MWh, 2-h, 2028: P50 $/kWh</t>
  </si>
  <si>
    <t xml:space="preserve">80% prediction interval, low</t>
  </si>
  <si>
    <t xml:space="preserve">80% prediction interval, high</t>
  </si>
  <si>
    <t xml:space="preserve">Hyde Park percentile of predictive distribution: Vendor contract</t>
  </si>
  <si>
    <t xml:space="preserve">Hyde Park percentile of predictive distribution: Battery installed</t>
  </si>
  <si>
    <t xml:space="preserve">Hyde Park percentile of predictive distribution: Station complete, direct</t>
  </si>
  <si>
    <t xml:space="preserve">Hyde Park percentile of predictive distribution: Approval level</t>
  </si>
  <si>
    <t xml:space="preserve">Monte Carlo on cost layers (20,000 trials; risk register and contingency not added on top)</t>
  </si>
  <si>
    <t xml:space="preserve">Base ranges: P10 total ($)</t>
  </si>
  <si>
    <t xml:space="preserve">Base ranges: P50 total ($)</t>
  </si>
  <si>
    <t xml:space="preserve">Base ranges: P80 total ($)</t>
  </si>
  <si>
    <t xml:space="preserve">Base ranges: P90 total ($)</t>
  </si>
  <si>
    <t xml:space="preserve">Base ranges: reserve to reach P80 above deterministic base ($)</t>
  </si>
  <si>
    <t xml:space="preserve">carried risk + contingency = $7,583,517</t>
  </si>
  <si>
    <t xml:space="preserve">Base ranges: probability total exceeds $57.2M approval level</t>
  </si>
  <si>
    <t xml:space="preserve">Base ranges: battery contract share, P50</t>
  </si>
  <si>
    <t xml:space="preserve">Wide (Class 5-like) ranges: P10 total ($)</t>
  </si>
  <si>
    <t xml:space="preserve">Wide (Class 5-like) ranges: P50 total ($)</t>
  </si>
  <si>
    <t xml:space="preserve">Wide (Class 5-like) ranges: P80 total ($)</t>
  </si>
  <si>
    <t xml:space="preserve">Wide (Class 5-like) ranges: P90 total ($)</t>
  </si>
  <si>
    <t xml:space="preserve">Wide (Class 5-like) ranges: reserve to reach P80 above deterministic base ($)</t>
  </si>
  <si>
    <t xml:space="preserve">Wide (Class 5-like) ranges: probability total exceeds $57.2M approval level</t>
  </si>
  <si>
    <t xml:space="preserve">Wide (Class 5-like) ranges: battery contract share, P50</t>
  </si>
  <si>
    <t xml:space="preserve">Layer standard deviation, $ (base / wide)</t>
  </si>
  <si>
    <t xml:space="preserve">Layer A</t>
  </si>
  <si>
    <t xml:space="preserve">wide: 239,415</t>
  </si>
  <si>
    <t xml:space="preserve">Layer B</t>
  </si>
  <si>
    <t xml:space="preserve">wide: 465,344</t>
  </si>
  <si>
    <t xml:space="preserve">Layer C</t>
  </si>
  <si>
    <t xml:space="preserve">wide: 238,386</t>
  </si>
  <si>
    <t xml:space="preserve">Layer D</t>
  </si>
  <si>
    <t xml:space="preserve">wide: 617,589</t>
  </si>
  <si>
    <t xml:space="preserve">Layer E</t>
  </si>
  <si>
    <t xml:space="preserve">wide: 1,311,665</t>
  </si>
  <si>
    <t xml:space="preserve">Layer F</t>
  </si>
  <si>
    <t xml:space="preserve">wide: 1,076,023</t>
  </si>
  <si>
    <t xml:space="preserve">Layer G</t>
  </si>
  <si>
    <t xml:space="preserve">wide: 217,468</t>
  </si>
  <si>
    <t xml:space="preserve">Layer H</t>
  </si>
  <si>
    <t xml:space="preserve">wide: 742,591</t>
  </si>
  <si>
    <t xml:space="preserve">Layer I</t>
  </si>
  <si>
    <t xml:space="preserve">wide: 58,740</t>
  </si>
  <si>
    <t xml:space="preserve">Cost-saving opportunity register (deck slides 27-29), sized from the Rev 3 rows</t>
  </si>
  <si>
    <t xml:space="preserve">Direct ranges from savings_model.py. Loaded = direct x marginal loader for items that scale with directs (contingency, basis-driven indirects, AFUDC); the risk register, overhead policy items and Tier C do not scale. Tier C reduces the revenue requirement, not the $57.2M. Tiers A and B are gross of the Haugland reconciliation (red team KS1, +$4M to +$8M direct). Blue = input.</t>
  </si>
  <si>
    <t xml:space="preserve">Marginal loader</t>
  </si>
  <si>
    <t xml:space="preserve">1 + (contingency + basis-driven indirects + AFUDC) / Station 360 directs; the average loader on slide 5 is 1.685</t>
  </si>
  <si>
    <t xml:space="preserve">Approval level</t>
  </si>
  <si>
    <t xml:space="preserve">#</t>
  </si>
  <si>
    <t xml:space="preserve">Tier</t>
  </si>
  <si>
    <t xml:space="preserve">Lever</t>
  </si>
  <si>
    <t xml:space="preserve">Direct low</t>
  </si>
  <si>
    <t xml:space="preserve">Direct high</t>
  </si>
  <si>
    <t xml:space="preserve">Scales with loader (1/0)</t>
  </si>
  <si>
    <t xml:space="preserve">Loaded low</t>
  </si>
  <si>
    <t xml:space="preserve">Loaded high</t>
  </si>
  <si>
    <t xml:space="preserve">What must close</t>
  </si>
  <si>
    <t xml:space="preserve">Evidence</t>
  </si>
  <si>
    <t xml:space="preserve">A1</t>
  </si>
  <si>
    <t xml:space="preserve">A</t>
  </si>
  <si>
    <t xml:space="preserve">Remove escalation carried on the fixed-price Nomad balance</t>
  </si>
  <si>
    <t xml:space="preserve">Cost Estimating / Sourcing</t>
  </si>
  <si>
    <t xml:space="preserve">Exhibit C read for tariff and change-in-law pass-through; decision minuted</t>
  </si>
  <si>
    <t xml:space="preserve">Rev 3 applies the ESF template rate to the $12.1M contract balance; the price is fixed until Final Acceptance.</t>
  </si>
  <si>
    <t xml:space="preserve">A2</t>
  </si>
  <si>
    <t xml:space="preserve">Risk register: labor-cost and material-cost lines overlap the escalation already in the directs</t>
  </si>
  <si>
    <t xml:space="preserve">J</t>
  </si>
  <si>
    <t xml:space="preserve">Cost Estimating + PM</t>
  </si>
  <si>
    <t xml:space="preserve">Re-word the two lines as labor-shortage and tariff risks and size them on exposure, not on the whole material and labor base</t>
  </si>
  <si>
    <t xml:space="preserve">'Salaries increase yearly' ($1,020K) and 'material costs increase' ($1,300K) describe escalation, which Rev 3 already carries at $2.95M; a tariff allowance of 15% on $3.69M of non-battery material is $553K.</t>
  </si>
  <si>
    <t xml:space="preserve">A3</t>
  </si>
  <si>
    <t xml:space="preserve">Confirm the four written design-basis items Haugland priced as deducts</t>
  </si>
  <si>
    <t xml:space="preserve">D/E</t>
  </si>
  <si>
    <t xml:space="preserve">Substation Engineering</t>
  </si>
  <si>
    <t xml:space="preserve">Retaining wall, basin, duct bank and GSU count confirmed in writing; HEG map signed first</t>
  </si>
  <si>
    <t xml:space="preserve">HEG deduct ceiling $1.47M; GSU count already four in Rev 3, so about $0.8M net (red team report).</t>
  </si>
  <si>
    <t xml:space="preserve">A4</t>
  </si>
  <si>
    <t xml:space="preserve">Engineering &amp; supervision overhead basis applied to the vendor turnkey contract</t>
  </si>
  <si>
    <t xml:space="preserve">L</t>
  </si>
  <si>
    <t xml:space="preserve">Accounting / Cost Estimating</t>
  </si>
  <si>
    <t xml:space="preserve">Ruling on whether the E&amp;S station basis applies to vendor-furnished, vendor-commissioned equipment</t>
  </si>
  <si>
    <t xml:space="preserve">E&amp;S basis rows $4.79M = 16.1% of Station 360 directs; applied to the $13.0M battery line that is 2.1M.</t>
  </si>
  <si>
    <t xml:space="preserve">A5</t>
  </si>
  <si>
    <t xml:space="preserve">Commissioning hours carried from E-23-373 overlap Nomad's commissioning support</t>
  </si>
  <si>
    <t xml:space="preserve">G</t>
  </si>
  <si>
    <t xml:space="preserve">Capital Projects Eng. + Nomad</t>
  </si>
  <si>
    <t xml:space="preserve">Commissioning split (Nomad vs owner) written into the test plan</t>
  </si>
  <si>
    <t xml:space="preserve">Field test 709K + LCE 408K carried at 2023 hours; the contract already holds $210K of support and $246K of vendor labor.</t>
  </si>
  <si>
    <t xml:space="preserve">B1</t>
  </si>
  <si>
    <t xml:space="preserve">B</t>
  </si>
  <si>
    <t xml:space="preserve">Station 496 relay program: 710 man-hours per relay</t>
  </si>
  <si>
    <t xml:space="preserve">F</t>
  </si>
  <si>
    <t xml:space="preserve">P&amp;C Engineering + EMA</t>
  </si>
  <si>
    <t xml:space="preserve">Two recent relay-replacement actuals; confirm the four SEL-735 are protection, not metering; outage windows priced</t>
  </si>
  <si>
    <t xml:space="preserve">20 relays: hardware $91K, install 6,400 mh ($1.23M), test 7,800 mh ($1.81M), E&amp;S basis $1.46M; $363K per relay all-in. Loaded effect includes the E&amp;S basis on the hours.</t>
  </si>
  <si>
    <t xml:space="preserve">B2</t>
  </si>
  <si>
    <t xml:space="preserve">Interconnection topology: five feeder cabinets, four GSUs, four breakers, four metering sets for 10 MW</t>
  </si>
  <si>
    <t xml:space="preserve">C/D</t>
  </si>
  <si>
    <t xml:space="preserve">System Planning + Substation Eng.</t>
  </si>
  <si>
    <t xml:space="preserve">Hosting-capacity study: can two feeders take 5 MW each? If not, the item is zero</t>
  </si>
  <si>
    <t xml:space="preserve">Breakers $1.50M, metering $245K, disconnects $238K, GSUs $1.44M scale with the number of feeder connections.</t>
  </si>
  <si>
    <t xml:space="preserve">B3</t>
  </si>
  <si>
    <t xml:space="preserve">Platform and retaining wall sized after geotech, not before</t>
  </si>
  <si>
    <t xml:space="preserve">E</t>
  </si>
  <si>
    <t xml:space="preserve">Civil + Capital Projects Eng.</t>
  </si>
  <si>
    <t xml:space="preserve">Geotech report; MassDEP SW45 post-closure permit conditions; NFPA 855 spacing</t>
  </si>
  <si>
    <t xml:space="preserve">14-ft retaining wall $470K, earthwork and surfacing $1,040K, 36 borings $361K on a placeholder 2.5-ft platform. Two-sided: the red team's downside is $0.6M to $3.5M.</t>
  </si>
  <si>
    <t xml:space="preserve">B4</t>
  </si>
  <si>
    <t xml:space="preserve">Battery installation labor from a crew build-up instead of 25% of a 2023 total; fire suppression bought twice?</t>
  </si>
  <si>
    <t xml:space="preserve">Cost Estimating + Nomad + HEG</t>
  </si>
  <si>
    <t xml:space="preserve">Crew build-up: crane set, anchoring, DC and AC terminations per Voyager unit; confirm whether the Voyager enclosure carries its own suppression ($132K carried)</t>
  </si>
  <si>
    <t xml:space="preserve">5,557 mh ($1.07M) for 12 units = 463 mh each; build-up at 200 to 250 mh per unit gives 2,400 to 3,000 mh. NREL ATB installation labor and equipment: $19/kWh (2019$, 60 MW), i.e. about $0.4M at 20 MWh before the small-project premium.</t>
  </si>
  <si>
    <t xml:space="preserve">B5</t>
  </si>
  <si>
    <t xml:space="preserve">Disconnect switches and PT cutouts priced as separate lines although the Siemens skids carry them</t>
  </si>
  <si>
    <t xml:space="preserve">D</t>
  </si>
  <si>
    <t xml:space="preserve">Substation Eng. + Cost Estimating</t>
  </si>
  <si>
    <t xml:space="preserve">Strike lines 07.03.02.04, 06.02.09.00 and the PT cutouts once Siemens confirms the skid scope in writing</t>
  </si>
  <si>
    <t xml:space="preserve">Siemens budgetary of 12 Aug 2026: $300K per skid for breaker, frame, disconnects, PTs, relays and DC battery (so the $332K breaker line is not a price lever); the 8 disconnects ($238K, 1,040 mh) and PT cutouts are carried again as station lines whose own notes say 'located on breaker skid'.</t>
  </si>
  <si>
    <t xml:space="preserve">B6</t>
  </si>
  <si>
    <t xml:space="preserve">GSU installation hours: 524 man-hours per pad-mount; count to be settled (four carried, twelve mentioned)</t>
  </si>
  <si>
    <t xml:space="preserve">C</t>
  </si>
  <si>
    <t xml:space="preserve">Substation Eng. + Nomad</t>
  </si>
  <si>
    <t xml:space="preserve">Topology and GSU count in writing; crew build-up for a pad-mount set; 2026 transformer quote with the 29-70 week lead time in the schedule</t>
  </si>
  <si>
    <t xml:space="preserve">Install $363K for four units (524 mh each) against a normal 100-150 mh pad-mount set. The furnish price ($267K each from a 2023 bidder list plus 3%/yr) is not the lever; the count is the exposure (PM email 9 Sep 2026: 'GSU transformers (12)').</t>
  </si>
  <si>
    <t xml:space="preserve">B7</t>
  </si>
  <si>
    <t xml:space="preserve">Switchyard lighting: 12 HPS luminaires and $200 a foot of hookup on an unmanned one-acre pad</t>
  </si>
  <si>
    <t xml:space="preserve">Substation Eng.</t>
  </si>
  <si>
    <t xml:space="preserve">Lighting design to the security need (fence-line LED, motion); hookup length and rate from the layout</t>
  </si>
  <si>
    <t xml:space="preserve">$313K and 1,272 mh across four lighting lines (07.03.02.99).</t>
  </si>
  <si>
    <t xml:space="preserve">B8</t>
  </si>
  <si>
    <t xml:space="preserve">Siting and project management: external siting at $1.05M and a $157K siting line inside Station 496</t>
  </si>
  <si>
    <t xml:space="preserve">H/F</t>
  </si>
  <si>
    <t xml:space="preserve">Siting + PM</t>
  </si>
  <si>
    <t xml:space="preserve">Task budget from outside counsel for Article 80 small-project review and the ZBA permit; confirm what the Station 496 siting application is for</t>
  </si>
  <si>
    <t xml:space="preserve">04.02.00.00 Sta 360 $1,052K external siting; Sta 496 04.02.00.00 $157K for relay work inside an existing fence.</t>
  </si>
  <si>
    <t xml:space="preserve">C1</t>
  </si>
  <si>
    <t xml:space="preserve">Section 48E investment tax credit on the storage property</t>
  </si>
  <si>
    <t xml:space="preserve">rev. req.</t>
  </si>
  <si>
    <t xml:space="preserve">Tax + Regulatory</t>
  </si>
  <si>
    <t xml:space="preserve">Eligible-basis opinion; FEOC cost-ratio test (65% non-PFE for a 2028 construction start); normalization election; DPU treatment</t>
  </si>
  <si>
    <t xml:space="preserve">30% of an eligible basis of $28M (battery, install, BOP loaded) to $41M (plus station, site, testing). Not an estimate change: a revenue-requirement reduction.</t>
  </si>
  <si>
    <t xml:space="preserve">C2</t>
  </si>
  <si>
    <t xml:space="preserve">Energy-community adder if the closed landfill qualifies as a brownfield</t>
  </si>
  <si>
    <t xml:space="preserve">Tax + Environmental</t>
  </si>
  <si>
    <t xml:space="preserve">Phase II ESA or a prior brownfield-program assessment (the Phase I safe harbor stops at 5 MW)</t>
  </si>
  <si>
    <t xml:space="preserve">Additional 10 percentage points on the same basis.</t>
  </si>
  <si>
    <t xml:space="preserve">C3</t>
  </si>
  <si>
    <t xml:space="preserve">AFUDC: pay the battery at delivery, not a year ahead; protect the siting float</t>
  </si>
  <si>
    <t xml:space="preserve">M</t>
  </si>
  <si>
    <t xml:space="preserve">PM + Sourcing + Treasury</t>
  </si>
  <si>
    <t xml:space="preserve">Milestone payment schedule in the Nomad SOV aligned to 2028 delivery; float target on the ZBA chain</t>
  </si>
  <si>
    <t xml:space="preserve">AFUDC $4.7M. Shifting $9.1M of battery payments twelve months later saves about 7.5% of it; every month of schedule slip costs about $0.4M across AFUDC, escalation, PM and indirects (slide 34).</t>
  </si>
  <si>
    <t xml:space="preserve">Tier A: estimate hygiene</t>
  </si>
  <si>
    <t xml:space="preserve">Tier B: value engineering</t>
  </si>
  <si>
    <t xml:space="preserve">Tier C: financial and structural (revenue requirement)</t>
  </si>
  <si>
    <t xml:space="preserve">Tiers A + B against the approval level</t>
  </si>
  <si>
    <t xml:space="preserve">Station 496 relay program detail</t>
  </si>
  <si>
    <t xml:space="preserve">Relays</t>
  </si>
  <si>
    <t xml:space="preserve">Hardware furnish $</t>
  </si>
  <si>
    <t xml:space="preserve">Install labor $</t>
  </si>
  <si>
    <t xml:space="preserve">Install man-hours</t>
  </si>
  <si>
    <t xml:space="preserve">Test and commissioning $</t>
  </si>
  <si>
    <t xml:space="preserve">Test man-hours</t>
  </si>
  <si>
    <t xml:space="preserve">Removals $</t>
  </si>
  <si>
    <t xml:space="preserve">Station 496 total (incl. loaders)</t>
  </si>
  <si>
    <t xml:space="preserve">Per relay, all-in</t>
  </si>
  <si>
    <t xml:space="preserve">Man-hours per relay</t>
  </si>
  <si>
    <t xml:space="preserve">Section 48E assumptions</t>
  </si>
  <si>
    <t xml:space="preserve">Base rate (prevailing wage and apprenticeship)</t>
  </si>
  <si>
    <t xml:space="preserve">Energy-community adder</t>
  </si>
  <si>
    <t xml:space="preserve">Eligible basis, low (A+B+C loaded)</t>
  </si>
  <si>
    <t xml:space="preserve">Eligible basis, high (A to G loaded)</t>
  </si>
  <si>
    <t xml:space="preserve">Credit, low / high</t>
  </si>
  <si>
    <t xml:space="preserve">Adder, low / high</t>
  </si>
  <si>
    <t xml:space="preserve">Assumptions to be confirmed by Tax: 30% with PWA; storage exempt from the 2027 wind/solar cliff (full credit through a 2033 construction start); interconnection property outside the 48E storage definition; FEOC cost ratio 65% for a 2028 construction start (Notice 2026-15); normalization election under section 50(d)(2); brownfield adder needs a Phase II ESA above 5 MW. Research pass 3 Oct 2026, search-excerpt sourced.</t>
  </si>
  <si>
    <t xml:space="preserve">Scope challenge: what the function requires against what Rev 3 carries (deck slides 30-33; 5 Oct 2026)</t>
  </si>
  <si>
    <t xml:space="preserve">Reductions and exposures by layer, direct dollars and loaded at the marginal loader; the cost cases and the containment plan. Every row cites its Rev 3 line. Gross of the Haugland reconciliation.</t>
  </si>
  <si>
    <t xml:space="preserve">Kind</t>
  </si>
  <si>
    <t xml:space="preserve">Rev 3 carries</t>
  </si>
  <si>
    <t xml:space="preserve">The function requires</t>
  </si>
  <si>
    <t xml:space="preserve">Challenge / alternative</t>
  </si>
  <si>
    <t xml:space="preserve">A. Battery contract</t>
  </si>
  <si>
    <t xml:space="preserve">reduction</t>
  </si>
  <si>
    <t xml:space="preserve">Nomad fixed price $12.1M (12 Voyager units, 10-yr warranty $0.80M, spares, support, shipping, training) plus $1.13M escalation on the balance</t>
  </si>
  <si>
    <t xml:space="preserve">The battery. Price is fixed until Final Acceptance.</t>
  </si>
  <si>
    <t xml:space="preserve">Remove the escalation; align Attachment C-2 milestones to the January 2028 delivery; write the tariff and change-in-law clause into the change-order process; treat warranty years 3-10 as a service agreement if Accounting allows</t>
  </si>
  <si>
    <t xml:space="preserve">06.08.00.00 note: cover agreement $11,860,850 less actuals and down payment; escalation per the ESF Overview</t>
  </si>
  <si>
    <t xml:space="preserve">B. Battery installation</t>
  </si>
  <si>
    <t xml:space="preserve">5,557 mh of install labor (25% of a 2023 site total), 12 pads, fire suppression $132K, GSU-to-battery conduit and cable</t>
  </si>
  <si>
    <t xml:space="preserve">Set, anchor and terminate 12 trailer-mounted units; Nomad supervises (two people, one day per container).</t>
  </si>
  <si>
    <t xml:space="preserve">Crew build-up at 200-250 mh per unit (2,400-3,000 mh); confirm whether the Voyager enclosure carries its own suppression before buying $132K of it twice</t>
  </si>
  <si>
    <t xml:space="preserve">Cost Estimating + Nomad</t>
  </si>
  <si>
    <t xml:space="preserve">07.03.02.11 note '16,801 mhrs x 25%'; 07.01.01.00 fire suppression from the 2023 bidder list</t>
  </si>
  <si>
    <t xml:space="preserve">C. GSUs and auxiliaries</t>
  </si>
  <si>
    <t xml:space="preserve">4 x 3 MVA pad-mount GSUs $1,077K furnish (2023 bidder list + 3%/yr) and $363K install (2,098 mh = 524 per unit); comms $355K; AC/DC panels $137K</t>
  </si>
  <si>
    <t xml:space="preserve">Step 480 V to 13.8 kV for 10 MW. The count follows the topology: one GSU per feeder connection or one per unit.</t>
  </si>
  <si>
    <t xml:space="preserve">Settle the count in writing. The PM's 9 Sep email speaks of twelve GSUs; Rev 3 carries four; Haugland priced the larger count ($632K deduct item). Install at 524 mh per pad-mount is three to four times a normal set; re-quote the transformer with the 2026 lead time (29-70 weeks) in the schedule</t>
  </si>
  <si>
    <t xml:space="preserve">06.02.05.00 / 07.03.02.07; Herman email 9 Sep 2026 'GSU transformers (12)'; Haugland Attachment 4-E</t>
  </si>
  <si>
    <t xml:space="preserve">C. GSUs (exposure)</t>
  </si>
  <si>
    <t xml:space="preserve">exposure</t>
  </si>
  <si>
    <t xml:space="preserve">Four GSUs</t>
  </si>
  <si>
    <t xml:space="preserve">If the topology needs one GSU per Voyager unit, twelve</t>
  </si>
  <si>
    <t xml:space="preserve">Eight more 1 MVA-class pad-mounts, foundations and cable</t>
  </si>
  <si>
    <t xml:space="preserve">Herman email 9 Sep 2026; Haugland 4-E GSU count item</t>
  </si>
  <si>
    <t xml:space="preserve">D. Switching station</t>
  </si>
  <si>
    <t xml:space="preserve">4 Siemens breaker skids $1,327K furnish (Siemens +/-30% budgetary at $300K each incl. relays, cabinets, DC battery, PTs, disconnects); 8 disconnect switches $238K (1,040 mh); 4 metering transclosures $265K; lighting $313K (1,272 mh); duct bank, 15 kV cable, riser poles, SSVT, grounding</t>
  </si>
  <si>
    <t xml:space="preserve">Four feeder connections at 2.5 MW each because a 15 kV-class feeder takes about 9 MVA aggregate (National Grid MA limit; Eversource's not retrieved). Each connection needs a breaker, protection, metering and a tie.</t>
  </si>
  <si>
    <t xml:space="preserve">(1) The 8 disconnects and the PT cutouts are on the skids per the project team and are priced again as separate lines: $259K and 1,040 mh. (2) Lighting: 12 HPS luminaires and $200 a foot of direct-bury hookup on an unmanned one-acre pad; LED on the fence line at a third of the cost. (3) Hosting-capacity study: if two feeders can take 5 MW each, two skids, two GSUs and two metering sets go away (savings register B2).</t>
  </si>
  <si>
    <t xml:space="preserve">Substation Eng. + System Planning</t>
  </si>
  <si>
    <t xml:space="preserve">07.03.02.04 and 06.02.09.00 note 'Located on breaker skid'; Fitzgerald email 12 Aug 2026 'Breaker Disconnects are on the skid', 'PTs are on the breaker skid', Siemens $300K each; 07.03.02.99 lighting lines</t>
  </si>
  <si>
    <t xml:space="preserve">E. Site and civil</t>
  </si>
  <si>
    <t xml:space="preserve">Cut and re-place 2,520 CY $456K (2,520 mh); 14-ft retaining wall 280 lf $470K; trap rock 4,900 sy $492K; gravel drive 760 lf $319K; 36 borings $361K; mob/demob $313K</t>
  </si>
  <si>
    <t xml:space="preserve">A stable, drained, accessible pad on a capped construction-debris landfill under a MassDEP post-closure permit; the wall, the platform depth and the cut volume are design outcomes of the geotech, not inputs.</t>
  </si>
  <si>
    <t xml:space="preserve">Unit rates run two to four times library norms (cut at $181/CY, surfacing $100/sy, drive $420/lf, borings $10K each) on placeholder quantities (2.5-ft platform). No basis is written for either. The reconciliation with Haugland decides which way this layer moves; do not book a deduct before the geotech.</t>
  </si>
  <si>
    <t xml:space="preserve">07.03.01.01, 07.03.01.02, 07.01.01.00 lines; constructability review items 7 and 11; Haugland $19.2M Class 3 base for its scope</t>
  </si>
  <si>
    <t xml:space="preserve">E. Site (exposures)</t>
  </si>
  <si>
    <t xml:space="preserve">No sound mitigation, no visual screening or faux facade, no police details beyond $12K of traffic control, no NFPA 855 hazard mitigation analysis line</t>
  </si>
  <si>
    <t xml:space="preserve">Constructability review: visual screening 'likely required' and a sound study to come; Boston public-way work; NFPA 855 for a lithium system next to housing</t>
  </si>
  <si>
    <t xml:space="preserve">E-23-373 carried $467K of sound mitigation; Rev 3 dropped it and the risk register does not carry it. Screening and a facade were deferred to 'vendor design'. Price them or register them.</t>
  </si>
  <si>
    <t xml:space="preserve">Siting + Civil</t>
  </si>
  <si>
    <t xml:space="preserve">Fitzgerald email 12 Aug 2026 item 6; constructability review environmental and siting sections; risk register 12.xx lines</t>
  </si>
  <si>
    <t xml:space="preserve">F. Station 496 feeder protection</t>
  </si>
  <si>
    <t xml:space="preserve">20 relays: hardware $91K; install 6,400 mh $1.23M; test 7,800 mh $1.81M; E&amp;S basis $1.46M; siting application $157K; AFUDC, contingency, risk</t>
  </si>
  <si>
    <t xml:space="preserve">Directional protection on the four feeders that will see reverse flow, and coordination at the source station. Whether all 20 relays, the four SEL-735 meters and a siting application are needed for relay work inside an existing fence is the question.</t>
  </si>
  <si>
    <t xml:space="preserve">$363K and 710 man-hours per relay. Benchmark against two recent EMA relay-replacement actuals; confirm the SEL-735 are protection; confirm what the $157K siting line is for; price the outage windows explicitly instead of inside the hours.</t>
  </si>
  <si>
    <t xml:space="preserve">Sta 496 Rev 2 lines 07.03.03.02, 08.01.02.00, 08.02.02.00, 04.02.00.00</t>
  </si>
  <si>
    <t xml:space="preserve">G. Testing and commissioning</t>
  </si>
  <si>
    <t xml:space="preserve">Field test 3,200 mh, LCE 1,600 mh, SCADA 1,650 mh, telecom 120 mh: $1.26M, hours carried from E-23-373</t>
  </si>
  <si>
    <t xml:space="preserve">Owner witness and acceptance testing; Nomad commissions its units (contract: $210K support, $246K vendor labor)</t>
  </si>
  <si>
    <t xml:space="preserve">Write the split into the test plan; the owner's hours were set in 2023 before the vendor's scope existed</t>
  </si>
  <si>
    <t xml:space="preserve">08.xx lines 'Mhrs from E-23-373 estimate'; Nomad SOV</t>
  </si>
  <si>
    <t xml:space="preserve">H. Owner soft costs</t>
  </si>
  <si>
    <t xml:space="preserve">Siting external $1,052K plus internal and actuals; PM (contractor and Eversource, three lines plus actuals) $1.30M; CM $356K; engineering $501K contractor plus actuals; outreach, environmental, legal</t>
  </si>
  <si>
    <t xml:space="preserve">Article 80 Small Project Review and a ZBA conditional use permit; a PM and a CM for the construction window; 30%-to-IFC engineering</t>
  </si>
  <si>
    <t xml:space="preserve">Siting at $1,052K external is two to three times a typical Article 80 small-project budget; ask counsel for the task budget. PM hours are duration-driven: every month of siting slip adds about $0.4M across PM, AFUDC and indirects, so the float target on the ZBA chain is the lever, not the rate.</t>
  </si>
  <si>
    <t xml:space="preserve">04.02.00.00; 09.01.xx lines</t>
  </si>
  <si>
    <t xml:space="preserve">$5.3M Sta 360 + $0.77M Sta 496: material $1.0M, labor $0.8M, design changes $0.8M, UG obstructions $0.45M, environmental, P&amp;C and station engineering $0.3M each, soil, weather, outreach, siting, BAR deductibles</t>
  </si>
  <si>
    <t xml:space="preserve">Risks that the directs and contingency do not already fund</t>
  </si>
  <si>
    <t xml:space="preserve">Labor-cost and material-cost lines restate escalation (savings register A2); design-change lines overlap the 17.9% contingency; sound mitigation and screening are the risks that are missing</t>
  </si>
  <si>
    <t xml:space="preserve">12.xx lines; ESF Overview escalation $2.95M</t>
  </si>
  <si>
    <t xml:space="preserve">L. Indirects</t>
  </si>
  <si>
    <t xml:space="preserve">$8.06M: E&amp;S station basis $4.79M (16% of directs, applied to the vendor contract), general services, MDEC, vehicles, non-productive, AS&amp;E, payroll</t>
  </si>
  <si>
    <t xml:space="preserve">Template basis rates</t>
  </si>
  <si>
    <t xml:space="preserve">Whether the E&amp;S basis should load a vendor-furnished, vendor-commissioned contract is a policy question (savings register A4, up to $2.1M); it is the single largest line nobody on the project can change</t>
  </si>
  <si>
    <t xml:space="preserve">Accounting</t>
  </si>
  <si>
    <t xml:space="preserve">13.05.00.00</t>
  </si>
  <si>
    <t xml:space="preserve">$5.0M over a seven-year development window</t>
  </si>
  <si>
    <t xml:space="preserve">Capitalized carrying cost on CWIP</t>
  </si>
  <si>
    <t xml:space="preserve">Pay the battery at delivery, not a year ahead (C3); protect the siting float; every month costs about $0.4M all-in</t>
  </si>
  <si>
    <t xml:space="preserve">PM + Treasury</t>
  </si>
  <si>
    <t xml:space="preserve">14.01.00.00; Attachment C-2</t>
  </si>
  <si>
    <t xml:space="preserve">Cost cases (loaded $)</t>
  </si>
  <si>
    <t xml:space="preserve">Case</t>
  </si>
  <si>
    <t xml:space="preserve">Rev 3 as estimated</t>
  </si>
  <si>
    <t xml:space="preserve">24 Sep 2026</t>
  </si>
  <si>
    <t xml:space="preserve">Contained: decisions only, no scope change</t>
  </si>
  <si>
    <t xml:space="preserve">battery escalation, risk-register wording, overhead basis ruling, AFUDC timing, the disconnect double count; exposures not yet added</t>
  </si>
  <si>
    <t xml:space="preserve">Re-scoped: every reduction in the register after its study closes</t>
  </si>
  <si>
    <t xml:space="preserve">adds the relay program at benchmark, two-feeder topology, civil after geotech, crew build-up, commissioning split, siting task budget</t>
  </si>
  <si>
    <t xml:space="preserve">Exposures that go the other way</t>
  </si>
  <si>
    <t xml:space="preserve">sound mitigation, screening, police details, NFPA 855 analysis, GSU count</t>
  </si>
  <si>
    <t xml:space="preserve">Haugland reconciliation (red team KS1)</t>
  </si>
  <si>
    <t xml:space="preserve">direct; if half the gap is 21334 scope</t>
  </si>
  <si>
    <t xml:space="preserve">Re-scoped, with the exposures and the Haugland midpoint added back</t>
  </si>
  <si>
    <t xml:space="preserve">the honest planning range once every study closes</t>
  </si>
  <si>
    <t xml:space="preserve">Containment plan</t>
  </si>
  <si>
    <t xml:space="preserve">When</t>
  </si>
  <si>
    <t xml:space="preserve">What</t>
  </si>
  <si>
    <t xml:space="preserve">Who</t>
  </si>
  <si>
    <t xml:space="preserve">What it decides</t>
  </si>
  <si>
    <t xml:space="preserve">Now to Nov 2026 PAF</t>
  </si>
  <si>
    <t xml:space="preserve">Decide A1 (battery escalation), re-word A2, get the Accounting ruling on the E&amp;S basis, strike the disconnect and PT lines that the skids already carry, price or register sound mitigation and screening, open the 48E memo with Tax</t>
  </si>
  <si>
    <t xml:space="preserve">Cost Estimating, PM, Accounting, Tax</t>
  </si>
  <si>
    <t xml:space="preserve">Estimate hygiene: about $3M to $5M loaded; the exposures added honestly</t>
  </si>
  <si>
    <t xml:space="preserve">Gate 1, design basis (Q1 2027)</t>
  </si>
  <si>
    <t xml:space="preserve">Geotech report, NFPA 855 hazard mitigation analysis, hosting-capacity study for two feeders, GSU count and topology in writing, Haugland-to-Rev 3 scope map signed</t>
  </si>
  <si>
    <t xml:space="preserve">Substation Eng., Civil, System Planning, HEG</t>
  </si>
  <si>
    <t xml:space="preserve">Decides the two-feeder case ($1.4M to $1.9M), the civil layer (either way) and the GSU exposure</t>
  </si>
  <si>
    <t xml:space="preserve">Gate 2, design-to-cost target (before IFC, mid-2027)</t>
  </si>
  <si>
    <t xml:space="preserve">Set a station-direct target of $1,250 per kWh ($25M direct, the reference-class 75th percentile) and a loaded target of $50M; monthly trend review against it; change control board with the CoE; no scope added without a funded source</t>
  </si>
  <si>
    <t xml:space="preserve">PM (accountable), Cost Estimating (trend), sponsor</t>
  </si>
  <si>
    <t xml:space="preserve">Turns the estimate into a managed number instead of a forecast</t>
  </si>
  <si>
    <t xml:space="preserve">Gate 3, commercial strategy (before construction pricing, Q3 2027)</t>
  </si>
  <si>
    <t xml:space="preserve">Competitive lump-sum pricing for station, civil and install (Haugland plus two), owner-furnished GSUs and skids on alliance pricing, Nomad milestones aligned to delivery, change-order cap, outage windows at 496 priced explicitly</t>
  </si>
  <si>
    <t xml:space="preserve">Sourcing, PM, Construction</t>
  </si>
  <si>
    <t xml:space="preserve">Converts unit-library construction into a bid; the red team's +25% construction stress test becomes a contract term</t>
  </si>
  <si>
    <t xml:space="preserve">Standing</t>
  </si>
  <si>
    <t xml:space="preserve">Monthly cost-containment report to the sponsor: station-direct $/kWh against target, forecast at completion, open scope questions, exposures register; the 48E position and the FEOC cell-origin answer tracked as milestones</t>
  </si>
  <si>
    <t xml:space="preserve">PM, CoE</t>
  </si>
  <si>
    <t xml:space="preserve">What leadership sees every month until in-service</t>
  </si>
  <si>
    <t xml:space="preserve">Estimate</t>
  </si>
  <si>
    <t xml:space="preserve">CBS1</t>
  </si>
  <si>
    <t xml:space="preserve">CBS4</t>
  </si>
  <si>
    <t xml:space="preserve">Seq</t>
  </si>
  <si>
    <t xml:space="preserve">Description</t>
  </si>
  <si>
    <t xml:space="preserve">Qty</t>
  </si>
  <si>
    <t xml:space="preserve">Unit</t>
  </si>
  <si>
    <t xml:space="preserve">Direct Cost ($)</t>
  </si>
  <si>
    <t xml:space="preserve">Manhours</t>
  </si>
  <si>
    <t xml:space="preserve">Layer code</t>
  </si>
  <si>
    <t xml:space="preserve">Hyde Park BESS - Sta. 496 - Rev 2</t>
  </si>
  <si>
    <t xml:space="preserve">03</t>
  </si>
  <si>
    <t xml:space="preserve">03.01.00.00</t>
  </si>
  <si>
    <t xml:space="preserve">SCS, Internal, Traditional</t>
  </si>
  <si>
    <t xml:space="preserve">ls</t>
  </si>
  <si>
    <t xml:space="preserve">03.02.00.00</t>
  </si>
  <si>
    <t xml:space="preserve">SCS, External, Traditional</t>
  </si>
  <si>
    <t xml:space="preserve">04</t>
  </si>
  <si>
    <t xml:space="preserve">04.01.00.00</t>
  </si>
  <si>
    <t xml:space="preserve">Siting, Internal, Application</t>
  </si>
  <si>
    <t xml:space="preserve">04.02.00.00</t>
  </si>
  <si>
    <t xml:space="preserve">Siting, External, Application</t>
  </si>
  <si>
    <t xml:space="preserve">05</t>
  </si>
  <si>
    <t xml:space="preserve">05.02.01.00</t>
  </si>
  <si>
    <t xml:space="preserve">Engr. Station - Eversource</t>
  </si>
  <si>
    <t xml:space="preserve">mh</t>
  </si>
  <si>
    <t xml:space="preserve">05.02.02.00</t>
  </si>
  <si>
    <t xml:space="preserve">Engr. Station - Contractor</t>
  </si>
  <si>
    <t xml:space="preserve">05.04.01.00</t>
  </si>
  <si>
    <t xml:space="preserve">Engr. P&amp;C - Eversource</t>
  </si>
  <si>
    <t xml:space="preserve">05.04.02.00</t>
  </si>
  <si>
    <t xml:space="preserve">Engr. P&amp;C - Contractor</t>
  </si>
  <si>
    <t xml:space="preserve">05.07.01.00</t>
  </si>
  <si>
    <t xml:space="preserve">Engr. SS Drafting/Project Services - Eversource</t>
  </si>
  <si>
    <t xml:space="preserve">06</t>
  </si>
  <si>
    <t xml:space="preserve">06.04.02.00</t>
  </si>
  <si>
    <t xml:space="preserve">Miscellaneous Cabinet/ Devices Panel Plate Repacments, (Furnish)</t>
  </si>
  <si>
    <t xml:space="preserve">ea</t>
  </si>
  <si>
    <t xml:space="preserve">Relays AAB FT-1 9R Test Device, (Furnish)</t>
  </si>
  <si>
    <t xml:space="preserve">Relays SEL-351S (Transformer and Feeder Protection), (Furnish)</t>
  </si>
  <si>
    <t xml:space="preserve">Relays SEL-735 (Transformer Protection), (Furnish)</t>
  </si>
  <si>
    <t xml:space="preserve">Relays SEL-751 (Transformer and Feeder Protection), (Furnish)</t>
  </si>
  <si>
    <t xml:space="preserve">06.04.03.00</t>
  </si>
  <si>
    <t xml:space="preserve">Insulated Control Cable Cable, Control, #12 SIS Switchbourd cable , (Furnish)</t>
  </si>
  <si>
    <t xml:space="preserve">lf</t>
  </si>
  <si>
    <t xml:space="preserve">Insulated Control Cable Cable, Control, #14 SIS Switchbourd cable , (Furnish)</t>
  </si>
  <si>
    <t xml:space="preserve">Insulated Control Cable Cable, Control, Lug, Termination #12-10 AWG , (Furnish)</t>
  </si>
  <si>
    <t xml:space="preserve">Insulated Control Cable Cable, Control, Lug, Termination #18-14 AWG, (Furnish)</t>
  </si>
  <si>
    <t xml:space="preserve">Insulated Control Cable Cable, Control, User Defined, (Furnish)</t>
  </si>
  <si>
    <t xml:space="preserve">Length per Estimator</t>
  </si>
  <si>
    <t xml:space="preserve">07</t>
  </si>
  <si>
    <t xml:space="preserve">07.01.02.01</t>
  </si>
  <si>
    <t xml:space="preserve">Switching &amp; Tagging (Internal labor)</t>
  </si>
  <si>
    <t xml:space="preserve">20 ops x 8 hrs/ops x 2 switchers</t>
  </si>
  <si>
    <t xml:space="preserve">07.01.04.00</t>
  </si>
  <si>
    <t xml:space="preserve">Demobilization</t>
  </si>
  <si>
    <t xml:space="preserve">Mobilization</t>
  </si>
  <si>
    <t xml:space="preserve">07.03.02.12</t>
  </si>
  <si>
    <t xml:space="preserve">Insulated Control Cable Cable, Control, #12 SIS Switchbourd cable , (Install)</t>
  </si>
  <si>
    <t xml:space="preserve">Insulated Control Cable Cable, Control, #14 SIS Switchbourd cable , (Install)</t>
  </si>
  <si>
    <t xml:space="preserve">Insulated Control Cable Cable, Control, Lug, Termination #12-10 AWG , (Install)</t>
  </si>
  <si>
    <t xml:space="preserve">Insulated Control Cable Cable, Control, Lug, Termination #18-14 AWG, (Install)</t>
  </si>
  <si>
    <t xml:space="preserve">Insulated Control Cable Cable, Control, User Defined, (Install)</t>
  </si>
  <si>
    <t xml:space="preserve">07.03.03.02</t>
  </si>
  <si>
    <t xml:space="preserve">Miscellaneous Cabinet/ Devices Panel Plate Repacments, (Install)</t>
  </si>
  <si>
    <t xml:space="preserve">Relays AAB FT-1 9R Test Device, (Install)</t>
  </si>
  <si>
    <t xml:space="preserve">Relays SEL-351S (Transformer and Feeder Protection), (Install)</t>
  </si>
  <si>
    <t xml:space="preserve">Relays SEL-735 (Transformer Protection), (Install)</t>
  </si>
  <si>
    <t xml:space="preserve">Relays SEL-751 (Transformer and Feeder Protection), (Install)</t>
  </si>
  <si>
    <t xml:space="preserve">08</t>
  </si>
  <si>
    <t xml:space="preserve">08.01.02.00</t>
  </si>
  <si>
    <t xml:space="preserve">Lead Commissioning Engr. (LCE), Contractor</t>
  </si>
  <si>
    <t xml:space="preserve">50% mhrs of Field Test Engr.</t>
  </si>
  <si>
    <t xml:space="preserve">08.02.02.00</t>
  </si>
  <si>
    <t xml:space="preserve">Field Test Engr., Contractor</t>
  </si>
  <si>
    <t xml:space="preserve">SEL-751 8 reloays x 300 mhrs per RRA = 2,400 mhrs
SEL-735 4 reloays x 300 mhrs per RRA = 1,200 mhrs
SEL-351S 8 reloays x 420 mhrs per RRA = 3,360 mhrs
Total = 6,920 mhrs x 75% efficiency = 5,200 mhrs</t>
  </si>
  <si>
    <t xml:space="preserve">09</t>
  </si>
  <si>
    <t xml:space="preserve">09.01.02.00</t>
  </si>
  <si>
    <t xml:space="preserve">Project Manager, Contractor</t>
  </si>
  <si>
    <t xml:space="preserve">4 mns x 4.3 wks/mn x 8 mhrs/wk
</t>
  </si>
  <si>
    <t xml:space="preserve">09.03.01.00</t>
  </si>
  <si>
    <t xml:space="preserve">Purchasing, Eversource</t>
  </si>
  <si>
    <t xml:space="preserve">09.04.01.00</t>
  </si>
  <si>
    <t xml:space="preserve">System Planning, Eversource</t>
  </si>
  <si>
    <t xml:space="preserve">09.08.01.00</t>
  </si>
  <si>
    <t xml:space="preserve">Estimating, Eversource</t>
  </si>
  <si>
    <t xml:space="preserve">09.09.01.00</t>
  </si>
  <si>
    <t xml:space="preserve">Project Controls, Project Performance, Eversource</t>
  </si>
  <si>
    <t xml:space="preserve">Project Controls, Scheduling, Eversource</t>
  </si>
  <si>
    <t xml:space="preserve">09.10.01.00</t>
  </si>
  <si>
    <t xml:space="preserve">Asset Management, Eversource</t>
  </si>
  <si>
    <t xml:space="preserve">09.11.01.00</t>
  </si>
  <si>
    <t xml:space="preserve">Construction Manager (CR), Eversource</t>
  </si>
  <si>
    <t xml:space="preserve">2mns x 4.3wks/mn x 40 mhrs/wk</t>
  </si>
  <si>
    <t xml:space="preserve">10</t>
  </si>
  <si>
    <t xml:space="preserve">10.01.00.00</t>
  </si>
  <si>
    <t xml:space="preserve">Removals - Station - ABB-REF610 Relays (Labor)</t>
  </si>
  <si>
    <t xml:space="preserve">10% of install (320 mhrs)</t>
  </si>
  <si>
    <t xml:space="preserve">Removals - Station - SEL-551 Relays (Labor)</t>
  </si>
  <si>
    <t xml:space="preserve">Removals - Station - Test Switches (Labor)</t>
  </si>
  <si>
    <t xml:space="preserve">50% of install (2.5 mhrs)</t>
  </si>
  <si>
    <t xml:space="preserve">Removals - Station - Wiring (Labor)</t>
  </si>
  <si>
    <t xml:space="preserve">2 elec x 1 wk x 40 mhrs/wk</t>
  </si>
  <si>
    <t xml:space="preserve">11</t>
  </si>
  <si>
    <t xml:space="preserve">11.00.00.03</t>
  </si>
  <si>
    <t xml:space="preserve">CWIPDistribution</t>
  </si>
  <si>
    <t xml:space="preserve">12</t>
  </si>
  <si>
    <t xml:space="preserve">12.07.00.00</t>
  </si>
  <si>
    <t xml:space="preserve">Risk - Construction - Design / Scope changes</t>
  </si>
  <si>
    <t xml:space="preserve">Change orders, increase labor and materials costs.
</t>
  </si>
  <si>
    <t xml:space="preserve">Risk - Construction - Labor costs impact</t>
  </si>
  <si>
    <t xml:space="preserve">Salaries increase yearly or a labor shortage of qualified personnel.  Possible overtime.
</t>
  </si>
  <si>
    <t xml:space="preserve">Risk - Construction - Mat'l costs impact</t>
  </si>
  <si>
    <t xml:space="preserve">Material costs increase especially precious metals and possible tariffs.</t>
  </si>
  <si>
    <t xml:space="preserve">Risk - Construction - Weather delays imact</t>
  </si>
  <si>
    <t xml:space="preserve">Delay in schedule due to adverse weather.
</t>
  </si>
  <si>
    <t xml:space="preserve">13</t>
  </si>
  <si>
    <t xml:space="preserve">13.01.00.00</t>
  </si>
  <si>
    <t xml:space="preserve">Indirect - Non-Productive Basis</t>
  </si>
  <si>
    <t xml:space="preserve">13.02.00.00</t>
  </si>
  <si>
    <t xml:space="preserve">Indirect - Payroll Benefit Basis</t>
  </si>
  <si>
    <t xml:space="preserve">13.03.00.00</t>
  </si>
  <si>
    <t xml:space="preserve">Indirect - Gen Svc Co OH Basis</t>
  </si>
  <si>
    <t xml:space="preserve">Indirect - E&amp;S Station Basis</t>
  </si>
  <si>
    <t xml:space="preserve">13.06.00.00</t>
  </si>
  <si>
    <t xml:space="preserve">Indirect - AS &amp; E Basis</t>
  </si>
  <si>
    <t xml:space="preserve">13.08.00.00</t>
  </si>
  <si>
    <t xml:space="preserve">Indirect - Lobby Stock Basis</t>
  </si>
  <si>
    <t xml:space="preserve">13.09.00.00</t>
  </si>
  <si>
    <t xml:space="preserve">Indirect - MDEC Basis</t>
  </si>
  <si>
    <t xml:space="preserve">13.10.00.00</t>
  </si>
  <si>
    <t xml:space="preserve">Indirect - Vehicles OH Basis</t>
  </si>
  <si>
    <t xml:space="preserve">14</t>
  </si>
  <si>
    <t xml:space="preserve">14.01.00.00</t>
  </si>
  <si>
    <t xml:space="preserve">AFUDC</t>
  </si>
  <si>
    <t xml:space="preserve">15</t>
  </si>
  <si>
    <t xml:space="preserve">15.15.00.00</t>
  </si>
  <si>
    <t xml:space="preserve">Contingency - General</t>
  </si>
  <si>
    <t xml:space="preserve">Hyde Park BESS - Sta. 360 - Rev 3</t>
  </si>
  <si>
    <t xml:space="preserve">01</t>
  </si>
  <si>
    <t xml:space="preserve">01.04.00.00</t>
  </si>
  <si>
    <t xml:space="preserve">Contractor ROW, Easment Costs</t>
  </si>
  <si>
    <t xml:space="preserve">Actual Costs to 9/23/26</t>
  </si>
  <si>
    <t xml:space="preserve">Land Costs</t>
  </si>
  <si>
    <t xml:space="preserve">02</t>
  </si>
  <si>
    <t xml:space="preserve">02.01.00.00</t>
  </si>
  <si>
    <t xml:space="preserve">Enviromental, Eversource</t>
  </si>
  <si>
    <t xml:space="preserve">Mhrs from E-23-373 estimate</t>
  </si>
  <si>
    <t xml:space="preserve">02.02.00.00</t>
  </si>
  <si>
    <t xml:space="preserve">City/Municipal Permits (Zoning, Building, etc.)</t>
  </si>
  <si>
    <t xml:space="preserve">Zoning relief and permits.  City of Boston Article 80 &amp; zoning variance.</t>
  </si>
  <si>
    <t xml:space="preserve">DEP Listed Site - Wast Management</t>
  </si>
  <si>
    <t xml:space="preserve">Permit needed for authorization to construct on closed landfill facility.</t>
  </si>
  <si>
    <t xml:space="preserve">eNOI, EPA 2022, Submittal</t>
  </si>
  <si>
    <t xml:space="preserve">Disturb greater than 1 acre of land.</t>
  </si>
  <si>
    <t xml:space="preserve">Environmental, Contractor</t>
  </si>
  <si>
    <t xml:space="preserve">Mass DEP</t>
  </si>
  <si>
    <t xml:space="preserve">Tier II reporting for batteries.</t>
  </si>
  <si>
    <t xml:space="preserve">Soil Sampling/Disposal</t>
  </si>
  <si>
    <t xml:space="preserve">Samples plus soil management plan needed.</t>
  </si>
  <si>
    <t xml:space="preserve">Storm Water Pollution Prevention Plan (SWPPP)</t>
  </si>
  <si>
    <t xml:space="preserve">Develop plan and inspections are required.</t>
  </si>
  <si>
    <t xml:space="preserve">02.03.01.00</t>
  </si>
  <si>
    <t xml:space="preserve">Legal, Environmental, Eversource</t>
  </si>
  <si>
    <t xml:space="preserve">02.05.00.00</t>
  </si>
  <si>
    <t xml:space="preserve">Fees - Environmental Permits - Contractor</t>
  </si>
  <si>
    <t xml:space="preserve">Project Services (Outreach), Eversource (Actuals input)</t>
  </si>
  <si>
    <t xml:space="preserve">Project Services (Outreach), Eversource (Manual input)</t>
  </si>
  <si>
    <t xml:space="preserve">Project Services (Outreach), Contractor (Actuals input)</t>
  </si>
  <si>
    <t xml:space="preserve">Project Services (Outreach), Contractor (Manual input)</t>
  </si>
  <si>
    <t xml:space="preserve">Siting, Eversource (Actuals input)</t>
  </si>
  <si>
    <t xml:space="preserve">Siting, Eversource (Manual input)</t>
  </si>
  <si>
    <t xml:space="preserve">Neighborhood is concerned about losing land and visual concerns near shopping plaza.  Screening/buffering likely for abutting residential neighborhood.
Increase traffic concerns.</t>
  </si>
  <si>
    <t xml:space="preserve">Siting, Contractor (Actuals input)</t>
  </si>
  <si>
    <t xml:space="preserve">05.01.01.00</t>
  </si>
  <si>
    <t xml:space="preserve">Engr. Civil - Eversource - station</t>
  </si>
  <si>
    <t xml:space="preserve">Costs per email dated 9/18/26, Eng. Costs total $501,000</t>
  </si>
  <si>
    <t xml:space="preserve">05.01.02.00</t>
  </si>
  <si>
    <t xml:space="preserve">Engr. Civil - Contractor - station</t>
  </si>
  <si>
    <t xml:space="preserve">05.03.01.00</t>
  </si>
  <si>
    <t xml:space="preserve">Engr. Lines D AG - Eversource</t>
  </si>
  <si>
    <t xml:space="preserve">05.05.01.00</t>
  </si>
  <si>
    <t xml:space="preserve">Engr. SCADA - Eversource</t>
  </si>
  <si>
    <t xml:space="preserve">05.05.02.00</t>
  </si>
  <si>
    <t xml:space="preserve">Engr. SCADA - Contractor</t>
  </si>
  <si>
    <t xml:space="preserve">Mhrs from E-23-373 estimate
SCADA Settings and layout</t>
  </si>
  <si>
    <t xml:space="preserve">05.06.01.00</t>
  </si>
  <si>
    <t xml:space="preserve">Engr. Telecom - Eversource</t>
  </si>
  <si>
    <t xml:space="preserve">05.06.02.00</t>
  </si>
  <si>
    <t xml:space="preserve">Engr. Telecom - Contractor</t>
  </si>
  <si>
    <t xml:space="preserve">06.02.01.00</t>
  </si>
  <si>
    <t xml:space="preserve">38kV Circuit Breakers SIEMENS SD7-1200 Amps, 15kV, (Furnish)</t>
  </si>
  <si>
    <t xml:space="preserve">Per project team - breaker cost includes, relays, cabinets, DC battery, PTs, hook type switches and skid.
Cost per breaker is $300K per project team.</t>
  </si>
  <si>
    <t xml:space="preserve">06.02.05.00</t>
  </si>
  <si>
    <t xml:space="preserve">Station Service Transformers, Three-Phase, 1,500 kVA, 13.8kV-480V, Pad Mount, (Furnish)</t>
  </si>
  <si>
    <t xml:space="preserve">Maximo #534534, change quantity to one per email dated 9/16/26</t>
  </si>
  <si>
    <t xml:space="preserve">Transformer, 13.8kV - 480V, Generator Step-Up (GSU), 3 MVA, Pad Mount, (Furnish)</t>
  </si>
  <si>
    <t xml:space="preserve">Cost $882,302 Bidder lists dated 7/28/23.
Add 3% per year inflation = $964,116/4 es = $241,029
</t>
  </si>
  <si>
    <t xml:space="preserve">06.02.08.00</t>
  </si>
  <si>
    <t xml:space="preserve">Power Cable 3 Phase 15kV EPR Triplex (Furnish)</t>
  </si>
  <si>
    <t xml:space="preserve">Per Estimator - 500LF for each of the SSVT</t>
  </si>
  <si>
    <t xml:space="preserve">Power Cable 3 Phase 15kV EPR Triplex (Furnish) - 250 MCM</t>
  </si>
  <si>
    <t xml:space="preserve">Riser Structure to GSU</t>
  </si>
  <si>
    <t xml:space="preserve">Power Cable, 15 kV Elbow Connectors (Furnish)</t>
  </si>
  <si>
    <t xml:space="preserve">for pad mount SSVT (3) plus (4 metering transclosure x 6 ea.) = 27
</t>
  </si>
  <si>
    <t xml:space="preserve">Power Cable, 250 MCM, 15kV, Terminations (Furnish)</t>
  </si>
  <si>
    <t xml:space="preserve">12 runs x 6 terminations/run 
cost on line</t>
  </si>
  <si>
    <t xml:space="preserve">Power Cable, 600V, 4/O Cable, 1-Conductor, Insulated, (Furnish) - CU</t>
  </si>
  <si>
    <t xml:space="preserve">GSU to BESS cost on line</t>
  </si>
  <si>
    <t xml:space="preserve">Power Cable, 600V, 4/O Cable, Insulated, (Furnish) Length per Estimator 4 cond. AL</t>
  </si>
  <si>
    <t xml:space="preserve">SSVT -1500 kVA Pad Trans and one Dry Type - cost on line Wake Forest Aluminum</t>
  </si>
  <si>
    <t xml:space="preserve">06.02.09.00</t>
  </si>
  <si>
    <t xml:space="preserve">Switch, Disconnect, 14.4kV, 3 pole/single throw, 1200 amp (includes Insulators and Manual Operating Mechanism), (Furnish)</t>
  </si>
  <si>
    <t xml:space="preserve">Located on breaker skid</t>
  </si>
  <si>
    <t xml:space="preserve">06.02.99.00</t>
  </si>
  <si>
    <t xml:space="preserve">AC/ DC Distribution Panels, Aux. Power Systems,  (Furnish)</t>
  </si>
  <si>
    <t xml:space="preserve">Cost $56,030, Bidder lists dated 7/28/23.
Add 3% per year inflation = $61,225
</t>
  </si>
  <si>
    <t xml:space="preserve">Automatic Transfer Switch, 400 amps, 3 Phase, (Furnish)</t>
  </si>
  <si>
    <t xml:space="preserve">Fuse Cutouts, 15 KV, 1 Phase, (Furnish)</t>
  </si>
  <si>
    <t xml:space="preserve">Cost on line - Per estimator for three SSVTs (9) and PTs (24)
Total 33.</t>
  </si>
  <si>
    <t xml:space="preserve">Insulators - 15kV, Dead-End Insulators, (Furnish)</t>
  </si>
  <si>
    <t xml:space="preserve">OH cable from breaker to wood pole</t>
  </si>
  <si>
    <t xml:space="preserve">Misc. Eqt &amp; Construction, Material (Furnish)</t>
  </si>
  <si>
    <t xml:space="preserve">Wood Poles Distribution  Wood Poles - 45ft, (Furnish)</t>
  </si>
  <si>
    <t xml:space="preserve">06.03.02.00</t>
  </si>
  <si>
    <t xml:space="preserve">Cable Single Phase/Bare Cable 556 mcm ACSR, (26/7) Dove, (Furnish)</t>
  </si>
  <si>
    <t xml:space="preserve">25' x 6 conductors x 2 - OH cable from breaker to wood pole on each side of the breaker</t>
  </si>
  <si>
    <t xml:space="preserve">Outdoor Metering Transclosure, , (Furnish)</t>
  </si>
  <si>
    <t xml:space="preserve">06.06.00.00</t>
  </si>
  <si>
    <t xml:space="preserve">Communications, User Defined, (Furnish)</t>
  </si>
  <si>
    <t xml:space="preserve">Cost $217,733, Bidder lists dated 7/28/23.
Add 3% per year inflation = $237,922
</t>
  </si>
  <si>
    <t xml:space="preserve">06.08.00.00</t>
  </si>
  <si>
    <t xml:space="preserve">4" Galvanized Rigid Conduit (Furnish)</t>
  </si>
  <si>
    <t xml:space="preserve">40LF x 12 runs - GSU to Batteries</t>
  </si>
  <si>
    <t xml:space="preserve">4" GRC 90 Degree Elbow - 36" Sweep (Furnish)</t>
  </si>
  <si>
    <t xml:space="preserve">12 runs x 2 sweeps - GSU to Batteries.</t>
  </si>
  <si>
    <t xml:space="preserve">Batteries, Nomad Batteries Voyager Eagle LFP BESS System , (Furnish)</t>
  </si>
  <si>
    <t xml:space="preserve">See cover agreement dated 12/6/25 =.$11,860,850 minus actual cost and downpayment $1,213,042.82
total = $10,647,808</t>
  </si>
  <si>
    <t xml:space="preserve">06.08.01.00</t>
  </si>
  <si>
    <t xml:space="preserve">Grounding Systems, Cable, UG, 4/0 copper, bare, (Furnish)</t>
  </si>
  <si>
    <t xml:space="preserve">200'x200'
Cost $123,768 Bidder lists dated 7/28/23.
Add 3% per year inflation = $135,244 all ground grid material
</t>
  </si>
  <si>
    <t xml:space="preserve">Grounding Systems, Grounding, Conn, Compression, Ground 2-4/0, (Furnish)</t>
  </si>
  <si>
    <t xml:space="preserve">Grounding Systems, Grounding, Connector, Compression, Ground, C-Tap. , (Furnish)</t>
  </si>
  <si>
    <t xml:space="preserve">Grounding Systems, Grounding, Connector, Compression, Ground, L-Tap. 4/0 cable to 5/8" Rod, (Furnish)</t>
  </si>
  <si>
    <t xml:space="preserve">Grounding Systems, Grounding, Ground Rods "5/8 X 8 FT, (Furnish)</t>
  </si>
  <si>
    <t xml:space="preserve">20' spacing</t>
  </si>
  <si>
    <t xml:space="preserve">Grounding Systems, Transformers and Grid, (Furnish)</t>
  </si>
  <si>
    <t xml:space="preserve">Cost $123,768 Bidder lists dated 7/28/23.
Add 3% per year inflation = $135,244
Minus material only $30,244 of 200'x200' grid
total $105,800
</t>
  </si>
  <si>
    <t xml:space="preserve">07.01.01.00</t>
  </si>
  <si>
    <t xml:space="preserve">Fire Suppression (Install)</t>
  </si>
  <si>
    <t xml:space="preserve">Fire Suppresssion (Furnish)</t>
  </si>
  <si>
    <t xml:space="preserve">Cost $68,640 Bidder lists dated 7/28/23.
Add 3% per year inflation = $75,004.78
</t>
  </si>
  <si>
    <t xml:space="preserve">Roads, Paving - Gravel Driveway - 20 ft. wide, (Furnish)</t>
  </si>
  <si>
    <t xml:space="preserve">20'Wx760'</t>
  </si>
  <si>
    <t xml:space="preserve">Roads, Paving - Gravel Driveway - 20 ft. wide, (Install)</t>
  </si>
  <si>
    <t xml:space="preserve">Soil Borings, (Furnish) - Access Rd,.</t>
  </si>
  <si>
    <t xml:space="preserve">Per Constructability Review Form</t>
  </si>
  <si>
    <t xml:space="preserve">Soil Borings, (Install)</t>
  </si>
  <si>
    <t xml:space="preserve">2 ops x 8 hrs/ops x 2 switchers
Interconnection to grid switch time</t>
  </si>
  <si>
    <t xml:space="preserve">07.02.02.02</t>
  </si>
  <si>
    <t xml:space="preserve">Soil Borings, (Install) - SS</t>
  </si>
  <si>
    <t xml:space="preserve">07.02.03.01</t>
  </si>
  <si>
    <t xml:space="preserve">Wood Poles Distribution  Wood Poles - 45ft, (Install)</t>
  </si>
  <si>
    <t xml:space="preserve">07.02.03.02</t>
  </si>
  <si>
    <t xml:space="preserve">Power Cable 3 Phase 15kV EPR Triplex (Install)</t>
  </si>
  <si>
    <t xml:space="preserve">Power Cable 3 Phase 15kV EPR Triplex (Install) - 250 MCM</t>
  </si>
  <si>
    <t xml:space="preserve">07.02.05.02</t>
  </si>
  <si>
    <t xml:space="preserve">Soil Borings, (Furnish) - SS</t>
  </si>
  <si>
    <t xml:space="preserve">07.03.01.01</t>
  </si>
  <si>
    <t xml:space="preserve">Backfill -  Imported fill, (Install)</t>
  </si>
  <si>
    <t xml:space="preserve">cy</t>
  </si>
  <si>
    <t xml:space="preserve">Backfill - Imported fill, (Furnish)</t>
  </si>
  <si>
    <t xml:space="preserve">Sitework, Clear &amp; Grub site, (Install)</t>
  </si>
  <si>
    <t xml:space="preserve">ac</t>
  </si>
  <si>
    <t xml:space="preserve">Access Road</t>
  </si>
  <si>
    <t xml:space="preserve">Soil Disposal - Reusable, (Furnish)</t>
  </si>
  <si>
    <t xml:space="preserve">Cut 2,520 CY of Material</t>
  </si>
  <si>
    <t xml:space="preserve">Soil Disposal - Reusable, (Install)</t>
  </si>
  <si>
    <t xml:space="preserve">Surfacing, Trap Rock 3/4" - Spread to a depth of 6 Inches (Furnish) - SS Gravel</t>
  </si>
  <si>
    <t xml:space="preserve">sy</t>
  </si>
  <si>
    <t xml:space="preserve">210'x210'=44,100SFT/9 = 4,900sy</t>
  </si>
  <si>
    <t xml:space="preserve">Surfacing, Trap Rock 3/4" - Spread to a depth of 6 Inches (Install) - SS Gravel</t>
  </si>
  <si>
    <t xml:space="preserve">07.03.01.02</t>
  </si>
  <si>
    <t xml:space="preserve">Fencing, Chain Link Fencing, (Furnish)</t>
  </si>
  <si>
    <t xml:space="preserve">Fencing, Chain Link Fencing, (Install)</t>
  </si>
  <si>
    <t xml:space="preserve">Fencing, Gate, manual, (Furnish)</t>
  </si>
  <si>
    <t xml:space="preserve">Personnel Gate</t>
  </si>
  <si>
    <t xml:space="preserve">Fencing, Gate, manual, (Install)</t>
  </si>
  <si>
    <t xml:space="preserve">Retaining wall, Formed and poured walls - 14' Tall (Furnish)</t>
  </si>
  <si>
    <t xml:space="preserve">Retaining wall, Formed and poured walls - 14' Tall (Install)</t>
  </si>
  <si>
    <t xml:space="preserve">07.03.01.03</t>
  </si>
  <si>
    <t xml:space="preserve">Foundation, 3 MVA Transformer 6.6 CY (Furnish) - GSU</t>
  </si>
  <si>
    <t xml:space="preserve">Generator Step Up Transformer</t>
  </si>
  <si>
    <t xml:space="preserve">Foundation, 3 MVA Transformer 6.6 CY (Install) - GSU</t>
  </si>
  <si>
    <t xml:space="preserve">Foundation, D station, 251"x108" Pads for Nomad Batteries,  (Furnish)</t>
  </si>
  <si>
    <t xml:space="preserve">Foundation, D station, 251"x108" Pads for Nomad Batteries,  (Install)</t>
  </si>
  <si>
    <t xml:space="preserve">Foundation, D station, Conrol/SCADA Outdoor Cabinets.,  (Install)</t>
  </si>
  <si>
    <t xml:space="preserve">27.25'(W) x 150" (L)</t>
  </si>
  <si>
    <t xml:space="preserve">Foundation, D station, Control/SCADA Oudoor Cabinets  (Furnish)</t>
  </si>
  <si>
    <t xml:space="preserve">Foundation, D station, Transclosure,  (Furnish)</t>
  </si>
  <si>
    <t xml:space="preserve">Metering</t>
  </si>
  <si>
    <t xml:space="preserve">Foundation, D station, Transclosure,  (Install)</t>
  </si>
  <si>
    <t xml:space="preserve">Foundation,15 KV Outdoor 6.81 CY C.B. (Install)</t>
  </si>
  <si>
    <t xml:space="preserve">Foundation,15 KV Outdoor C.B. 6.81 CY (Furnish)</t>
  </si>
  <si>
    <t xml:space="preserve">Foundation,15 KV SSVT Pad 4.67 CY (Furnish)</t>
  </si>
  <si>
    <t xml:space="preserve">1,500 kVA Pad</t>
  </si>
  <si>
    <t xml:space="preserve">Foundation,15 KV SSVT Pad 4.67 CY (Install)</t>
  </si>
  <si>
    <t xml:space="preserve">07.03.02.01</t>
  </si>
  <si>
    <t xml:space="preserve">38kV Circuit Breakers SIEMENS SD7-1200 Amps, 15kV, (Install)</t>
  </si>
  <si>
    <t xml:space="preserve">07.03.02.04</t>
  </si>
  <si>
    <t xml:space="preserve">Switch, Disconnect, 14.4kV, 3 pole/single throw, 1200 amp (includes Insulators and Manual Operating Mechanism), (Install)</t>
  </si>
  <si>
    <t xml:space="preserve">07.03.02.07</t>
  </si>
  <si>
    <t xml:space="preserve">Station Service Transformers, Three-Phase, 1,500 kVA, 13.8kV-480V, Pad Mount, (Install)</t>
  </si>
  <si>
    <t xml:space="preserve">Transformer, 13.8kV - 480V, Generator Step-Up (GSU), 3 MVA, Pad Mount, (Install)</t>
  </si>
  <si>
    <t xml:space="preserve">07.03.02.09</t>
  </si>
  <si>
    <t xml:space="preserve">(1) 4" PVC Conduit Conc. Enc, (Furnish) - Length per Estimator</t>
  </si>
  <si>
    <t xml:space="preserve">Telecommunication</t>
  </si>
  <si>
    <t xml:space="preserve">(1) 4" PVC Conduit Conc. Enc, (Install) - Length per Estimator</t>
  </si>
  <si>
    <t xml:space="preserve">Ductbank 2x2 Duct - w/excav &amp; backfill, w/o cable, (Furnish)</t>
  </si>
  <si>
    <t xml:space="preserve">220 'x4 runs - Riser poles to GSU</t>
  </si>
  <si>
    <t xml:space="preserve">Ductbank 2x2 Duct - w/excav &amp; backfill, w/o cable, (Furnish) - Length per Estimator</t>
  </si>
  <si>
    <t xml:space="preserve">200 'x4 runs - Riser poles to Feeder Connections Manholes</t>
  </si>
  <si>
    <t xml:space="preserve">Ductbank 2x2 Duct - w/excav &amp; backfill, w/o cable, (Install)</t>
  </si>
  <si>
    <t xml:space="preserve">Ductbank 2x2 Duct - w/excav &amp; backfill, w/o cable, (Install) - Length per Estimator</t>
  </si>
  <si>
    <t xml:space="preserve">07.03.02.10</t>
  </si>
  <si>
    <t xml:space="preserve">4" Galvanized Rigid Conduit (Install)</t>
  </si>
  <si>
    <t xml:space="preserve">4" GRC 90 Degree Elbow - 36" Sweep (Install)</t>
  </si>
  <si>
    <t xml:space="preserve">12 runs x 2 sweeps - GSU to Batteries</t>
  </si>
  <si>
    <t xml:space="preserve">07.03.02.11</t>
  </si>
  <si>
    <t xml:space="preserve">Batteries, Nomad Batteries Voyager Eagle LFP BESS System , (Install)</t>
  </si>
  <si>
    <t xml:space="preserve">Cost from E-23-373 estimate = 16,801 mhrs x 25% = 4,200 mhrs</t>
  </si>
  <si>
    <t xml:space="preserve">Cable Single Phase/Bare Cable 556 mcm ACSR, (26/7) Dove, (Install)</t>
  </si>
  <si>
    <t xml:space="preserve">Grounding Systems, Cable, UG, 4/0 copper, bare, (Install)</t>
  </si>
  <si>
    <t xml:space="preserve">200'x200'</t>
  </si>
  <si>
    <t xml:space="preserve">Grounding Systems, Grounding, Conn, Compression, Ground 2-4/0, (Install)</t>
  </si>
  <si>
    <t xml:space="preserve">Grounding Systems, Grounding, Connector, Compression, Ground, C-Tap. , (Install)</t>
  </si>
  <si>
    <t xml:space="preserve">Grounding Systems, Grounding, Connector, Compression, Ground, L-Tap. 4/0 cable to 5/8" Rod, (Install)</t>
  </si>
  <si>
    <t xml:space="preserve">Grounding Systems, Grounding, Ground Rods "5/8 X 8 FT, (Install)</t>
  </si>
  <si>
    <t xml:space="preserve">Grounding Systems, Transformers and Grid, (Install)</t>
  </si>
  <si>
    <t xml:space="preserve">Power Cable, 15 kV Elbow Connectors (Install)</t>
  </si>
  <si>
    <t xml:space="preserve">Power Cable, 250 MCM, 15 kV, Terminations (Install)</t>
  </si>
  <si>
    <t xml:space="preserve">12 runs x 6 terminations/run</t>
  </si>
  <si>
    <t xml:space="preserve">Power Cable, 600V, 4/O Cable, Insulated, (Install) Length per Estimator 4 cond. AL</t>
  </si>
  <si>
    <t xml:space="preserve">SSVT -1500 kVA Pad Trans - cost on line Wake Forest Aluminum
</t>
  </si>
  <si>
    <t xml:space="preserve">Power Cable, 600V, 4/O, Cable, 1-Conductor,  Insulated, (Install) - CU</t>
  </si>
  <si>
    <t xml:space="preserve">GSU to BESS</t>
  </si>
  <si>
    <t xml:space="preserve">07.03.02.99</t>
  </si>
  <si>
    <t xml:space="preserve">AC/ DC Distribution Panels, Aux. Power Systesms,  (Install)</t>
  </si>
  <si>
    <t xml:space="preserve">Automatic Transfer Switch, 400 amps, 3 Phase, (Install)</t>
  </si>
  <si>
    <t xml:space="preserve">Fuse Cutouts, 15 KV, 1 Phase, (Install)</t>
  </si>
  <si>
    <t xml:space="preserve">Insulators - 15kV, Dead-End Insulators, (Install)</t>
  </si>
  <si>
    <t xml:space="preserve">Misc. Eqt - Line Construction, (Install) - OH Tower, Wire Stringing</t>
  </si>
  <si>
    <t xml:space="preserve">Switchyard Lighting (Freestanding pole Mnt), Area Light 100 HPS Yard Luminare Complete DTR21.361.0A (Furnish)</t>
  </si>
  <si>
    <t xml:space="preserve">Switchyard Lighting (Freestanding pole Mnt), Area Light 100 HPS Yard Luminare Complete DTR21.361.0A (Install)</t>
  </si>
  <si>
    <t xml:space="preserve">Switchyard Lighting (Freestanding pole Mnt), Elect Hook Up - Assume 100 ft direct bury XLP Cable between lights and  to CB Panel (Install)</t>
  </si>
  <si>
    <t xml:space="preserve">Elect Hook Up - Assume 100 ft direct bury XLP Cable between lights and back to CB Panel</t>
  </si>
  <si>
    <t xml:space="preserve">Switchyard Lighting (Freestanding pole Mnt), Elect Hook Up - Assume 100 ft direct bury XLP Cable between lights and to CB Panel (Furnish)</t>
  </si>
  <si>
    <t xml:space="preserve">Outdoor Metering Transclosure , (Install)</t>
  </si>
  <si>
    <t xml:space="preserve">07.03.03.03</t>
  </si>
  <si>
    <t xml:space="preserve">Communications, User Defined, (Install)</t>
  </si>
  <si>
    <t xml:space="preserve">07.09.00.00</t>
  </si>
  <si>
    <t xml:space="preserve">Traffic Control, substation constr., (Furnish)</t>
  </si>
  <si>
    <t xml:space="preserve">Increase traffic during construction.</t>
  </si>
  <si>
    <t xml:space="preserve">08.03.01.00</t>
  </si>
  <si>
    <t xml:space="preserve">Field Communications (SCADA), Eversource</t>
  </si>
  <si>
    <t xml:space="preserve">08.04.02.00</t>
  </si>
  <si>
    <t xml:space="preserve">Field Telecom, Contractor</t>
  </si>
  <si>
    <t xml:space="preserve">Per Estimator</t>
  </si>
  <si>
    <t xml:space="preserve">09.01.01.00</t>
  </si>
  <si>
    <t xml:space="preserve">Project Manager - Eversource</t>
  </si>
  <si>
    <t xml:space="preserve">3 days per construction week and 8 hours per week for lead up year plus 40 mhrs close out.
Const: 10 mns x 4.3wks/mn x 24 hrs/wk = 1,032
Up to const: 6 mns x 4.3wks/mn x 8 hrs/wk = 206
40 hrs close out
Total 1,278</t>
  </si>
  <si>
    <t xml:space="preserve">5 days per construction week and 16 hours per week for lead up year plus 40 mhrs close out.
Const: 10 mns x 4.3wks/mn x 40 hrs/wk = 1,720
Up to const: 6 mns x 4.3wks/mn x 16 hrs/wk = 412
40 hrs close out
Total 2,172</t>
  </si>
  <si>
    <t xml:space="preserve">09.02.01.00</t>
  </si>
  <si>
    <t xml:space="preserve">Project Controls, IP, Eversource</t>
  </si>
  <si>
    <t xml:space="preserve">Contracts, Eversource</t>
  </si>
  <si>
    <t xml:space="preserve">Per estimator</t>
  </si>
  <si>
    <t xml:space="preserve">09.08.02.00</t>
  </si>
  <si>
    <t xml:space="preserve">Estimating, Contractor</t>
  </si>
  <si>
    <t xml:space="preserve">per estimator</t>
  </si>
  <si>
    <t xml:space="preserve">09.09.02.00</t>
  </si>
  <si>
    <t xml:space="preserve">Project Management, (PM/)APM, Contractor</t>
  </si>
  <si>
    <t xml:space="preserve">9mns x 4.3wks/mn x 40 mhrs/wk</t>
  </si>
  <si>
    <t xml:space="preserve">09.12.01.00</t>
  </si>
  <si>
    <t xml:space="preserve">Vegetation Mgmt., Eversource</t>
  </si>
  <si>
    <t xml:space="preserve">11.00.00.01</t>
  </si>
  <si>
    <t xml:space="preserve">Indirect - SUT-Material-External</t>
  </si>
  <si>
    <t xml:space="preserve">11.00.00.02</t>
  </si>
  <si>
    <t xml:space="preserve">Tax - Property</t>
  </si>
  <si>
    <t xml:space="preserve">actual input row</t>
  </si>
  <si>
    <t xml:space="preserve">11.01.00.04</t>
  </si>
  <si>
    <t xml:space="preserve">BAR Insurance</t>
  </si>
  <si>
    <t xml:space="preserve">Bar Insurance (Builders all risk coverage), over $50M, for stations 0.7% and Lines 1.5%, of Material, Labor and Equipment.  Risk item BAR Deductibles between $250K and $500K.
$21,327,866 x 0.7% = $$149,295
</t>
  </si>
  <si>
    <t xml:space="preserve">12.02.00.00</t>
  </si>
  <si>
    <t xml:space="preserve">Risk - Environmental</t>
  </si>
  <si>
    <t xml:space="preserve">Additional requirements and communication with DEP and review of landfill closure documents.</t>
  </si>
  <si>
    <t xml:space="preserve">12.03.00.00</t>
  </si>
  <si>
    <t xml:space="preserve">Risk - Additional Outreach</t>
  </si>
  <si>
    <t xml:space="preserve">Increase costs for outreach services which can cause delays in schedule.</t>
  </si>
  <si>
    <t xml:space="preserve">12.05.00.00</t>
  </si>
  <si>
    <t xml:space="preserve">Risk - Engineering - Elec. - P&amp;C</t>
  </si>
  <si>
    <t xml:space="preserve">Increase P&amp;C engineering costs due to design changes and failed test results.</t>
  </si>
  <si>
    <t xml:space="preserve">Risk - Engineering - Elec. - Station</t>
  </si>
  <si>
    <t xml:space="preserve">Increase engineering costs due to design changes and change orders.</t>
  </si>
  <si>
    <t xml:space="preserve">Risk - Construction - Bar Insurance</t>
  </si>
  <si>
    <t xml:space="preserve">Bar Insurance deductibles</t>
  </si>
  <si>
    <t xml:space="preserve">Risk - Construction - Potential UG Obstructions</t>
  </si>
  <si>
    <t xml:space="preserve">Unforeseen UG facilities not shown on drawings that must be removed or relocated.
</t>
  </si>
  <si>
    <t xml:space="preserve">Risk - Construction - Siting / Permiting Impacts</t>
  </si>
  <si>
    <t xml:space="preserve">Delay in schedule, increase labor costs due to delays in receiving permits.</t>
  </si>
  <si>
    <t xml:space="preserve">Risk - Construction - Soil contamination impact</t>
  </si>
  <si>
    <t xml:space="preserve">Unexpected remediation needed.</t>
  </si>
  <si>
    <t xml:space="preserve">Indirects - Non-Productive Time (ZNP)</t>
  </si>
  <si>
    <t xml:space="preserve">Indirects - Payroll Benefits (ZPB)</t>
  </si>
  <si>
    <t xml:space="preserve">Indirects - General Services OH (ZGS)</t>
  </si>
  <si>
    <t xml:space="preserve">Indirects - E&amp;S Stations</t>
  </si>
  <si>
    <t xml:space="preserve">Indirects - AS&amp;E (ZAS)</t>
  </si>
  <si>
    <t xml:space="preserve">Indirects - Lobby Stock</t>
  </si>
  <si>
    <t xml:space="preserve">Indirects - MDEC (ZMI)</t>
  </si>
  <si>
    <t xml:space="preserve">Indirects - Vehicles</t>
  </si>
  <si>
    <t xml:space="preserve">Total</t>
  </si>
</sst>
</file>

<file path=xl/styles.xml><?xml version="1.0" encoding="utf-8"?>
<styleSheet xmlns="http://schemas.openxmlformats.org/spreadsheetml/2006/main">
  <numFmts count="13">
    <numFmt numFmtId="164" formatCode="General"/>
    <numFmt numFmtId="165" formatCode="#,##0"/>
    <numFmt numFmtId="166" formatCode="0.0%"/>
    <numFmt numFmtId="167" formatCode="0.0000"/>
    <numFmt numFmtId="168" formatCode="0.00\x"/>
    <numFmt numFmtId="169" formatCode="\$#,##0"/>
    <numFmt numFmtId="170" formatCode="0.000"/>
    <numFmt numFmtId="171" formatCode="0.###"/>
    <numFmt numFmtId="172" formatCode="0.00"/>
    <numFmt numFmtId="173" formatCode="0"/>
    <numFmt numFmtId="174" formatCode="0%"/>
    <numFmt numFmtId="175" formatCode="\$#,##0"/>
    <numFmt numFmtId="176" formatCode="0.0"/>
  </numFmts>
  <fonts count="19">
    <font>
      <sz val="11"/>
      <color theme="1"/>
      <name val="Calibri"/>
      <family val="2"/>
      <charset val="1"/>
    </font>
    <font>
      <sz val="10"/>
      <name val="Arial"/>
      <family val="0"/>
    </font>
    <font>
      <sz val="10"/>
      <name val="Arial"/>
      <family val="0"/>
    </font>
    <font>
      <sz val="10"/>
      <name val="Arial"/>
      <family val="0"/>
    </font>
    <font>
      <b val="true"/>
      <sz val="14"/>
      <color rgb="FF001E60"/>
      <name val="Arial"/>
      <family val="0"/>
      <charset val="1"/>
    </font>
    <font>
      <b val="true"/>
      <sz val="10"/>
      <name val="Arial"/>
      <family val="0"/>
      <charset val="1"/>
    </font>
    <font>
      <sz val="10"/>
      <name val="Arial"/>
      <family val="0"/>
      <charset val="1"/>
    </font>
    <font>
      <b val="true"/>
      <sz val="10"/>
      <name val="Calibri"/>
      <family val="0"/>
      <charset val="1"/>
    </font>
    <font>
      <sz val="10"/>
      <name val="Calibri"/>
      <family val="0"/>
      <charset val="1"/>
    </font>
    <font>
      <b val="true"/>
      <sz val="10"/>
      <color rgb="FFFFFFFF"/>
      <name val="Arial"/>
      <family val="0"/>
      <charset val="1"/>
    </font>
    <font>
      <sz val="10"/>
      <color rgb="FF0000FF"/>
      <name val="Arial"/>
      <family val="0"/>
      <charset val="1"/>
    </font>
    <font>
      <sz val="10"/>
      <name val="Arial"/>
      <family val="2"/>
    </font>
    <font>
      <i val="true"/>
      <sz val="9"/>
      <name val="Arial"/>
      <family val="0"/>
      <charset val="1"/>
    </font>
    <font>
      <b val="true"/>
      <sz val="14"/>
      <color rgb="FF001E60"/>
      <name val="Georgia"/>
      <family val="0"/>
      <charset val="1"/>
    </font>
    <font>
      <i val="true"/>
      <sz val="9"/>
      <color rgb="FF6B7280"/>
      <name val="Calibri"/>
      <family val="0"/>
      <charset val="1"/>
    </font>
    <font>
      <b val="true"/>
      <sz val="10"/>
      <color rgb="FFFFFFFF"/>
      <name val="Calibri"/>
      <family val="0"/>
      <charset val="1"/>
    </font>
    <font>
      <sz val="10"/>
      <color rgb="FF0000FF"/>
      <name val="Calibri"/>
      <family val="0"/>
      <charset val="1"/>
    </font>
    <font>
      <sz val="8"/>
      <name val="Arial"/>
      <family val="0"/>
      <charset val="1"/>
    </font>
    <font>
      <sz val="9"/>
      <color rgb="FF595959"/>
      <name val="Arial"/>
      <family val="0"/>
      <charset val="1"/>
    </font>
  </fonts>
  <fills count="6">
    <fill>
      <patternFill patternType="none"/>
    </fill>
    <fill>
      <patternFill patternType="gray125"/>
    </fill>
    <fill>
      <patternFill patternType="solid">
        <fgColor rgb="FF001E60"/>
        <bgColor rgb="FF000080"/>
      </patternFill>
    </fill>
    <fill>
      <patternFill patternType="solid">
        <fgColor rgb="FFFFF3CC"/>
        <bgColor rgb="FFFFEB9C"/>
      </patternFill>
    </fill>
    <fill>
      <patternFill patternType="solid">
        <fgColor rgb="FFFFEB9C"/>
        <bgColor rgb="FFFFF3CC"/>
      </patternFill>
    </fill>
    <fill>
      <patternFill patternType="solid">
        <fgColor rgb="FFC6EFCE"/>
        <bgColor rgb="FFCCFFFF"/>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80">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bottom" textRotation="0" wrapText="true" indent="0" shrinkToFit="false"/>
      <protection locked="true" hidden="false"/>
    </xf>
    <xf numFmtId="164" fontId="9" fillId="2" borderId="1" xfId="0" applyFont="true" applyBorder="true" applyAlignment="true" applyProtection="false">
      <alignment horizontal="general" vertical="center" textRotation="0" wrapText="true" indent="0" shrinkToFit="false"/>
      <protection locked="true" hidden="false"/>
    </xf>
    <xf numFmtId="164" fontId="6" fillId="0" borderId="1" xfId="0" applyFont="true" applyBorder="true" applyAlignment="true" applyProtection="false">
      <alignment horizontal="general" vertical="bottom" textRotation="0" wrapText="false" indent="0" shrinkToFit="false"/>
      <protection locked="true" hidden="false"/>
    </xf>
    <xf numFmtId="165" fontId="6" fillId="0" borderId="1" xfId="0" applyFont="true" applyBorder="true" applyAlignment="true" applyProtection="false">
      <alignment horizontal="general" vertical="bottom" textRotation="0" wrapText="false" indent="0" shrinkToFit="false"/>
      <protection locked="true" hidden="false"/>
    </xf>
    <xf numFmtId="166" fontId="6" fillId="0" borderId="1" xfId="0" applyFont="true" applyBorder="true" applyAlignment="true" applyProtection="false">
      <alignment horizontal="general" vertical="bottom" textRotation="0" wrapText="fals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5" fontId="5" fillId="0" borderId="0" xfId="0" applyFont="true" applyBorder="false" applyAlignment="true" applyProtection="false">
      <alignment horizontal="general" vertical="bottom" textRotation="0" wrapText="false" indent="0" shrinkToFit="false"/>
      <protection locked="true" hidden="false"/>
    </xf>
    <xf numFmtId="166" fontId="0" fillId="0" borderId="0" xfId="0" applyFont="fals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5" fontId="0" fillId="0" borderId="0" xfId="0" applyFont="false" applyBorder="false" applyAlignment="true" applyProtection="false">
      <alignment horizontal="general" vertical="bottom" textRotation="0" wrapText="false" indent="0" shrinkToFit="false"/>
      <protection locked="true" hidden="false"/>
    </xf>
    <xf numFmtId="167" fontId="0" fillId="0" borderId="0" xfId="0" applyFont="false" applyBorder="false" applyAlignment="true" applyProtection="false">
      <alignment horizontal="general" vertical="bottom" textRotation="0" wrapText="false" indent="0" shrinkToFit="false"/>
      <protection locked="true" hidden="false"/>
    </xf>
    <xf numFmtId="165" fontId="10" fillId="0"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6" fillId="3" borderId="1" xfId="0" applyFont="true" applyBorder="true" applyAlignment="true" applyProtection="false">
      <alignment horizontal="general" vertical="bottom" textRotation="0" wrapText="false" indent="0" shrinkToFit="false"/>
      <protection locked="true" hidden="false"/>
    </xf>
    <xf numFmtId="165" fontId="6" fillId="3" borderId="1" xfId="0" applyFont="true" applyBorder="true" applyAlignment="true" applyProtection="false">
      <alignment horizontal="general" vertical="bottom" textRotation="0" wrapText="false" indent="0" shrinkToFit="false"/>
      <protection locked="true" hidden="false"/>
    </xf>
    <xf numFmtId="168" fontId="6" fillId="3" borderId="1" xfId="0" applyFont="true" applyBorder="true" applyAlignment="true" applyProtection="false">
      <alignment horizontal="general" vertical="bottom" textRotation="0" wrapText="false" indent="0" shrinkToFit="false"/>
      <protection locked="true" hidden="false"/>
    </xf>
    <xf numFmtId="164" fontId="6" fillId="3" borderId="1" xfId="0" applyFont="true" applyBorder="true" applyAlignment="true" applyProtection="false">
      <alignment horizontal="general" vertical="top" textRotation="0" wrapText="true" indent="0" shrinkToFit="false"/>
      <protection locked="true" hidden="false"/>
    </xf>
    <xf numFmtId="168" fontId="6" fillId="0" borderId="1" xfId="0" applyFont="true" applyBorder="true" applyAlignment="true" applyProtection="false">
      <alignment horizontal="general" vertical="bottom" textRotation="0" wrapText="false" indent="0" shrinkToFit="false"/>
      <protection locked="true" hidden="false"/>
    </xf>
    <xf numFmtId="164" fontId="6" fillId="0" borderId="1" xfId="0" applyFont="true" applyBorder="true" applyAlignment="true" applyProtection="false">
      <alignment horizontal="general" vertical="bottom" textRotation="0" wrapText="true" indent="0" shrinkToFit="false"/>
      <protection locked="true" hidden="false"/>
    </xf>
    <xf numFmtId="165" fontId="10" fillId="0" borderId="1" xfId="0" applyFont="true" applyBorder="true" applyAlignment="true" applyProtection="false">
      <alignment horizontal="general" vertical="top" textRotation="0" wrapText="true" indent="0" shrinkToFit="false"/>
      <protection locked="true" hidden="false"/>
    </xf>
    <xf numFmtId="164" fontId="6" fillId="4" borderId="1" xfId="0" applyFont="true" applyBorder="true" applyAlignment="true" applyProtection="false">
      <alignment horizontal="general" vertical="top" textRotation="0" wrapText="true" indent="0" shrinkToFit="false"/>
      <protection locked="true" hidden="false"/>
    </xf>
    <xf numFmtId="164" fontId="6" fillId="5" borderId="1" xfId="0" applyFont="true" applyBorder="true" applyAlignment="true" applyProtection="false">
      <alignment horizontal="general" vertical="top" textRotation="0" wrapText="true" indent="0" shrinkToFit="false"/>
      <protection locked="true" hidden="false"/>
    </xf>
    <xf numFmtId="165" fontId="6" fillId="0" borderId="0" xfId="0" applyFont="true" applyBorder="false" applyAlignment="true" applyProtection="false">
      <alignment horizontal="general" vertical="bottom" textRotation="0" wrapText="false" indent="0" shrinkToFit="false"/>
      <protection locked="true" hidden="false"/>
    </xf>
    <xf numFmtId="164" fontId="12" fillId="0" borderId="0" xfId="0" applyFont="true" applyBorder="true" applyAlignment="true" applyProtection="false">
      <alignment horizontal="general" vertical="bottom" textRotation="0" wrapText="true" indent="0" shrinkToFit="false"/>
      <protection locked="true" hidden="false"/>
    </xf>
    <xf numFmtId="164" fontId="10" fillId="0" borderId="1" xfId="0" applyFont="true" applyBorder="true" applyAlignment="true" applyProtection="false">
      <alignment horizontal="general" vertical="top" textRotation="0" wrapText="true" indent="0" shrinkToFit="false"/>
      <protection locked="true" hidden="false"/>
    </xf>
    <xf numFmtId="164" fontId="13" fillId="0" borderId="0" xfId="0" applyFont="true" applyBorder="false" applyAlignment="true" applyProtection="false">
      <alignment horizontal="general" vertical="bottom" textRotation="0" wrapText="false" indent="0" shrinkToFit="false"/>
      <protection locked="true" hidden="false"/>
    </xf>
    <xf numFmtId="164" fontId="14" fillId="0" borderId="0" xfId="0" applyFont="true" applyBorder="false" applyAlignment="true" applyProtection="false">
      <alignment horizontal="general" vertical="bottom" textRotation="0" wrapText="false" indent="0" shrinkToFit="false"/>
      <protection locked="true" hidden="false"/>
    </xf>
    <xf numFmtId="164" fontId="15" fillId="2" borderId="0" xfId="0" applyFont="true" applyBorder="false" applyAlignment="true" applyProtection="false">
      <alignment horizontal="general" vertical="center" textRotation="0" wrapText="true" indent="0" shrinkToFit="false"/>
      <protection locked="true" hidden="false"/>
    </xf>
    <xf numFmtId="164" fontId="16" fillId="0" borderId="0" xfId="0" applyFont="true" applyBorder="false" applyAlignment="true" applyProtection="false">
      <alignment horizontal="general" vertical="bottom" textRotation="0" wrapText="false" indent="0" shrinkToFit="false"/>
      <protection locked="true" hidden="false"/>
    </xf>
    <xf numFmtId="169" fontId="16" fillId="0" borderId="0" xfId="0" applyFont="true" applyBorder="false" applyAlignment="true" applyProtection="false">
      <alignment horizontal="general" vertical="bottom" textRotation="0" wrapText="false" indent="0" shrinkToFit="false"/>
      <protection locked="true" hidden="false"/>
    </xf>
    <xf numFmtId="169" fontId="8" fillId="0" borderId="0" xfId="0" applyFont="true" applyBorder="false" applyAlignment="true" applyProtection="false">
      <alignment horizontal="general" vertical="bottom" textRotation="0" wrapText="false" indent="0" shrinkToFit="false"/>
      <protection locked="true" hidden="false"/>
    </xf>
    <xf numFmtId="170" fontId="16" fillId="0" borderId="0" xfId="0" applyFont="true" applyBorder="false" applyAlignment="true" applyProtection="false">
      <alignment horizontal="general" vertical="bottom" textRotation="0" wrapText="false" indent="0" shrinkToFit="false"/>
      <protection locked="true" hidden="false"/>
    </xf>
    <xf numFmtId="171" fontId="16" fillId="0" borderId="0" xfId="0" applyFont="true" applyBorder="false" applyAlignment="true" applyProtection="false">
      <alignment horizontal="general" vertical="bottom" textRotation="0" wrapText="false" indent="0" shrinkToFit="false"/>
      <protection locked="true" hidden="false"/>
    </xf>
    <xf numFmtId="170" fontId="8" fillId="0" borderId="0" xfId="0" applyFont="true" applyBorder="false" applyAlignment="true" applyProtection="false">
      <alignment horizontal="general" vertical="bottom" textRotation="0" wrapText="false" indent="0" shrinkToFit="false"/>
      <protection locked="true" hidden="false"/>
    </xf>
    <xf numFmtId="166" fontId="8" fillId="0" borderId="0" xfId="0" applyFont="tru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9" fillId="2" borderId="0" xfId="0" applyFont="true" applyBorder="false" applyAlignment="false" applyProtection="false">
      <alignment horizontal="general" vertical="bottom" textRotation="0" wrapText="false" indent="0" shrinkToFit="false"/>
      <protection locked="true" hidden="false"/>
    </xf>
    <xf numFmtId="172" fontId="6" fillId="0" borderId="1" xfId="0" applyFont="true" applyBorder="true" applyAlignment="false" applyProtection="false">
      <alignment horizontal="general" vertical="bottom" textRotation="0" wrapText="false" indent="0" shrinkToFit="false"/>
      <protection locked="true" hidden="false"/>
    </xf>
    <xf numFmtId="165" fontId="6" fillId="0" borderId="1" xfId="0" applyFont="true" applyBorder="true" applyAlignment="false" applyProtection="false">
      <alignment horizontal="general" vertical="bottom" textRotation="0" wrapText="false" indent="0" shrinkToFit="false"/>
      <protection locked="true" hidden="false"/>
    </xf>
    <xf numFmtId="164" fontId="17" fillId="0" borderId="1" xfId="0" applyFont="true" applyBorder="true" applyAlignment="true" applyProtection="false">
      <alignment horizontal="general" vertical="top" textRotation="0" wrapText="tru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73" fontId="0" fillId="0" borderId="0" xfId="0" applyFont="fals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74" fontId="16" fillId="0"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75" fontId="16" fillId="0" borderId="0" xfId="0" applyFont="true" applyBorder="false" applyAlignment="false" applyProtection="false">
      <alignment horizontal="general" vertical="bottom" textRotation="0" wrapText="false" indent="0" shrinkToFit="false"/>
      <protection locked="true" hidden="false"/>
    </xf>
    <xf numFmtId="174" fontId="0" fillId="0" borderId="0" xfId="0" applyFont="false" applyBorder="false" applyAlignment="false" applyProtection="false">
      <alignment horizontal="general" vertical="bottom" textRotation="0" wrapText="false" indent="0" shrinkToFit="false"/>
      <protection locked="true" hidden="false"/>
    </xf>
    <xf numFmtId="172" fontId="0" fillId="0" borderId="0" xfId="0" applyFont="false" applyBorder="false" applyAlignment="false" applyProtection="false">
      <alignment horizontal="general" vertical="bottom" textRotation="0" wrapText="false" indent="0" shrinkToFit="false"/>
      <protection locked="true" hidden="false"/>
    </xf>
    <xf numFmtId="175" fontId="0" fillId="0" borderId="0" xfId="0" applyFont="false" applyBorder="false" applyAlignment="false" applyProtection="false">
      <alignment horizontal="general" vertical="bottom" textRotation="0" wrapText="false" indent="0" shrinkToFit="false"/>
      <protection locked="true" hidden="false"/>
    </xf>
    <xf numFmtId="175" fontId="7" fillId="0" borderId="0" xfId="0" applyFont="true" applyBorder="false" applyAlignment="false" applyProtection="false">
      <alignment horizontal="general" vertical="bottom" textRotation="0" wrapText="false" indent="0" shrinkToFit="false"/>
      <protection locked="true" hidden="false"/>
    </xf>
    <xf numFmtId="175" fontId="8" fillId="0" borderId="0" xfId="0" applyFont="true" applyBorder="false" applyAlignment="false" applyProtection="false">
      <alignment horizontal="general" vertical="bottom" textRotation="0" wrapText="false" indent="0" shrinkToFit="false"/>
      <protection locked="true" hidden="false"/>
    </xf>
    <xf numFmtId="176" fontId="8" fillId="0" borderId="0" xfId="0" applyFont="true" applyBorder="false" applyAlignment="false" applyProtection="false">
      <alignment horizontal="general" vertical="bottom" textRotation="0" wrapText="false" indent="0" shrinkToFit="false"/>
      <protection locked="true" hidden="false"/>
    </xf>
    <xf numFmtId="172" fontId="7" fillId="0" borderId="0" xfId="0" applyFont="true" applyBorder="false" applyAlignment="false" applyProtection="false">
      <alignment horizontal="general" vertical="bottom" textRotation="0" wrapText="false" indent="0" shrinkToFit="false"/>
      <protection locked="true" hidden="false"/>
    </xf>
    <xf numFmtId="166" fontId="0" fillId="0" borderId="0" xfId="0" applyFont="false" applyBorder="false" applyAlignment="false" applyProtection="false">
      <alignment horizontal="general" vertical="bottom" textRotation="0" wrapText="false" indent="0" shrinkToFit="false"/>
      <protection locked="true" hidden="false"/>
    </xf>
    <xf numFmtId="170" fontId="0" fillId="0" borderId="0" xfId="0" applyFont="false" applyBorder="false" applyAlignment="false" applyProtection="false">
      <alignment horizontal="general" vertical="bottom" textRotation="0" wrapText="false" indent="0" shrinkToFit="false"/>
      <protection locked="true" hidden="false"/>
    </xf>
    <xf numFmtId="174" fontId="8"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8" fillId="0" borderId="0" xfId="0" applyFont="true" applyBorder="false" applyAlignment="false" applyProtection="false">
      <alignment horizontal="general" vertical="bottom" textRotation="0" wrapText="false" indent="0" shrinkToFit="false"/>
      <protection locked="true" hidden="false"/>
    </xf>
    <xf numFmtId="165" fontId="10" fillId="0" borderId="0" xfId="0" applyFont="true" applyBorder="false" applyAlignment="false" applyProtection="false">
      <alignment horizontal="general" vertical="bottom" textRotation="0" wrapText="false" indent="0" shrinkToFit="false"/>
      <protection locked="true" hidden="false"/>
    </xf>
    <xf numFmtId="174" fontId="10" fillId="0" borderId="0" xfId="0" applyFont="true" applyBorder="false" applyAlignment="false" applyProtection="false">
      <alignment horizontal="general" vertical="bottom" textRotation="0" wrapText="false" indent="0" shrinkToFit="false"/>
      <protection locked="true" hidden="false"/>
    </xf>
    <xf numFmtId="170" fontId="10" fillId="0" borderId="0" xfId="0" applyFont="true" applyBorder="false" applyAlignment="false" applyProtection="false">
      <alignment horizontal="general" vertical="bottom" textRotation="0" wrapText="false" indent="0" shrinkToFit="false"/>
      <protection locked="true" hidden="false"/>
    </xf>
    <xf numFmtId="166" fontId="10"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75" fontId="16" fillId="0" borderId="0" xfId="0" applyFont="true" applyBorder="false" applyAlignment="true" applyProtection="false">
      <alignment horizontal="general" vertical="top" textRotation="0" wrapText="true" indent="0" shrinkToFit="false"/>
      <protection locked="true" hidden="false"/>
    </xf>
    <xf numFmtId="164" fontId="16" fillId="0" borderId="0" xfId="0" applyFont="true" applyBorder="false" applyAlignment="true" applyProtection="false">
      <alignment horizontal="general" vertical="top" textRotation="0" wrapText="true" indent="0" shrinkToFit="false"/>
      <protection locked="true" hidden="false"/>
    </xf>
    <xf numFmtId="175" fontId="8" fillId="0" borderId="0" xfId="0" applyFont="true" applyBorder="false" applyAlignment="true" applyProtection="false">
      <alignment horizontal="general" vertical="top" textRotation="0" wrapText="true" indent="0" shrinkToFit="false"/>
      <protection locked="true" hidden="false"/>
    </xf>
    <xf numFmtId="165" fontId="10" fillId="0" borderId="1" xfId="0" applyFont="true" applyBorder="tru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ill>
        <patternFill patternType="solid">
          <fgColor rgb="FF001E60"/>
          <bgColor rgb="FF000000"/>
        </patternFill>
      </fill>
    </dxf>
    <dxf>
      <fill>
        <patternFill patternType="solid">
          <bgColor rgb="FF000000"/>
        </patternFill>
      </fill>
    </dxf>
    <dxf>
      <fill>
        <patternFill patternType="solid">
          <fgColor rgb="FFFFFFFF"/>
          <bgColor rgb="FF000000"/>
        </patternFill>
      </fill>
    </dxf>
    <dxf>
      <fill>
        <patternFill patternType="solid">
          <fgColor rgb="FF0000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3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C99"/>
      <rgbColor rgb="FF3366FF"/>
      <rgbColor rgb="FF33CCCC"/>
      <rgbColor rgb="FF99CC00"/>
      <rgbColor rgb="FFFFCC00"/>
      <rgbColor rgb="FFFF9900"/>
      <rgbColor rgb="FFFF6600"/>
      <rgbColor rgb="FF6B7280"/>
      <rgbColor rgb="FF969696"/>
      <rgbColor rgb="FF001E60"/>
      <rgbColor rgb="FF339966"/>
      <rgbColor rgb="FF003300"/>
      <rgbColor rgb="FF333300"/>
      <rgbColor rgb="FF993300"/>
      <rgbColor rgb="FF993366"/>
      <rgbColor rgb="FF333399"/>
      <rgbColor rgb="FF595959"/>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1.vml"/>
</Relationships>
</file>

<file path=xl/worksheets/_rels/sheet9.xml.rels><?xml version="1.0" encoding="UTF-8"?>
<Relationships xmlns="http://schemas.openxmlformats.org/package/2006/relationships"><Relationship Id="rId1" Type="http://schemas.openxmlformats.org/officeDocument/2006/relationships/drawing" Target="../drawings/drawing1.xml"/>
</Relationships>
</file>

<file path=xl/worksheets/_rels/sheet15.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2"/>
    <col collapsed="false" customWidth="true" hidden="false" outlineLevel="0" max="2" min="2" style="1" width="120"/>
  </cols>
  <sheetData>
    <row r="1" customFormat="false" ht="17.25" hidden="false" customHeight="true" outlineLevel="0" collapsed="false">
      <c r="A1" s="2" t="s">
        <v>0</v>
      </c>
    </row>
    <row r="3" customFormat="false" ht="15" hidden="false" customHeight="true" outlineLevel="0" collapsed="false">
      <c r="A3" s="3" t="s">
        <v>1</v>
      </c>
      <c r="B3" s="4" t="s">
        <v>2</v>
      </c>
    </row>
    <row r="4" customFormat="false" ht="15" hidden="false" customHeight="true" outlineLevel="0" collapsed="false">
      <c r="A4" s="3" t="s">
        <v>3</v>
      </c>
      <c r="B4" s="4" t="s">
        <v>4</v>
      </c>
    </row>
    <row r="5" customFormat="false" ht="15" hidden="false" customHeight="true" outlineLevel="0" collapsed="false">
      <c r="A5" s="3" t="s">
        <v>5</v>
      </c>
      <c r="B5" s="4" t="s">
        <v>6</v>
      </c>
    </row>
    <row r="6" customFormat="false" ht="23.25" hidden="false" customHeight="true" outlineLevel="0" collapsed="false">
      <c r="A6" s="3" t="s">
        <v>7</v>
      </c>
      <c r="B6" s="4" t="s">
        <v>8</v>
      </c>
    </row>
    <row r="7" customFormat="false" ht="15" hidden="false" customHeight="true" outlineLevel="0" collapsed="false">
      <c r="A7" s="3" t="s">
        <v>9</v>
      </c>
      <c r="B7" s="4" t="s">
        <v>10</v>
      </c>
    </row>
    <row r="8" customFormat="false" ht="15" hidden="false" customHeight="true" outlineLevel="0" collapsed="false">
      <c r="A8" s="3" t="s">
        <v>11</v>
      </c>
      <c r="B8" s="4" t="s">
        <v>12</v>
      </c>
    </row>
    <row r="9" customFormat="false" ht="15" hidden="false" customHeight="true" outlineLevel="0" collapsed="false">
      <c r="A9" s="3" t="s">
        <v>13</v>
      </c>
      <c r="B9" s="4" t="s">
        <v>14</v>
      </c>
    </row>
    <row r="10" customFormat="false" ht="15" hidden="false" customHeight="true" outlineLevel="0" collapsed="false">
      <c r="A10" s="3" t="s">
        <v>15</v>
      </c>
      <c r="B10" s="4" t="s">
        <v>16</v>
      </c>
    </row>
    <row r="11" customFormat="false" ht="15" hidden="false" customHeight="true" outlineLevel="0" collapsed="false">
      <c r="A11" s="3" t="s">
        <v>17</v>
      </c>
      <c r="B11" s="4" t="s">
        <v>18</v>
      </c>
    </row>
    <row r="12" customFormat="false" ht="15" hidden="false" customHeight="true" outlineLevel="0" collapsed="false">
      <c r="A12" s="3" t="s">
        <v>19</v>
      </c>
      <c r="B12" s="4" t="s">
        <v>20</v>
      </c>
    </row>
    <row r="13" customFormat="false" ht="23.25" hidden="false" customHeight="true" outlineLevel="0" collapsed="false">
      <c r="A13" s="3" t="s">
        <v>21</v>
      </c>
      <c r="B13" s="4" t="s">
        <v>22</v>
      </c>
    </row>
    <row r="14" customFormat="false" ht="15" hidden="false" customHeight="true" outlineLevel="0" collapsed="false">
      <c r="A14" s="3" t="s">
        <v>23</v>
      </c>
      <c r="B14" s="4" t="s">
        <v>24</v>
      </c>
    </row>
    <row r="15" customFormat="false" ht="15" hidden="false" customHeight="true" outlineLevel="0" collapsed="false">
      <c r="A15" s="5" t="s">
        <v>25</v>
      </c>
      <c r="B15" s="6" t="s">
        <v>26</v>
      </c>
    </row>
    <row r="16" customFormat="false" ht="15" hidden="false" customHeight="true" outlineLevel="0" collapsed="false">
      <c r="A16" s="3" t="s">
        <v>27</v>
      </c>
      <c r="B16" s="4" t="s">
        <v>28</v>
      </c>
    </row>
    <row r="17" customFormat="false" ht="15" hidden="false" customHeight="true" outlineLevel="0" collapsed="false">
      <c r="A17" s="3" t="s">
        <v>29</v>
      </c>
      <c r="B17" s="4" t="s">
        <v>30</v>
      </c>
    </row>
    <row r="18" customFormat="false" ht="15" hidden="false" customHeight="true" outlineLevel="0" collapsed="false">
      <c r="A18" s="5" t="s">
        <v>31</v>
      </c>
      <c r="B18" s="6" t="s">
        <v>32</v>
      </c>
    </row>
    <row r="19" customFormat="false" ht="15" hidden="false" customHeight="true" outlineLevel="0" collapsed="false">
      <c r="A19" s="5" t="s">
        <v>33</v>
      </c>
      <c r="B19" s="6" t="s">
        <v>34</v>
      </c>
    </row>
    <row r="20" customFormat="false" ht="15" hidden="false" customHeight="true" outlineLevel="0" collapsed="false">
      <c r="A20" s="5" t="s">
        <v>35</v>
      </c>
      <c r="B20" s="6" t="s">
        <v>36</v>
      </c>
    </row>
    <row r="21" customFormat="false" ht="15" hidden="false" customHeight="true" outlineLevel="0" collapsed="false">
      <c r="A21" s="5" t="s">
        <v>37</v>
      </c>
      <c r="B21" s="6" t="s">
        <v>38</v>
      </c>
    </row>
    <row r="22" customFormat="false" ht="15" hidden="false" customHeight="false" outlineLevel="0" collapsed="false">
      <c r="A22" s="7" t="s">
        <v>27</v>
      </c>
      <c r="B22" s="4" t="s">
        <v>28</v>
      </c>
    </row>
    <row r="23" customFormat="false" ht="15" hidden="false" customHeight="false" outlineLevel="0" collapsed="false">
      <c r="A23" s="7" t="s">
        <v>29</v>
      </c>
      <c r="B23" s="4" t="s">
        <v>30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70"/>
    <col collapsed="false" customWidth="true" hidden="false" outlineLevel="0" max="2" min="2" style="1" width="16"/>
    <col collapsed="false" customWidth="true" hidden="false" outlineLevel="0" max="3" min="3" style="1" width="10"/>
    <col collapsed="false" customWidth="true" hidden="false" outlineLevel="0" max="4" min="4" style="1" width="16"/>
    <col collapsed="false" customWidth="true" hidden="false" outlineLevel="0" max="5" min="5" style="1" width="10"/>
    <col collapsed="false" customWidth="true" hidden="false" outlineLevel="0" max="6" min="6" style="1" width="18"/>
    <col collapsed="false" customWidth="true" hidden="false" outlineLevel="0" max="7" min="7" style="1" width="80"/>
  </cols>
  <sheetData>
    <row r="1" customFormat="false" ht="17.25" hidden="false" customHeight="true" outlineLevel="0" collapsed="false">
      <c r="A1" s="2" t="s">
        <v>39</v>
      </c>
    </row>
    <row r="2" customFormat="false" ht="30" hidden="false" customHeight="true" outlineLevel="0" collapsed="false">
      <c r="A2" s="8" t="s">
        <v>40</v>
      </c>
      <c r="B2" s="8"/>
      <c r="C2" s="8"/>
      <c r="D2" s="8"/>
      <c r="E2" s="8"/>
      <c r="F2" s="8"/>
      <c r="G2" s="8"/>
    </row>
    <row r="4" customFormat="false" ht="15" hidden="false" customHeight="true" outlineLevel="0" collapsed="false">
      <c r="A4" s="9" t="s">
        <v>41</v>
      </c>
      <c r="B4" s="9" t="s">
        <v>42</v>
      </c>
      <c r="C4" s="9" t="s">
        <v>43</v>
      </c>
      <c r="D4" s="9" t="s">
        <v>44</v>
      </c>
      <c r="E4" s="9" t="s">
        <v>45</v>
      </c>
      <c r="F4" s="9" t="s">
        <v>46</v>
      </c>
      <c r="G4" s="9" t="s">
        <v>47</v>
      </c>
    </row>
    <row r="5" customFormat="false" ht="48" hidden="false" customHeight="true" outlineLevel="0" collapsed="false">
      <c r="A5" s="10" t="s">
        <v>48</v>
      </c>
      <c r="B5" s="11" t="n">
        <f aca="false">SUMIFS('Line Items'!$H:$H,'Line Items'!$L:$L,"A")</f>
        <v>12991103.8258879</v>
      </c>
      <c r="C5" s="12" t="n">
        <f aca="false">B5/$B$18</f>
        <v>0.226928579517933</v>
      </c>
      <c r="D5" s="11" t="n">
        <f aca="false">B5*$B$21</f>
        <v>21893672.0362275</v>
      </c>
      <c r="E5" s="12" t="n">
        <f aca="false">D5/$D$18</f>
        <v>0.382438625862728</v>
      </c>
      <c r="F5" s="11" t="n">
        <f aca="false">SUM($D$5:D5)</f>
        <v>21893672.0362275</v>
      </c>
      <c r="G5" s="13" t="s">
        <v>49</v>
      </c>
    </row>
    <row r="6" customFormat="false" ht="48" hidden="false" customHeight="true" outlineLevel="0" collapsed="false">
      <c r="A6" s="10" t="s">
        <v>50</v>
      </c>
      <c r="B6" s="11" t="n">
        <f aca="false">SUMIFS('Line Items'!$H:$H,'Line Items'!$L:$L,"B")</f>
        <v>1733346.46322318</v>
      </c>
      <c r="C6" s="12" t="n">
        <f aca="false">B6/$B$18</f>
        <v>0.0302780930691843</v>
      </c>
      <c r="D6" s="11" t="n">
        <f aca="false">B6*$B$21</f>
        <v>2921177.40721462</v>
      </c>
      <c r="E6" s="12" t="n">
        <f aca="false">D6/$D$18</f>
        <v>0.0510271219769723</v>
      </c>
      <c r="F6" s="11" t="n">
        <f aca="false">SUM($D$5:D6)</f>
        <v>24814849.4434421</v>
      </c>
      <c r="G6" s="13" t="s">
        <v>51</v>
      </c>
    </row>
    <row r="7" customFormat="false" ht="48" hidden="false" customHeight="true" outlineLevel="0" collapsed="false">
      <c r="A7" s="10" t="s">
        <v>52</v>
      </c>
      <c r="B7" s="11" t="n">
        <f aca="false">SUMIFS('Line Items'!$H:$H,'Line Items'!$L:$L,"C")</f>
        <v>1932801.59725416</v>
      </c>
      <c r="C7" s="12" t="n">
        <f aca="false">B7/$B$18</f>
        <v>0.0337621750109369</v>
      </c>
      <c r="D7" s="11" t="n">
        <f aca="false">B7*$B$21</f>
        <v>3257315.53288444</v>
      </c>
      <c r="E7" s="12" t="n">
        <f aca="false">D7/$D$18</f>
        <v>0.0568987821840186</v>
      </c>
      <c r="F7" s="11" t="n">
        <f aca="false">SUM($D$5:D7)</f>
        <v>28072164.9763265</v>
      </c>
      <c r="G7" s="13" t="s">
        <v>53</v>
      </c>
    </row>
    <row r="8" customFormat="false" ht="48" hidden="false" customHeight="true" outlineLevel="0" collapsed="false">
      <c r="A8" s="10" t="s">
        <v>54</v>
      </c>
      <c r="B8" s="11" t="n">
        <f aca="false">SUMIFS('Line Items'!$H:$H,'Line Items'!$L:$L,"D")</f>
        <v>3846444.32213231</v>
      </c>
      <c r="C8" s="12" t="n">
        <f aca="false">B8/$B$18</f>
        <v>0.0671896828718207</v>
      </c>
      <c r="D8" s="11" t="n">
        <f aca="false">B8*$B$21</f>
        <v>6482342.96508044</v>
      </c>
      <c r="E8" s="12" t="n">
        <f aca="false">D8/$D$18</f>
        <v>0.11323355588017</v>
      </c>
      <c r="F8" s="11" t="n">
        <f aca="false">SUM($D$5:D8)</f>
        <v>34554507.941407</v>
      </c>
      <c r="G8" s="13" t="s">
        <v>55</v>
      </c>
    </row>
    <row r="9" customFormat="false" ht="48" hidden="false" customHeight="true" outlineLevel="0" collapsed="false">
      <c r="A9" s="10" t="s">
        <v>56</v>
      </c>
      <c r="B9" s="11" t="n">
        <f aca="false">SUMIFS('Line Items'!$H:$H,'Line Items'!$L:$L,"E")</f>
        <v>2690784.12873135</v>
      </c>
      <c r="C9" s="12" t="n">
        <f aca="false">B9/$B$18</f>
        <v>0.0470026125805881</v>
      </c>
      <c r="D9" s="11" t="n">
        <f aca="false">B9*$B$21</f>
        <v>4534729.76771501</v>
      </c>
      <c r="E9" s="12" t="n">
        <f aca="false">D9/$D$18</f>
        <v>0.0792126518637012</v>
      </c>
      <c r="F9" s="11" t="n">
        <f aca="false">SUM($D$5:D9)</f>
        <v>39089237.709122</v>
      </c>
      <c r="G9" s="13" t="s">
        <v>57</v>
      </c>
    </row>
    <row r="10" customFormat="false" ht="48" hidden="false" customHeight="true" outlineLevel="0" collapsed="false">
      <c r="A10" s="10" t="s">
        <v>58</v>
      </c>
      <c r="B10" s="11" t="n">
        <f aca="false">SUMIFS('Line Items'!$H:$H,'Line Items'!$L:$L,"F")</f>
        <v>7253161.74529093</v>
      </c>
      <c r="C10" s="12" t="n">
        <f aca="false">B10/$B$18</f>
        <v>0.126698217020846</v>
      </c>
      <c r="D10" s="11" t="n">
        <f aca="false">B10</f>
        <v>7253161.74529093</v>
      </c>
      <c r="E10" s="12" t="n">
        <f aca="false">D10/$D$18</f>
        <v>0.126698217020846</v>
      </c>
      <c r="F10" s="11" t="n">
        <f aca="false">SUM($D$5:D10)</f>
        <v>46342399.4544129</v>
      </c>
      <c r="G10" s="13" t="s">
        <v>59</v>
      </c>
    </row>
    <row r="11" customFormat="false" ht="48" hidden="false" customHeight="true" outlineLevel="0" collapsed="false">
      <c r="A11" s="10" t="s">
        <v>60</v>
      </c>
      <c r="B11" s="11" t="n">
        <f aca="false">SUMIFS('Line Items'!$H:$H,'Line Items'!$L:$L,"G")</f>
        <v>1262913.60748</v>
      </c>
      <c r="C11" s="12" t="n">
        <f aca="false">B11/$B$18</f>
        <v>0.022060572745805</v>
      </c>
      <c r="D11" s="11" t="n">
        <f aca="false">B11*$B$21</f>
        <v>2128365.4339793</v>
      </c>
      <c r="E11" s="12" t="n">
        <f aca="false">D11/$D$18</f>
        <v>0.0371782837779746</v>
      </c>
      <c r="F11" s="11" t="n">
        <f aca="false">SUM($D$5:D11)</f>
        <v>48470764.8883922</v>
      </c>
      <c r="G11" s="13" t="s">
        <v>61</v>
      </c>
    </row>
    <row r="12" customFormat="false" ht="48" hidden="false" customHeight="true" outlineLevel="0" collapsed="false">
      <c r="A12" s="10" t="s">
        <v>62</v>
      </c>
      <c r="B12" s="11" t="n">
        <f aca="false">SUMIFS('Line Items'!$H:$H,'Line Items'!$L:$L,"H")</f>
        <v>4420366.479136</v>
      </c>
      <c r="C12" s="12" t="n">
        <f aca="false">B12/$B$18</f>
        <v>0.0772149541334653</v>
      </c>
      <c r="D12" s="11" t="n">
        <f aca="false">B12*$B$21</f>
        <v>7449563.58375672</v>
      </c>
      <c r="E12" s="12" t="n">
        <f aca="false">D12/$D$18</f>
        <v>0.130128964000863</v>
      </c>
      <c r="F12" s="11" t="n">
        <f aca="false">SUM($D$5:D12)</f>
        <v>55920328.4721489</v>
      </c>
      <c r="G12" s="13" t="s">
        <v>63</v>
      </c>
    </row>
    <row r="13" customFormat="false" ht="48" hidden="false" customHeight="true" outlineLevel="0" collapsed="false">
      <c r="A13" s="10" t="s">
        <v>64</v>
      </c>
      <c r="B13" s="11" t="n">
        <f aca="false">SUMIFS('Line Items'!$H:$H,'Line Items'!$L:$L,"I")</f>
        <v>787533.212283357</v>
      </c>
      <c r="C13" s="12" t="n">
        <f aca="false">B13/$B$18</f>
        <v>0.0137566288116739</v>
      </c>
      <c r="D13" s="11" t="n">
        <f aca="false">B13*$B$21</f>
        <v>1327215.46209258</v>
      </c>
      <c r="E13" s="12" t="n">
        <f aca="false">D13/$D$18</f>
        <v>0.0231837974327268</v>
      </c>
      <c r="F13" s="11" t="n">
        <f aca="false">SUM($D$5:D13)</f>
        <v>57247543.9342415</v>
      </c>
      <c r="G13" s="13" t="s">
        <v>65</v>
      </c>
    </row>
    <row r="14" customFormat="false" ht="48" hidden="false" customHeight="true" outlineLevel="0" collapsed="false">
      <c r="A14" s="10" t="s">
        <v>66</v>
      </c>
      <c r="B14" s="11" t="n">
        <f aca="false">SUMIFS('Line Items'!$H:$H,'Line Items'!$L:$L,"J")</f>
        <v>5300000</v>
      </c>
      <c r="C14" s="12" t="n">
        <f aca="false">B14/$B$18</f>
        <v>0.0925803909786584</v>
      </c>
      <c r="D14" s="11" t="n">
        <v>0</v>
      </c>
      <c r="E14" s="12" t="n">
        <f aca="false">D14/$D$18</f>
        <v>0</v>
      </c>
      <c r="F14" s="11" t="n">
        <f aca="false">SUM($D$5:D14)</f>
        <v>57247543.9342415</v>
      </c>
      <c r="G14" s="13" t="s">
        <v>67</v>
      </c>
    </row>
    <row r="15" customFormat="false" ht="48" hidden="false" customHeight="true" outlineLevel="0" collapsed="false">
      <c r="A15" s="10" t="s">
        <v>68</v>
      </c>
      <c r="B15" s="11" t="n">
        <f aca="false">SUMIFS('Line Items'!$H:$H,'Line Items'!$L:$L,"K")</f>
        <v>2283517</v>
      </c>
      <c r="C15" s="12" t="n">
        <f aca="false">B15/$B$18</f>
        <v>0.0398884710691345</v>
      </c>
      <c r="D15" s="11" t="n">
        <v>0</v>
      </c>
      <c r="E15" s="12" t="n">
        <f aca="false">D15/$D$18</f>
        <v>0</v>
      </c>
      <c r="F15" s="11" t="n">
        <f aca="false">SUM($D$5:D15)</f>
        <v>57247543.9342415</v>
      </c>
      <c r="G15" s="13" t="s">
        <v>69</v>
      </c>
    </row>
    <row r="16" customFormat="false" ht="48" hidden="false" customHeight="true" outlineLevel="0" collapsed="false">
      <c r="A16" s="10" t="s">
        <v>70</v>
      </c>
      <c r="B16" s="11" t="n">
        <f aca="false">SUMIFS('Line Items'!$H:$H,'Line Items'!$L:$L,"L")</f>
        <v>8064672.35840785</v>
      </c>
      <c r="C16" s="12" t="n">
        <f aca="false">B16/$B$18</f>
        <v>0.140873683029467</v>
      </c>
      <c r="D16" s="11" t="n">
        <v>0</v>
      </c>
      <c r="E16" s="12" t="n">
        <f aca="false">D16/$D$18</f>
        <v>0</v>
      </c>
      <c r="F16" s="11" t="n">
        <f aca="false">SUM($D$5:D16)</f>
        <v>57247543.9342415</v>
      </c>
      <c r="G16" s="13" t="s">
        <v>71</v>
      </c>
    </row>
    <row r="17" customFormat="false" ht="48" hidden="false" customHeight="true" outlineLevel="0" collapsed="false">
      <c r="A17" s="10" t="s">
        <v>72</v>
      </c>
      <c r="B17" s="11" t="n">
        <f aca="false">SUMIFS('Line Items'!$H:$H,'Line Items'!$L:$L,"M")</f>
        <v>4680899.19441448</v>
      </c>
      <c r="C17" s="12" t="n">
        <f aca="false">B17/$B$18</f>
        <v>0.0817659391604867</v>
      </c>
      <c r="D17" s="11" t="n">
        <v>0</v>
      </c>
      <c r="E17" s="12" t="n">
        <f aca="false">D17/$D$18</f>
        <v>0</v>
      </c>
      <c r="F17" s="11" t="n">
        <f aca="false">SUM($D$5:D17)</f>
        <v>57247543.9342415</v>
      </c>
      <c r="G17" s="13" t="s">
        <v>73</v>
      </c>
    </row>
    <row r="18" customFormat="false" ht="15" hidden="false" customHeight="true" outlineLevel="0" collapsed="false">
      <c r="A18" s="3" t="s">
        <v>74</v>
      </c>
      <c r="B18" s="14" t="n">
        <f aca="false">SUM(B5:B17)</f>
        <v>57247543.9342415</v>
      </c>
      <c r="C18" s="15" t="n">
        <f aca="false">SUM(C5:C17)</f>
        <v>1</v>
      </c>
      <c r="D18" s="14" t="n">
        <f aca="false">SUM(D5:D17)</f>
        <v>57247543.9342415</v>
      </c>
      <c r="E18" s="15" t="n">
        <f aca="false">SUM(E5:E17)</f>
        <v>1</v>
      </c>
    </row>
    <row r="20" customFormat="false" ht="15" hidden="false" customHeight="true" outlineLevel="0" collapsed="false">
      <c r="A20" s="16" t="s">
        <v>75</v>
      </c>
      <c r="B20" s="17" t="n">
        <f aca="false">SUMPRODUCT(--(LEFT(A5:A17,1)&lt;&gt;"F"),--(LEFT(A5:A17,1)&lt;&gt;"J"),--(LEFT(A5:A17,1)&lt;&gt;"K"),--(LEFT(A5:A17,1)&lt;&gt;"L"),--(LEFT(A5:A17,1)&lt;&gt;"M"),B5:B17)</f>
        <v>29665293.6361283</v>
      </c>
    </row>
    <row r="21" customFormat="false" ht="15" hidden="false" customHeight="true" outlineLevel="0" collapsed="false">
      <c r="A21" s="16" t="s">
        <v>76</v>
      </c>
      <c r="B21" s="18" t="n">
        <f aca="false">(B20+B14+B15+B16+B17)/B20</f>
        <v>1.6852818921052</v>
      </c>
    </row>
    <row r="22" customFormat="false" ht="15" hidden="false" customHeight="true" outlineLevel="0" collapsed="false">
      <c r="A22" s="16" t="s">
        <v>77</v>
      </c>
      <c r="B22" s="17" t="n">
        <f aca="false">D18-B18</f>
        <v>0</v>
      </c>
    </row>
    <row r="24" customFormat="false" ht="15" hidden="false" customHeight="true" outlineLevel="0" collapsed="false">
      <c r="A24" s="16" t="s">
        <v>78</v>
      </c>
      <c r="B24" s="19" t="n">
        <v>4793000</v>
      </c>
    </row>
    <row r="25" customFormat="false" ht="15" hidden="false" customHeight="true" outlineLevel="0" collapsed="false">
      <c r="A25" s="16" t="s">
        <v>79</v>
      </c>
      <c r="B25" s="19" t="n">
        <v>12106850</v>
      </c>
    </row>
    <row r="26" customFormat="false" ht="15" hidden="false" customHeight="true" outlineLevel="0" collapsed="false">
      <c r="A26" s="16" t="s">
        <v>80</v>
      </c>
      <c r="B26" s="17" t="n">
        <f aca="false">11778061.83-(11860850-1213042.82)</f>
        <v>1130254.65</v>
      </c>
    </row>
  </sheetData>
  <mergeCells count="1">
    <mergeCell ref="A2:G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58"/>
    <col collapsed="false" customWidth="true" hidden="false" outlineLevel="0" max="2" min="2" style="1" width="16"/>
    <col collapsed="false" customWidth="true" hidden="false" outlineLevel="0" max="4" min="3" style="1" width="12"/>
    <col collapsed="false" customWidth="true" hidden="false" outlineLevel="0" max="5" min="5" style="1" width="14"/>
    <col collapsed="false" customWidth="true" hidden="false" outlineLevel="0" max="6" min="6" style="1" width="90"/>
  </cols>
  <sheetData>
    <row r="1" customFormat="false" ht="17.25" hidden="false" customHeight="true" outlineLevel="0" collapsed="false">
      <c r="A1" s="2" t="s">
        <v>81</v>
      </c>
    </row>
    <row r="3" customFormat="false" ht="15" hidden="false" customHeight="true" outlineLevel="0" collapsed="false">
      <c r="A3" s="1" t="s">
        <v>82</v>
      </c>
      <c r="B3" s="20" t="n">
        <v>10</v>
      </c>
    </row>
    <row r="4" customFormat="false" ht="15" hidden="false" customHeight="true" outlineLevel="0" collapsed="false">
      <c r="A4" s="1" t="s">
        <v>83</v>
      </c>
      <c r="B4" s="20" t="n">
        <v>20</v>
      </c>
    </row>
    <row r="6" customFormat="false" ht="23.25" hidden="false" customHeight="true" outlineLevel="0" collapsed="false">
      <c r="A6" s="9" t="s">
        <v>84</v>
      </c>
      <c r="B6" s="9" t="s">
        <v>85</v>
      </c>
      <c r="C6" s="9" t="s">
        <v>86</v>
      </c>
      <c r="D6" s="9" t="s">
        <v>87</v>
      </c>
      <c r="E6" s="9" t="s">
        <v>88</v>
      </c>
      <c r="F6" s="9" t="s">
        <v>89</v>
      </c>
    </row>
    <row r="7" customFormat="false" ht="42" hidden="false" customHeight="true" outlineLevel="0" collapsed="false">
      <c r="A7" s="21" t="s">
        <v>90</v>
      </c>
      <c r="B7" s="22" t="n">
        <f aca="false">Layers!B25</f>
        <v>12106850</v>
      </c>
      <c r="C7" s="22" t="n">
        <f aca="false">B7/($B$3*1000)</f>
        <v>1210.685</v>
      </c>
      <c r="D7" s="22" t="n">
        <f aca="false">B7/($B$4*1000)</f>
        <v>605.3425</v>
      </c>
      <c r="E7" s="23" t="n">
        <f aca="false">B7/$B$7</f>
        <v>1</v>
      </c>
      <c r="F7" s="24" t="s">
        <v>91</v>
      </c>
    </row>
    <row r="8" customFormat="false" ht="42" hidden="false" customHeight="true" outlineLevel="0" collapsed="false">
      <c r="A8" s="10" t="s">
        <v>92</v>
      </c>
      <c r="B8" s="11" t="n">
        <f aca="false">Layers!B5</f>
        <v>12991103.8258879</v>
      </c>
      <c r="C8" s="11" t="n">
        <f aca="false">B8/($B$3*1000)</f>
        <v>1299.11038258879</v>
      </c>
      <c r="D8" s="11" t="n">
        <f aca="false">B8/($B$4*1000)</f>
        <v>649.555191294395</v>
      </c>
      <c r="E8" s="25" t="n">
        <f aca="false">B8/$B$7</f>
        <v>1.07303748092096</v>
      </c>
      <c r="F8" s="13" t="s">
        <v>93</v>
      </c>
    </row>
    <row r="9" customFormat="false" ht="42" hidden="false" customHeight="true" outlineLevel="0" collapsed="false">
      <c r="A9" s="10" t="s">
        <v>94</v>
      </c>
      <c r="B9" s="11" t="n">
        <f aca="false">SUM(Layers!B5:B7)</f>
        <v>16657251.8863652</v>
      </c>
      <c r="C9" s="11" t="n">
        <f aca="false">B9/($B$3*1000)</f>
        <v>1665.72518863652</v>
      </c>
      <c r="D9" s="11" t="n">
        <f aca="false">B9/($B$4*1000)</f>
        <v>832.862594318262</v>
      </c>
      <c r="E9" s="25" t="n">
        <f aca="false">B9/$B$7</f>
        <v>1.37585349503506</v>
      </c>
      <c r="F9" s="13" t="s">
        <v>95</v>
      </c>
    </row>
    <row r="10" customFormat="false" ht="42" hidden="false" customHeight="true" outlineLevel="0" collapsed="false">
      <c r="A10" s="10" t="s">
        <v>96</v>
      </c>
      <c r="B10" s="11" t="n">
        <f aca="false">Layers!B20</f>
        <v>29665293.6361283</v>
      </c>
      <c r="C10" s="11" t="n">
        <f aca="false">B10/($B$3*1000)</f>
        <v>2966.52936361283</v>
      </c>
      <c r="D10" s="11" t="n">
        <f aca="false">B10/($B$4*1000)</f>
        <v>1483.26468180641</v>
      </c>
      <c r="E10" s="25" t="n">
        <f aca="false">B10/$B$7</f>
        <v>2.45029001235898</v>
      </c>
      <c r="F10" s="13" t="s">
        <v>97</v>
      </c>
    </row>
    <row r="11" customFormat="false" ht="42" hidden="false" customHeight="true" outlineLevel="0" collapsed="false">
      <c r="A11" s="10" t="s">
        <v>98</v>
      </c>
      <c r="B11" s="11" t="n">
        <f aca="false">SUM(Layers!D5:D9)+SUM(Layers!D11:D13)</f>
        <v>49994382.1889506</v>
      </c>
      <c r="C11" s="11" t="n">
        <f aca="false">B11/($B$3*1000)</f>
        <v>4999.43821889506</v>
      </c>
      <c r="D11" s="11" t="n">
        <f aca="false">B11/($B$4*1000)</f>
        <v>2499.71910944753</v>
      </c>
      <c r="E11" s="25" t="n">
        <f aca="false">B11/$B$7</f>
        <v>4.12942938823481</v>
      </c>
      <c r="F11" s="13" t="s">
        <v>99</v>
      </c>
    </row>
    <row r="12" customFormat="false" ht="42" hidden="false" customHeight="true" outlineLevel="0" collapsed="false">
      <c r="A12" s="21" t="s">
        <v>100</v>
      </c>
      <c r="B12" s="22" t="n">
        <f aca="false">Layers!D18</f>
        <v>57247543.9342415</v>
      </c>
      <c r="C12" s="22" t="n">
        <f aca="false">B12/($B$3*1000)</f>
        <v>5724.75439342415</v>
      </c>
      <c r="D12" s="22" t="n">
        <f aca="false">B12/($B$4*1000)</f>
        <v>2862.37719671208</v>
      </c>
      <c r="E12" s="23" t="n">
        <f aca="false">B12/$B$7</f>
        <v>4.72852508573589</v>
      </c>
      <c r="F12" s="24" t="s">
        <v>101</v>
      </c>
    </row>
    <row r="13" customFormat="false" ht="42" hidden="false" customHeight="true" outlineLevel="0" collapsed="false">
      <c r="A13" s="10" t="s">
        <v>102</v>
      </c>
      <c r="B13" s="11" t="n">
        <f aca="false">Layers!D18+Layers!B24</f>
        <v>62040543.9342415</v>
      </c>
      <c r="C13" s="11" t="n">
        <f aca="false">B13/($B$3*1000)</f>
        <v>6204.05439342415</v>
      </c>
      <c r="D13" s="11" t="n">
        <f aca="false">B13/($B$4*1000)</f>
        <v>3102.02719671208</v>
      </c>
      <c r="E13" s="25" t="n">
        <f aca="false">B13/$B$7</f>
        <v>5.12441666777415</v>
      </c>
      <c r="F13" s="13" t="s">
        <v>103</v>
      </c>
    </row>
    <row r="15" customFormat="false" ht="15" hidden="false" customHeight="true" outlineLevel="0" collapsed="false">
      <c r="A15" s="3" t="s">
        <v>104</v>
      </c>
      <c r="B15" s="15" t="n">
        <f aca="false">B7/B12</f>
        <v>0.211482435192447</v>
      </c>
    </row>
    <row r="16" customFormat="false" ht="15" hidden="false" customHeight="true" outlineLevel="0" collapsed="false">
      <c r="A16" s="3" t="s">
        <v>105</v>
      </c>
      <c r="B16" s="17" t="n">
        <f aca="false">B12-B7</f>
        <v>45140693.9342415</v>
      </c>
    </row>
    <row r="17" customFormat="false" ht="15" hidden="false" customHeight="true" outlineLevel="0" collapsed="false">
      <c r="A17" s="3" t="s">
        <v>106</v>
      </c>
      <c r="B17" s="17" t="n">
        <f aca="false">Layers!D8+Layers!D10</f>
        <v>13735504.7103714</v>
      </c>
    </row>
    <row r="18" customFormat="false" ht="15" hidden="false" customHeight="true" outlineLevel="0" collapsed="false">
      <c r="A18" s="3" t="s">
        <v>107</v>
      </c>
      <c r="B18" s="17" t="n">
        <f aca="false">B17+Layers!B24</f>
        <v>18528504.7103714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12"/>
    <col collapsed="false" customWidth="true" hidden="false" outlineLevel="0" max="2" min="2" style="1" width="52"/>
    <col collapsed="false" customWidth="true" hidden="false" outlineLevel="0" max="3" min="3" style="1" width="16"/>
    <col collapsed="false" customWidth="true" hidden="false" outlineLevel="0" max="4" min="4" style="1" width="10"/>
    <col collapsed="false" customWidth="true" hidden="false" outlineLevel="0" max="5" min="5" style="1" width="90"/>
    <col collapsed="false" customWidth="true" hidden="false" outlineLevel="0" max="6" min="6" style="1" width="14"/>
  </cols>
  <sheetData>
    <row r="1" customFormat="false" ht="17.25" hidden="false" customHeight="true" outlineLevel="0" collapsed="false">
      <c r="A1" s="2" t="s">
        <v>108</v>
      </c>
    </row>
    <row r="3" customFormat="false" ht="15" hidden="false" customHeight="true" outlineLevel="0" collapsed="false">
      <c r="A3" s="9" t="s">
        <v>109</v>
      </c>
      <c r="B3" s="9" t="s">
        <v>110</v>
      </c>
      <c r="C3" s="9" t="s">
        <v>111</v>
      </c>
      <c r="D3" s="9" t="s">
        <v>112</v>
      </c>
      <c r="E3" s="9" t="s">
        <v>113</v>
      </c>
      <c r="F3" s="9" t="s">
        <v>114</v>
      </c>
    </row>
    <row r="4" customFormat="false" ht="30" hidden="false" customHeight="true" outlineLevel="0" collapsed="false">
      <c r="A4" s="10" t="s">
        <v>115</v>
      </c>
      <c r="B4" s="10" t="s">
        <v>116</v>
      </c>
      <c r="C4" s="11" t="n">
        <v>200000</v>
      </c>
      <c r="D4" s="10" t="s">
        <v>117</v>
      </c>
      <c r="E4" s="26" t="s">
        <v>118</v>
      </c>
      <c r="F4" s="11" t="n">
        <f aca="false">C4/('Unit Costs'!$B$4*1000)</f>
        <v>10</v>
      </c>
    </row>
    <row r="5" customFormat="false" ht="30" hidden="false" customHeight="true" outlineLevel="0" collapsed="false">
      <c r="A5" s="10" t="s">
        <v>119</v>
      </c>
      <c r="B5" s="10" t="s">
        <v>120</v>
      </c>
      <c r="C5" s="11" t="n">
        <v>500000</v>
      </c>
      <c r="D5" s="10" t="s">
        <v>117</v>
      </c>
      <c r="E5" s="26" t="s">
        <v>121</v>
      </c>
      <c r="F5" s="11" t="n">
        <f aca="false">C5/('Unit Costs'!$B$4*1000)</f>
        <v>25</v>
      </c>
    </row>
    <row r="6" customFormat="false" ht="30" hidden="false" customHeight="true" outlineLevel="0" collapsed="false">
      <c r="A6" s="10" t="s">
        <v>122</v>
      </c>
      <c r="B6" s="10" t="s">
        <v>123</v>
      </c>
      <c r="C6" s="11" t="n">
        <v>18222342</v>
      </c>
      <c r="D6" s="10" t="s">
        <v>124</v>
      </c>
      <c r="E6" s="26" t="s">
        <v>125</v>
      </c>
      <c r="F6" s="11" t="n">
        <f aca="false">C6/('Unit Costs'!$B$4*1000)</f>
        <v>911.1171</v>
      </c>
    </row>
    <row r="7" customFormat="false" ht="30" hidden="false" customHeight="true" outlineLevel="0" collapsed="false">
      <c r="A7" s="10" t="s">
        <v>126</v>
      </c>
      <c r="B7" s="10" t="s">
        <v>127</v>
      </c>
      <c r="C7" s="11" t="n">
        <v>43926100</v>
      </c>
      <c r="D7" s="10" t="s">
        <v>128</v>
      </c>
      <c r="E7" s="26" t="s">
        <v>129</v>
      </c>
      <c r="F7" s="11" t="n">
        <f aca="false">C7/('Unit Costs'!$B$4*1000)</f>
        <v>2196.305</v>
      </c>
    </row>
    <row r="8" customFormat="false" ht="30" hidden="false" customHeight="true" outlineLevel="0" collapsed="false">
      <c r="A8" s="10" t="s">
        <v>130</v>
      </c>
      <c r="B8" s="10" t="s">
        <v>131</v>
      </c>
      <c r="C8" s="11" t="n">
        <v>49200000</v>
      </c>
      <c r="D8" s="10" t="s">
        <v>128</v>
      </c>
      <c r="E8" s="26" t="s">
        <v>132</v>
      </c>
      <c r="F8" s="11" t="n">
        <f aca="false">C8/('Unit Costs'!$B$4*1000)</f>
        <v>2460</v>
      </c>
    </row>
    <row r="9" customFormat="false" ht="30" hidden="false" customHeight="true" outlineLevel="0" collapsed="false">
      <c r="A9" s="10" t="s">
        <v>133</v>
      </c>
      <c r="B9" s="10" t="s">
        <v>134</v>
      </c>
      <c r="C9" s="11" t="n">
        <v>4009000</v>
      </c>
      <c r="D9" s="10" t="s">
        <v>117</v>
      </c>
      <c r="E9" s="26" t="s">
        <v>135</v>
      </c>
      <c r="F9" s="11" t="n">
        <f aca="false">C9/('Unit Costs'!$B$4*1000)</f>
        <v>200.45</v>
      </c>
    </row>
    <row r="10" customFormat="false" ht="30" hidden="false" customHeight="true" outlineLevel="0" collapsed="false">
      <c r="A10" s="10" t="s">
        <v>136</v>
      </c>
      <c r="B10" s="10" t="s">
        <v>137</v>
      </c>
      <c r="C10" s="11" t="n">
        <v>5767000</v>
      </c>
      <c r="D10" s="10" t="s">
        <v>117</v>
      </c>
      <c r="E10" s="26" t="s">
        <v>138</v>
      </c>
      <c r="F10" s="11" t="n">
        <f aca="false">C10/('Unit Costs'!$B$4*1000)</f>
        <v>288.35</v>
      </c>
    </row>
    <row r="11" customFormat="false" ht="30" hidden="false" customHeight="true" outlineLevel="0" collapsed="false">
      <c r="A11" s="10" t="s">
        <v>139</v>
      </c>
      <c r="B11" s="10" t="s">
        <v>140</v>
      </c>
      <c r="C11" s="11" t="n">
        <v>12106850</v>
      </c>
      <c r="D11" s="10" t="s">
        <v>124</v>
      </c>
      <c r="E11" s="26" t="s">
        <v>141</v>
      </c>
      <c r="F11" s="11" t="n">
        <f aca="false">C11/('Unit Costs'!$B$4*1000)</f>
        <v>605.3425</v>
      </c>
    </row>
    <row r="12" customFormat="false" ht="30" hidden="false" customHeight="true" outlineLevel="0" collapsed="false">
      <c r="A12" s="10" t="s">
        <v>142</v>
      </c>
      <c r="B12" s="10" t="s">
        <v>143</v>
      </c>
      <c r="C12" s="11" t="n">
        <v>8914000</v>
      </c>
      <c r="D12" s="10" t="s">
        <v>117</v>
      </c>
      <c r="E12" s="26" t="s">
        <v>144</v>
      </c>
      <c r="F12" s="11" t="n">
        <f aca="false">C12/('Unit Costs'!$B$4*1000)</f>
        <v>445.7</v>
      </c>
    </row>
    <row r="13" customFormat="false" ht="30" hidden="false" customHeight="true" outlineLevel="0" collapsed="false">
      <c r="A13" s="10" t="s">
        <v>145</v>
      </c>
      <c r="B13" s="10" t="s">
        <v>146</v>
      </c>
      <c r="C13" s="11" t="n">
        <v>47201100</v>
      </c>
      <c r="D13" s="10" t="s">
        <v>128</v>
      </c>
      <c r="E13" s="26" t="s">
        <v>147</v>
      </c>
      <c r="F13" s="11" t="n">
        <f aca="false">C13/('Unit Costs'!$B$4*1000)</f>
        <v>2360.055</v>
      </c>
    </row>
    <row r="14" customFormat="false" ht="30" hidden="false" customHeight="true" outlineLevel="0" collapsed="false">
      <c r="A14" s="10" t="s">
        <v>148</v>
      </c>
      <c r="B14" s="10" t="s">
        <v>149</v>
      </c>
      <c r="C14" s="11" t="n">
        <v>51867100</v>
      </c>
      <c r="D14" s="10" t="s">
        <v>128</v>
      </c>
      <c r="E14" s="26" t="s">
        <v>150</v>
      </c>
      <c r="F14" s="11" t="n">
        <f aca="false">C14/('Unit Costs'!$B$4*1000)</f>
        <v>2593.355</v>
      </c>
    </row>
    <row r="15" customFormat="false" ht="30" hidden="false" customHeight="true" outlineLevel="0" collapsed="false">
      <c r="A15" s="10" t="s">
        <v>151</v>
      </c>
      <c r="B15" s="10" t="s">
        <v>152</v>
      </c>
      <c r="C15" s="11" t="n">
        <v>63640300</v>
      </c>
      <c r="D15" s="10" t="s">
        <v>128</v>
      </c>
      <c r="E15" s="26" t="s">
        <v>153</v>
      </c>
      <c r="F15" s="11" t="n">
        <f aca="false">C15/('Unit Costs'!$B$4*1000)</f>
        <v>3182.015</v>
      </c>
    </row>
    <row r="16" customFormat="false" ht="30" hidden="false" customHeight="true" outlineLevel="0" collapsed="false">
      <c r="A16" s="10" t="s">
        <v>154</v>
      </c>
      <c r="B16" s="10" t="s">
        <v>155</v>
      </c>
      <c r="C16" s="11" t="n">
        <v>57247300</v>
      </c>
      <c r="D16" s="10" t="s">
        <v>128</v>
      </c>
      <c r="E16" s="26" t="s">
        <v>156</v>
      </c>
      <c r="F16" s="11" t="n">
        <f aca="false">C16/('Unit Costs'!$B$4*1000)</f>
        <v>2862.365</v>
      </c>
    </row>
    <row r="18" customFormat="false" ht="15" hidden="false" customHeight="true" outlineLevel="0" collapsed="false">
      <c r="A18" s="3" t="s">
        <v>157</v>
      </c>
    </row>
    <row r="19" customFormat="false" ht="15" hidden="false" customHeight="true" outlineLevel="0" collapsed="false">
      <c r="A19" s="9" t="s">
        <v>158</v>
      </c>
      <c r="B19" s="9" t="s">
        <v>159</v>
      </c>
    </row>
    <row r="20" customFormat="false" ht="15" hidden="false" customHeight="true" outlineLevel="0" collapsed="false">
      <c r="A20" s="16" t="s">
        <v>115</v>
      </c>
      <c r="B20" s="16" t="s">
        <v>160</v>
      </c>
    </row>
    <row r="21" customFormat="false" ht="15" hidden="false" customHeight="true" outlineLevel="0" collapsed="false">
      <c r="A21" s="16" t="s">
        <v>126</v>
      </c>
      <c r="B21" s="16" t="s">
        <v>161</v>
      </c>
    </row>
    <row r="22" customFormat="false" ht="15" hidden="false" customHeight="true" outlineLevel="0" collapsed="false">
      <c r="A22" s="16" t="s">
        <v>130</v>
      </c>
      <c r="B22" s="16" t="s">
        <v>162</v>
      </c>
    </row>
    <row r="23" customFormat="false" ht="15" hidden="false" customHeight="true" outlineLevel="0" collapsed="false">
      <c r="A23" s="16" t="s">
        <v>163</v>
      </c>
      <c r="B23" s="16" t="s">
        <v>164</v>
      </c>
    </row>
    <row r="24" customFormat="false" ht="15" hidden="false" customHeight="true" outlineLevel="0" collapsed="false">
      <c r="A24" s="16" t="s">
        <v>142</v>
      </c>
      <c r="B24" s="16" t="s">
        <v>165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6"/>
    <col collapsed="false" customWidth="true" hidden="false" outlineLevel="0" max="2" min="2" style="1" width="12"/>
    <col collapsed="false" customWidth="true" hidden="false" outlineLevel="0" max="3" min="3" style="1" width="18"/>
    <col collapsed="false" customWidth="true" hidden="false" outlineLevel="0" max="4" min="4" style="1" width="16"/>
    <col collapsed="false" customWidth="true" hidden="false" outlineLevel="0" max="5" min="5" style="1" width="110"/>
  </cols>
  <sheetData>
    <row r="1" customFormat="false" ht="17.25" hidden="false" customHeight="true" outlineLevel="0" collapsed="false">
      <c r="A1" s="2" t="s">
        <v>166</v>
      </c>
    </row>
    <row r="3" customFormat="false" ht="15" hidden="false" customHeight="true" outlineLevel="0" collapsed="false">
      <c r="A3" s="9" t="s">
        <v>167</v>
      </c>
      <c r="B3" s="9" t="s">
        <v>109</v>
      </c>
      <c r="C3" s="9" t="s">
        <v>168</v>
      </c>
      <c r="D3" s="9" t="s">
        <v>169</v>
      </c>
      <c r="E3" s="9" t="s">
        <v>170</v>
      </c>
    </row>
    <row r="4" customFormat="false" ht="60" hidden="false" customHeight="true" outlineLevel="0" collapsed="false">
      <c r="A4" s="10" t="s">
        <v>171</v>
      </c>
      <c r="B4" s="10" t="s">
        <v>172</v>
      </c>
      <c r="C4" s="11" t="n">
        <v>47201100</v>
      </c>
      <c r="D4" s="11" t="n">
        <v>0</v>
      </c>
      <c r="E4" s="13" t="s">
        <v>173</v>
      </c>
    </row>
    <row r="5" customFormat="false" ht="60" hidden="false" customHeight="true" outlineLevel="0" collapsed="false">
      <c r="A5" s="10" t="s">
        <v>174</v>
      </c>
      <c r="B5" s="10" t="s">
        <v>148</v>
      </c>
      <c r="C5" s="11" t="n">
        <v>51867100</v>
      </c>
      <c r="D5" s="11" t="n">
        <f aca="false">C5-C4</f>
        <v>4666000</v>
      </c>
      <c r="E5" s="13" t="s">
        <v>175</v>
      </c>
    </row>
    <row r="6" customFormat="false" ht="60" hidden="false" customHeight="true" outlineLevel="0" collapsed="false">
      <c r="A6" s="10" t="s">
        <v>176</v>
      </c>
      <c r="B6" s="10" t="s">
        <v>151</v>
      </c>
      <c r="C6" s="11" t="n">
        <v>63640300</v>
      </c>
      <c r="D6" s="11" t="n">
        <f aca="false">C6-C5</f>
        <v>11773200</v>
      </c>
      <c r="E6" s="13" t="s">
        <v>177</v>
      </c>
    </row>
    <row r="7" customFormat="false" ht="60" hidden="false" customHeight="true" outlineLevel="0" collapsed="false">
      <c r="A7" s="10" t="s">
        <v>178</v>
      </c>
      <c r="B7" s="10" t="s">
        <v>154</v>
      </c>
      <c r="C7" s="11" t="n">
        <v>57247300</v>
      </c>
      <c r="D7" s="11" t="n">
        <f aca="false">C7-C6</f>
        <v>-6393000</v>
      </c>
      <c r="E7" s="13" t="s">
        <v>179</v>
      </c>
    </row>
    <row r="9" customFormat="false" ht="15" hidden="false" customHeight="true" outlineLevel="0" collapsed="false">
      <c r="A9" s="1" t="s">
        <v>180</v>
      </c>
      <c r="C9" s="19" t="n">
        <v>43926100</v>
      </c>
    </row>
    <row r="10" customFormat="false" ht="15" hidden="false" customHeight="true" outlineLevel="0" collapsed="false">
      <c r="A10" s="1" t="s">
        <v>181</v>
      </c>
      <c r="C10" s="17" t="n">
        <f aca="false">C7-C9</f>
        <v>13321200</v>
      </c>
      <c r="D10" s="15" t="n">
        <f aca="false">C10/C9</f>
        <v>0.303263890944108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4"/>
    <col collapsed="false" customWidth="true" hidden="false" outlineLevel="0" max="2" min="2" style="1" width="20"/>
    <col collapsed="false" customWidth="true" hidden="false" outlineLevel="0" max="3" min="3" style="1" width="10"/>
    <col collapsed="false" customWidth="true" hidden="false" outlineLevel="0" max="4" min="4" style="1" width="110"/>
  </cols>
  <sheetData>
    <row r="1" customFormat="false" ht="17.25" hidden="false" customHeight="true" outlineLevel="0" collapsed="false">
      <c r="A1" s="2" t="s">
        <v>182</v>
      </c>
    </row>
    <row r="3" customFormat="false" ht="15" hidden="false" customHeight="true" outlineLevel="0" collapsed="false">
      <c r="A3" s="9" t="s">
        <v>183</v>
      </c>
      <c r="B3" s="9" t="s">
        <v>184</v>
      </c>
      <c r="C3" s="9" t="s">
        <v>87</v>
      </c>
      <c r="D3" s="9" t="s">
        <v>185</v>
      </c>
    </row>
    <row r="4" customFormat="false" ht="45" hidden="false" customHeight="true" outlineLevel="0" collapsed="false">
      <c r="A4" s="10" t="s">
        <v>186</v>
      </c>
      <c r="B4" s="11" t="n">
        <v>11551925</v>
      </c>
      <c r="C4" s="11" t="n">
        <f aca="false">B4/('Unit Costs'!$B$4*1000)</f>
        <v>577.59625</v>
      </c>
      <c r="D4" s="13" t="s">
        <v>187</v>
      </c>
    </row>
    <row r="5" customFormat="false" ht="45" hidden="false" customHeight="true" outlineLevel="0" collapsed="false">
      <c r="A5" s="10" t="s">
        <v>188</v>
      </c>
      <c r="B5" s="11" t="n">
        <v>10532000</v>
      </c>
      <c r="C5" s="11" t="n">
        <f aca="false">B5/('Unit Costs'!$B$4*1000)</f>
        <v>526.6</v>
      </c>
      <c r="D5" s="13" t="s">
        <v>189</v>
      </c>
    </row>
    <row r="6" customFormat="false" ht="45" hidden="false" customHeight="true" outlineLevel="0" collapsed="false">
      <c r="A6" s="10" t="s">
        <v>190</v>
      </c>
      <c r="B6" s="11" t="n">
        <v>9586600</v>
      </c>
      <c r="C6" s="11" t="n">
        <f aca="false">B6/('Unit Costs'!$B$4*1000)</f>
        <v>479.33</v>
      </c>
      <c r="D6" s="13" t="s">
        <v>191</v>
      </c>
    </row>
    <row r="7" customFormat="false" ht="45" hidden="false" customHeight="true" outlineLevel="0" collapsed="false">
      <c r="A7" s="10" t="s">
        <v>192</v>
      </c>
      <c r="B7" s="11" t="n">
        <v>18222342</v>
      </c>
      <c r="C7" s="11" t="n">
        <f aca="false">B7/('Unit Costs'!$B$4*1000)</f>
        <v>911.1171</v>
      </c>
      <c r="D7" s="13" t="s">
        <v>193</v>
      </c>
    </row>
    <row r="8" customFormat="false" ht="45" hidden="false" customHeight="true" outlineLevel="0" collapsed="false">
      <c r="A8" s="10" t="s">
        <v>194</v>
      </c>
      <c r="B8" s="11" t="n">
        <v>11470000</v>
      </c>
      <c r="C8" s="11" t="n">
        <f aca="false">B8/('Unit Costs'!$B$4*1000)</f>
        <v>573.5</v>
      </c>
      <c r="D8" s="13" t="s">
        <v>195</v>
      </c>
    </row>
    <row r="9" customFormat="false" ht="45" hidden="false" customHeight="true" outlineLevel="0" collapsed="false">
      <c r="A9" s="10" t="s">
        <v>196</v>
      </c>
      <c r="B9" s="11" t="n">
        <v>13915000</v>
      </c>
      <c r="C9" s="11" t="n">
        <f aca="false">B9/('Unit Costs'!$B$4*1000)</f>
        <v>695.75</v>
      </c>
      <c r="D9" s="13" t="s">
        <v>197</v>
      </c>
    </row>
    <row r="11" customFormat="false" ht="15" hidden="false" customHeight="true" outlineLevel="0" collapsed="false">
      <c r="A11" s="3" t="s">
        <v>198</v>
      </c>
      <c r="B11" s="17" t="n">
        <f aca="false">MIN(B4:B9)</f>
        <v>9586600</v>
      </c>
    </row>
    <row r="12" customFormat="false" ht="15" hidden="false" customHeight="true" outlineLevel="0" collapsed="false">
      <c r="A12" s="3" t="s">
        <v>199</v>
      </c>
      <c r="B12" s="17" t="n">
        <f aca="false">MAX(B4:B9)</f>
        <v>18222342</v>
      </c>
    </row>
    <row r="13" customFormat="false" ht="15" hidden="false" customHeight="true" outlineLevel="0" collapsed="false">
      <c r="A13" s="3" t="s">
        <v>200</v>
      </c>
      <c r="B13" s="17" t="n">
        <f aca="false">MEDIAN(B4:B9)</f>
        <v>11510962.5</v>
      </c>
    </row>
    <row r="15" customFormat="false" ht="15" hidden="false" customHeight="true" outlineLevel="0" collapsed="false">
      <c r="A15" s="16" t="s">
        <v>201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7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34"/>
    <col collapsed="false" customWidth="true" hidden="false" outlineLevel="0" max="2" min="2" style="1" width="8"/>
    <col collapsed="false" customWidth="true" hidden="false" outlineLevel="0" max="3" min="3" style="1" width="40"/>
    <col collapsed="false" customWidth="true" hidden="false" outlineLevel="0" max="4" min="4" style="1" width="12"/>
    <col collapsed="false" customWidth="true" hidden="false" outlineLevel="0" max="7" min="5" style="1" width="10"/>
    <col collapsed="false" customWidth="true" hidden="false" outlineLevel="0" max="8" min="8" style="1" width="60"/>
    <col collapsed="false" customWidth="true" hidden="false" outlineLevel="0" max="9" min="9" style="1" width="11"/>
    <col collapsed="false" customWidth="true" hidden="false" outlineLevel="0" max="10" min="10" style="1" width="60"/>
  </cols>
  <sheetData>
    <row r="1" customFormat="false" ht="17.25" hidden="false" customHeight="true" outlineLevel="0" collapsed="false">
      <c r="A1" s="2" t="s">
        <v>202</v>
      </c>
    </row>
    <row r="3" customFormat="false" ht="15" hidden="false" customHeight="true" outlineLevel="0" collapsed="false">
      <c r="A3" s="9" t="s">
        <v>203</v>
      </c>
      <c r="B3" s="9" t="s">
        <v>204</v>
      </c>
      <c r="C3" s="9" t="s">
        <v>205</v>
      </c>
      <c r="D3" s="9" t="s">
        <v>206</v>
      </c>
      <c r="E3" s="9" t="s">
        <v>207</v>
      </c>
      <c r="F3" s="9" t="s">
        <v>208</v>
      </c>
      <c r="G3" s="9" t="s">
        <v>209</v>
      </c>
      <c r="H3" s="9" t="s">
        <v>210</v>
      </c>
      <c r="I3" s="9" t="s">
        <v>211</v>
      </c>
      <c r="J3" s="9" t="s">
        <v>212</v>
      </c>
    </row>
    <row r="4" customFormat="false" ht="60" hidden="false" customHeight="true" outlineLevel="0" collapsed="false">
      <c r="A4" s="13" t="s">
        <v>213</v>
      </c>
      <c r="B4" s="13" t="n">
        <v>2025</v>
      </c>
      <c r="C4" s="13" t="s">
        <v>214</v>
      </c>
      <c r="D4" s="27" t="n">
        <v>70</v>
      </c>
      <c r="E4" s="13" t="s">
        <v>87</v>
      </c>
      <c r="F4" s="13" t="s">
        <v>215</v>
      </c>
      <c r="G4" s="13" t="s">
        <v>216</v>
      </c>
      <c r="H4" s="13" t="s">
        <v>217</v>
      </c>
      <c r="I4" s="28" t="s">
        <v>218</v>
      </c>
      <c r="J4" s="13" t="s">
        <v>219</v>
      </c>
    </row>
    <row r="5" customFormat="false" ht="60" hidden="false" customHeight="true" outlineLevel="0" collapsed="false">
      <c r="A5" s="13" t="s">
        <v>213</v>
      </c>
      <c r="B5" s="13" t="n">
        <v>2025</v>
      </c>
      <c r="C5" s="13" t="s">
        <v>220</v>
      </c>
      <c r="D5" s="27" t="n">
        <v>108</v>
      </c>
      <c r="E5" s="13" t="s">
        <v>87</v>
      </c>
      <c r="F5" s="13" t="s">
        <v>215</v>
      </c>
      <c r="G5" s="13" t="s">
        <v>216</v>
      </c>
      <c r="H5" s="13" t="s">
        <v>221</v>
      </c>
      <c r="I5" s="28" t="s">
        <v>218</v>
      </c>
      <c r="J5" s="13" t="s">
        <v>219</v>
      </c>
    </row>
    <row r="6" customFormat="false" ht="60" hidden="false" customHeight="true" outlineLevel="0" collapsed="false">
      <c r="A6" s="13" t="s">
        <v>222</v>
      </c>
      <c r="B6" s="13" t="n">
        <v>2026</v>
      </c>
      <c r="C6" s="13" t="s">
        <v>223</v>
      </c>
      <c r="D6" s="27" t="n">
        <v>203</v>
      </c>
      <c r="E6" s="13" t="s">
        <v>87</v>
      </c>
      <c r="F6" s="13" t="s">
        <v>224</v>
      </c>
      <c r="G6" s="13" t="s">
        <v>225</v>
      </c>
      <c r="H6" s="13" t="s">
        <v>226</v>
      </c>
      <c r="I6" s="28" t="s">
        <v>218</v>
      </c>
      <c r="J6" s="13" t="s">
        <v>227</v>
      </c>
    </row>
    <row r="7" customFormat="false" ht="60" hidden="false" customHeight="true" outlineLevel="0" collapsed="false">
      <c r="A7" s="13" t="s">
        <v>228</v>
      </c>
      <c r="B7" s="13" t="n">
        <v>2025</v>
      </c>
      <c r="C7" s="13" t="s">
        <v>229</v>
      </c>
      <c r="D7" s="27" t="n">
        <v>219</v>
      </c>
      <c r="E7" s="13" t="s">
        <v>87</v>
      </c>
      <c r="F7" s="13" t="s">
        <v>230</v>
      </c>
      <c r="G7" s="13" t="s">
        <v>231</v>
      </c>
      <c r="H7" s="13" t="s">
        <v>232</v>
      </c>
      <c r="I7" s="28" t="s">
        <v>218</v>
      </c>
      <c r="J7" s="13" t="s">
        <v>233</v>
      </c>
    </row>
    <row r="8" customFormat="false" ht="60" hidden="false" customHeight="true" outlineLevel="0" collapsed="false">
      <c r="A8" s="13" t="s">
        <v>228</v>
      </c>
      <c r="B8" s="13" t="n">
        <v>2024</v>
      </c>
      <c r="C8" s="13" t="s">
        <v>229</v>
      </c>
      <c r="D8" s="27" t="n">
        <v>236</v>
      </c>
      <c r="E8" s="13" t="s">
        <v>87</v>
      </c>
      <c r="F8" s="13" t="s">
        <v>230</v>
      </c>
      <c r="G8" s="13" t="s">
        <v>234</v>
      </c>
      <c r="H8" s="13" t="s">
        <v>235</v>
      </c>
      <c r="I8" s="28" t="s">
        <v>218</v>
      </c>
      <c r="J8" s="13" t="s">
        <v>236</v>
      </c>
    </row>
    <row r="9" customFormat="false" ht="60" hidden="false" customHeight="true" outlineLevel="0" collapsed="false">
      <c r="A9" s="13" t="s">
        <v>228</v>
      </c>
      <c r="B9" s="13" t="n">
        <v>2023</v>
      </c>
      <c r="C9" s="13" t="s">
        <v>237</v>
      </c>
      <c r="D9" s="27" t="n">
        <v>263</v>
      </c>
      <c r="E9" s="13" t="s">
        <v>87</v>
      </c>
      <c r="F9" s="13" t="s">
        <v>230</v>
      </c>
      <c r="G9" s="13" t="s">
        <v>238</v>
      </c>
      <c r="H9" s="13" t="s">
        <v>235</v>
      </c>
      <c r="I9" s="28" t="s">
        <v>218</v>
      </c>
      <c r="J9" s="13" t="s">
        <v>239</v>
      </c>
    </row>
    <row r="10" customFormat="false" ht="60" hidden="false" customHeight="true" outlineLevel="0" collapsed="false">
      <c r="A10" s="13" t="s">
        <v>240</v>
      </c>
      <c r="B10" s="13" t="n">
        <v>2025</v>
      </c>
      <c r="C10" s="13" t="s">
        <v>241</v>
      </c>
      <c r="D10" s="27" t="n">
        <v>334</v>
      </c>
      <c r="E10" s="13" t="s">
        <v>87</v>
      </c>
      <c r="F10" s="13" t="s">
        <v>242</v>
      </c>
      <c r="G10" s="13" t="s">
        <v>243</v>
      </c>
      <c r="H10" s="13" t="s">
        <v>244</v>
      </c>
      <c r="I10" s="29" t="s">
        <v>199</v>
      </c>
      <c r="J10" s="13" t="s">
        <v>245</v>
      </c>
    </row>
    <row r="11" customFormat="false" ht="60" hidden="false" customHeight="true" outlineLevel="0" collapsed="false">
      <c r="A11" s="13" t="s">
        <v>246</v>
      </c>
      <c r="B11" s="13" t="n">
        <v>2024</v>
      </c>
      <c r="C11" s="13" t="s">
        <v>247</v>
      </c>
      <c r="D11" s="27" t="n">
        <v>436</v>
      </c>
      <c r="E11" s="13" t="s">
        <v>87</v>
      </c>
      <c r="F11" s="13" t="s">
        <v>248</v>
      </c>
      <c r="G11" s="13" t="s">
        <v>238</v>
      </c>
      <c r="H11" s="13" t="s">
        <v>249</v>
      </c>
      <c r="I11" s="29" t="s">
        <v>199</v>
      </c>
      <c r="J11" s="13" t="s">
        <v>250</v>
      </c>
    </row>
    <row r="12" customFormat="false" ht="60" hidden="false" customHeight="true" outlineLevel="0" collapsed="false">
      <c r="A12" s="13" t="s">
        <v>251</v>
      </c>
      <c r="B12" s="13" t="n">
        <v>2025</v>
      </c>
      <c r="C12" s="13" t="s">
        <v>252</v>
      </c>
      <c r="D12" s="27" t="n">
        <v>458</v>
      </c>
      <c r="E12" s="13" t="s">
        <v>87</v>
      </c>
      <c r="F12" s="13" t="s">
        <v>253</v>
      </c>
      <c r="G12" s="13" t="s">
        <v>234</v>
      </c>
      <c r="H12" s="13" t="s">
        <v>254</v>
      </c>
      <c r="I12" s="29" t="s">
        <v>199</v>
      </c>
      <c r="J12" s="13" t="s">
        <v>255</v>
      </c>
    </row>
    <row r="13" customFormat="false" ht="60" hidden="false" customHeight="true" outlineLevel="0" collapsed="false">
      <c r="A13" s="13" t="s">
        <v>256</v>
      </c>
      <c r="B13" s="13" t="n">
        <v>2023</v>
      </c>
      <c r="C13" s="13" t="s">
        <v>257</v>
      </c>
      <c r="D13" s="27" t="n">
        <v>1361</v>
      </c>
      <c r="E13" s="13" t="s">
        <v>86</v>
      </c>
      <c r="F13" s="13" t="s">
        <v>258</v>
      </c>
      <c r="G13" s="13" t="s">
        <v>259</v>
      </c>
      <c r="H13" s="13" t="s">
        <v>260</v>
      </c>
      <c r="I13" s="29" t="s">
        <v>199</v>
      </c>
      <c r="J13" s="13" t="s">
        <v>261</v>
      </c>
    </row>
    <row r="14" customFormat="false" ht="60" hidden="false" customHeight="true" outlineLevel="0" collapsed="false">
      <c r="A14" s="13" t="s">
        <v>262</v>
      </c>
      <c r="B14" s="13" t="n">
        <v>2026</v>
      </c>
      <c r="C14" s="13" t="s">
        <v>263</v>
      </c>
      <c r="D14" s="27" t="n">
        <v>916</v>
      </c>
      <c r="E14" s="13" t="s">
        <v>86</v>
      </c>
      <c r="F14" s="13" t="s">
        <v>264</v>
      </c>
      <c r="G14" s="13" t="s">
        <v>265</v>
      </c>
      <c r="H14" s="13" t="s">
        <v>266</v>
      </c>
      <c r="I14" s="28" t="s">
        <v>218</v>
      </c>
      <c r="J14" s="13" t="s">
        <v>267</v>
      </c>
    </row>
    <row r="15" customFormat="false" ht="60" hidden="false" customHeight="true" outlineLevel="0" collapsed="false">
      <c r="A15" s="13" t="s">
        <v>268</v>
      </c>
      <c r="B15" s="13" t="n">
        <v>2023</v>
      </c>
      <c r="C15" s="13" t="s">
        <v>269</v>
      </c>
      <c r="D15" s="27" t="n">
        <v>230</v>
      </c>
      <c r="E15" s="13" t="s">
        <v>86</v>
      </c>
      <c r="F15" s="13" t="s">
        <v>215</v>
      </c>
      <c r="G15" s="13" t="s">
        <v>270</v>
      </c>
      <c r="H15" s="13" t="s">
        <v>271</v>
      </c>
      <c r="I15" s="29" t="s">
        <v>199</v>
      </c>
      <c r="J15" s="13" t="s">
        <v>272</v>
      </c>
    </row>
    <row r="16" customFormat="false" ht="60" hidden="false" customHeight="true" outlineLevel="0" collapsed="false">
      <c r="A16" s="13" t="s">
        <v>273</v>
      </c>
      <c r="B16" s="13" t="n">
        <v>2023</v>
      </c>
      <c r="C16" s="13" t="s">
        <v>274</v>
      </c>
      <c r="D16" s="27" t="n">
        <v>584</v>
      </c>
      <c r="E16" s="13" t="s">
        <v>87</v>
      </c>
      <c r="F16" s="13" t="s">
        <v>275</v>
      </c>
      <c r="G16" s="13" t="s">
        <v>276</v>
      </c>
      <c r="H16" s="13" t="s">
        <v>277</v>
      </c>
      <c r="I16" s="28" t="s">
        <v>218</v>
      </c>
      <c r="J16" s="13" t="s">
        <v>278</v>
      </c>
    </row>
    <row r="17" customFormat="false" ht="60" hidden="false" customHeight="true" outlineLevel="0" collapsed="false">
      <c r="A17" s="13" t="s">
        <v>279</v>
      </c>
      <c r="B17" s="13" t="n">
        <v>2021</v>
      </c>
      <c r="C17" s="13" t="s">
        <v>280</v>
      </c>
      <c r="D17" s="27" t="n">
        <v>570</v>
      </c>
      <c r="E17" s="13" t="s">
        <v>87</v>
      </c>
      <c r="F17" s="13" t="s">
        <v>281</v>
      </c>
      <c r="G17" s="13" t="s">
        <v>282</v>
      </c>
      <c r="H17" s="13" t="s">
        <v>283</v>
      </c>
      <c r="I17" s="29" t="s">
        <v>199</v>
      </c>
      <c r="J17" s="13" t="s">
        <v>284</v>
      </c>
    </row>
    <row r="18" customFormat="false" ht="60" hidden="false" customHeight="true" outlineLevel="0" collapsed="false">
      <c r="A18" s="13" t="s">
        <v>285</v>
      </c>
      <c r="B18" s="13" t="n">
        <v>2023</v>
      </c>
      <c r="C18" s="13" t="s">
        <v>286</v>
      </c>
      <c r="D18" s="27" t="n">
        <v>513</v>
      </c>
      <c r="E18" s="13" t="s">
        <v>87</v>
      </c>
      <c r="F18" s="13" t="s">
        <v>287</v>
      </c>
      <c r="G18" s="13" t="s">
        <v>238</v>
      </c>
      <c r="H18" s="13" t="s">
        <v>288</v>
      </c>
      <c r="I18" s="29" t="s">
        <v>199</v>
      </c>
      <c r="J18" s="13" t="s">
        <v>289</v>
      </c>
    </row>
    <row r="19" customFormat="false" ht="60" hidden="false" customHeight="true" outlineLevel="0" collapsed="false">
      <c r="A19" s="13" t="s">
        <v>290</v>
      </c>
      <c r="B19" s="13" t="n">
        <v>2018</v>
      </c>
      <c r="C19" s="13" t="s">
        <v>291</v>
      </c>
      <c r="D19" s="27" t="n">
        <v>893</v>
      </c>
      <c r="E19" s="13" t="s">
        <v>87</v>
      </c>
      <c r="F19" s="13" t="s">
        <v>292</v>
      </c>
      <c r="G19" s="13" t="s">
        <v>293</v>
      </c>
      <c r="H19" s="13" t="s">
        <v>294</v>
      </c>
      <c r="I19" s="28" t="s">
        <v>218</v>
      </c>
      <c r="J19" s="13" t="s">
        <v>295</v>
      </c>
    </row>
    <row r="20" customFormat="false" ht="60" hidden="false" customHeight="true" outlineLevel="0" collapsed="false">
      <c r="A20" s="13" t="s">
        <v>296</v>
      </c>
      <c r="B20" s="13" t="n">
        <v>2019</v>
      </c>
      <c r="C20" s="13" t="s">
        <v>297</v>
      </c>
      <c r="D20" s="27" t="n">
        <v>750</v>
      </c>
      <c r="E20" s="13" t="s">
        <v>87</v>
      </c>
      <c r="F20" s="13" t="s">
        <v>298</v>
      </c>
      <c r="G20" s="13" t="s">
        <v>299</v>
      </c>
      <c r="H20" s="13" t="s">
        <v>300</v>
      </c>
      <c r="I20" s="28" t="s">
        <v>218</v>
      </c>
      <c r="J20" s="13" t="s">
        <v>301</v>
      </c>
    </row>
    <row r="21" customFormat="false" ht="60" hidden="false" customHeight="true" outlineLevel="0" collapsed="false">
      <c r="A21" s="13" t="s">
        <v>302</v>
      </c>
      <c r="B21" s="13" t="n">
        <v>2022</v>
      </c>
      <c r="C21" s="13" t="s">
        <v>303</v>
      </c>
      <c r="D21" s="27" t="n">
        <v>1289</v>
      </c>
      <c r="E21" s="13" t="s">
        <v>87</v>
      </c>
      <c r="F21" s="13" t="s">
        <v>304</v>
      </c>
      <c r="G21" s="13" t="s">
        <v>305</v>
      </c>
      <c r="H21" s="13" t="s">
        <v>306</v>
      </c>
      <c r="I21" s="29" t="s">
        <v>199</v>
      </c>
      <c r="J21" s="13" t="s">
        <v>307</v>
      </c>
    </row>
    <row r="23" customFormat="false" ht="15" hidden="false" customHeight="true" outlineLevel="0" collapsed="false">
      <c r="A23" s="3" t="s">
        <v>308</v>
      </c>
    </row>
    <row r="24" customFormat="false" ht="15" hidden="false" customHeight="true" outlineLevel="0" collapsed="false">
      <c r="A24" s="16" t="s">
        <v>309</v>
      </c>
      <c r="D24" s="30" t="n">
        <f aca="false">10638000/('Unit Costs'!$B$4*1000)</f>
        <v>531.9</v>
      </c>
      <c r="E24" s="16" t="s">
        <v>87</v>
      </c>
    </row>
    <row r="25" customFormat="false" ht="15" hidden="false" customHeight="true" outlineLevel="0" collapsed="false">
      <c r="A25" s="16" t="s">
        <v>310</v>
      </c>
      <c r="D25" s="30" t="n">
        <f aca="false">'Unit Costs'!D7</f>
        <v>605.3425</v>
      </c>
      <c r="E25" s="16" t="s">
        <v>87</v>
      </c>
    </row>
    <row r="26" customFormat="false" ht="15" hidden="false" customHeight="true" outlineLevel="0" collapsed="false">
      <c r="A26" s="16" t="s">
        <v>311</v>
      </c>
      <c r="D26" s="30" t="n">
        <f aca="false">'Unit Costs'!D9</f>
        <v>832.862594318262</v>
      </c>
      <c r="E26" s="16" t="s">
        <v>87</v>
      </c>
    </row>
    <row r="27" customFormat="false" ht="15" hidden="false" customHeight="true" outlineLevel="0" collapsed="false">
      <c r="A27" s="16" t="s">
        <v>312</v>
      </c>
      <c r="D27" s="30" t="n">
        <f aca="false">'Unit Costs'!D10</f>
        <v>1483.26468180641</v>
      </c>
      <c r="E27" s="16" t="s">
        <v>87</v>
      </c>
    </row>
    <row r="28" customFormat="false" ht="15" hidden="false" customHeight="true" outlineLevel="0" collapsed="false">
      <c r="A28" s="16" t="s">
        <v>313</v>
      </c>
      <c r="D28" s="30" t="n">
        <f aca="false">'Unit Costs'!D11</f>
        <v>2499.71910944753</v>
      </c>
      <c r="E28" s="16" t="s">
        <v>87</v>
      </c>
    </row>
    <row r="29" customFormat="false" ht="15" hidden="false" customHeight="true" outlineLevel="0" collapsed="false">
      <c r="A29" s="16" t="s">
        <v>314</v>
      </c>
      <c r="D29" s="30" t="n">
        <f aca="false">'Unit Costs'!D12</f>
        <v>2862.37719671208</v>
      </c>
      <c r="E29" s="16" t="s">
        <v>87</v>
      </c>
    </row>
    <row r="30" customFormat="false" ht="15" hidden="false" customHeight="true" outlineLevel="0" collapsed="false">
      <c r="A30" s="16" t="s">
        <v>315</v>
      </c>
      <c r="D30" s="30" t="n">
        <f aca="false">'Unit Costs'!D13</f>
        <v>3102.02719671208</v>
      </c>
      <c r="E30" s="16" t="s">
        <v>87</v>
      </c>
    </row>
    <row r="32" customFormat="false" ht="39.75" hidden="false" customHeight="true" outlineLevel="0" collapsed="false">
      <c r="A32" s="31" t="s">
        <v>316</v>
      </c>
      <c r="B32" s="31"/>
      <c r="C32" s="31"/>
      <c r="D32" s="31"/>
      <c r="E32" s="31"/>
      <c r="F32" s="31"/>
      <c r="G32" s="31"/>
      <c r="H32" s="31"/>
    </row>
    <row r="34" customFormat="false" ht="15" hidden="false" customHeight="true" outlineLevel="0" collapsed="false">
      <c r="A34" s="3" t="s">
        <v>317</v>
      </c>
    </row>
    <row r="35" customFormat="false" ht="45" hidden="false" customHeight="true" outlineLevel="0" collapsed="false">
      <c r="A35" s="13" t="s">
        <v>318</v>
      </c>
      <c r="B35" s="13" t="n">
        <v>2023</v>
      </c>
      <c r="C35" s="13" t="s">
        <v>319</v>
      </c>
      <c r="D35" s="32" t="n">
        <v>148</v>
      </c>
      <c r="E35" s="13" t="s">
        <v>86</v>
      </c>
      <c r="F35" s="13" t="s">
        <v>215</v>
      </c>
      <c r="G35" s="13" t="s">
        <v>320</v>
      </c>
      <c r="H35" s="13" t="s">
        <v>321</v>
      </c>
      <c r="I35" s="13" t="s">
        <v>199</v>
      </c>
      <c r="J35" s="13" t="s">
        <v>322</v>
      </c>
    </row>
    <row r="36" customFormat="false" ht="45" hidden="false" customHeight="true" outlineLevel="0" collapsed="false">
      <c r="A36" s="13" t="s">
        <v>323</v>
      </c>
      <c r="B36" s="13" t="n">
        <v>2026</v>
      </c>
      <c r="C36" s="13" t="s">
        <v>324</v>
      </c>
      <c r="D36" s="32" t="n">
        <v>664</v>
      </c>
      <c r="E36" s="13" t="s">
        <v>86</v>
      </c>
      <c r="F36" s="13" t="s">
        <v>215</v>
      </c>
      <c r="G36" s="13" t="s">
        <v>225</v>
      </c>
      <c r="H36" s="13" t="s">
        <v>325</v>
      </c>
      <c r="I36" s="13" t="s">
        <v>326</v>
      </c>
      <c r="J36" s="13" t="s">
        <v>327</v>
      </c>
    </row>
    <row r="37" customFormat="false" ht="45" hidden="false" customHeight="true" outlineLevel="0" collapsed="false">
      <c r="A37" s="13" t="s">
        <v>328</v>
      </c>
      <c r="B37" s="13" t="n">
        <v>2023</v>
      </c>
      <c r="C37" s="13" t="s">
        <v>329</v>
      </c>
      <c r="D37" s="32" t="n">
        <v>76</v>
      </c>
      <c r="E37" s="13" t="s">
        <v>86</v>
      </c>
      <c r="F37" s="13" t="s">
        <v>215</v>
      </c>
      <c r="G37" s="13" t="s">
        <v>330</v>
      </c>
      <c r="H37" s="13" t="s">
        <v>331</v>
      </c>
      <c r="I37" s="13" t="s">
        <v>199</v>
      </c>
      <c r="J37" s="13" t="s">
        <v>332</v>
      </c>
    </row>
    <row r="38" customFormat="false" ht="45" hidden="false" customHeight="true" outlineLevel="0" collapsed="false">
      <c r="A38" s="13" t="s">
        <v>333</v>
      </c>
      <c r="B38" s="13" t="n">
        <v>2023</v>
      </c>
      <c r="C38" s="13" t="s">
        <v>334</v>
      </c>
      <c r="D38" s="32" t="n">
        <v>335</v>
      </c>
      <c r="E38" s="13" t="s">
        <v>86</v>
      </c>
      <c r="F38" s="13" t="s">
        <v>215</v>
      </c>
      <c r="G38" s="13" t="s">
        <v>330</v>
      </c>
      <c r="H38" s="13" t="s">
        <v>335</v>
      </c>
      <c r="I38" s="13" t="s">
        <v>199</v>
      </c>
      <c r="J38" s="13" t="s">
        <v>336</v>
      </c>
    </row>
    <row r="39" customFormat="false" ht="45" hidden="false" customHeight="true" outlineLevel="0" collapsed="false">
      <c r="A39" s="13" t="s">
        <v>337</v>
      </c>
      <c r="B39" s="13" t="n">
        <v>2022</v>
      </c>
      <c r="C39" s="13" t="s">
        <v>338</v>
      </c>
      <c r="D39" s="32" t="n">
        <v>248</v>
      </c>
      <c r="E39" s="13" t="s">
        <v>86</v>
      </c>
      <c r="F39" s="13" t="s">
        <v>215</v>
      </c>
      <c r="G39" s="13" t="s">
        <v>330</v>
      </c>
      <c r="H39" s="13"/>
      <c r="I39" s="13" t="s">
        <v>199</v>
      </c>
      <c r="J39" s="13" t="s">
        <v>339</v>
      </c>
    </row>
    <row r="40" customFormat="false" ht="45" hidden="false" customHeight="true" outlineLevel="0" collapsed="false">
      <c r="A40" s="13" t="s">
        <v>340</v>
      </c>
      <c r="B40" s="13" t="n">
        <v>2025</v>
      </c>
      <c r="C40" s="13" t="s">
        <v>341</v>
      </c>
      <c r="D40" s="32" t="n">
        <v>524</v>
      </c>
      <c r="E40" s="13" t="s">
        <v>87</v>
      </c>
      <c r="F40" s="13" t="s">
        <v>215</v>
      </c>
      <c r="G40" s="13" t="s">
        <v>342</v>
      </c>
      <c r="H40" s="13" t="s">
        <v>343</v>
      </c>
      <c r="I40" s="13" t="s">
        <v>199</v>
      </c>
      <c r="J40" s="13" t="s">
        <v>344</v>
      </c>
    </row>
    <row r="41" customFormat="false" ht="45" hidden="false" customHeight="true" outlineLevel="0" collapsed="false">
      <c r="A41" s="13" t="s">
        <v>345</v>
      </c>
      <c r="B41" s="13" t="n">
        <v>2026</v>
      </c>
      <c r="C41" s="13" t="s">
        <v>346</v>
      </c>
      <c r="D41" s="32" t="n">
        <v>325</v>
      </c>
      <c r="E41" s="13" t="s">
        <v>87</v>
      </c>
      <c r="F41" s="13" t="s">
        <v>347</v>
      </c>
      <c r="G41" s="13" t="s">
        <v>225</v>
      </c>
      <c r="H41" s="13" t="s">
        <v>348</v>
      </c>
      <c r="I41" s="13" t="s">
        <v>218</v>
      </c>
      <c r="J41" s="13" t="s">
        <v>349</v>
      </c>
    </row>
    <row r="43" customFormat="false" ht="15" hidden="false" customHeight="true" outlineLevel="0" collapsed="false">
      <c r="A43" s="3" t="s">
        <v>317</v>
      </c>
    </row>
    <row r="44" customFormat="false" ht="45" hidden="false" customHeight="true" outlineLevel="0" collapsed="false">
      <c r="A44" s="13" t="s">
        <v>318</v>
      </c>
      <c r="B44" s="13" t="n">
        <v>2023</v>
      </c>
      <c r="C44" s="13" t="s">
        <v>319</v>
      </c>
      <c r="D44" s="32" t="n">
        <v>148</v>
      </c>
      <c r="E44" s="13" t="s">
        <v>86</v>
      </c>
      <c r="F44" s="13" t="s">
        <v>215</v>
      </c>
      <c r="G44" s="13" t="s">
        <v>320</v>
      </c>
      <c r="H44" s="13" t="s">
        <v>321</v>
      </c>
      <c r="I44" s="13" t="s">
        <v>199</v>
      </c>
      <c r="J44" s="13" t="s">
        <v>322</v>
      </c>
    </row>
    <row r="45" customFormat="false" ht="45" hidden="false" customHeight="true" outlineLevel="0" collapsed="false">
      <c r="A45" s="13" t="s">
        <v>323</v>
      </c>
      <c r="B45" s="13" t="n">
        <v>2026</v>
      </c>
      <c r="C45" s="13" t="s">
        <v>324</v>
      </c>
      <c r="D45" s="32" t="n">
        <v>664</v>
      </c>
      <c r="E45" s="13" t="s">
        <v>86</v>
      </c>
      <c r="F45" s="13" t="s">
        <v>215</v>
      </c>
      <c r="G45" s="13" t="s">
        <v>225</v>
      </c>
      <c r="H45" s="13" t="s">
        <v>325</v>
      </c>
      <c r="I45" s="13" t="s">
        <v>326</v>
      </c>
      <c r="J45" s="13" t="s">
        <v>327</v>
      </c>
    </row>
    <row r="46" customFormat="false" ht="45" hidden="false" customHeight="true" outlineLevel="0" collapsed="false">
      <c r="A46" s="13" t="s">
        <v>328</v>
      </c>
      <c r="B46" s="13" t="n">
        <v>2023</v>
      </c>
      <c r="C46" s="13" t="s">
        <v>329</v>
      </c>
      <c r="D46" s="32" t="n">
        <v>76</v>
      </c>
      <c r="E46" s="13" t="s">
        <v>86</v>
      </c>
      <c r="F46" s="13" t="s">
        <v>215</v>
      </c>
      <c r="G46" s="13" t="s">
        <v>330</v>
      </c>
      <c r="H46" s="13" t="s">
        <v>331</v>
      </c>
      <c r="I46" s="13" t="s">
        <v>199</v>
      </c>
      <c r="J46" s="13" t="s">
        <v>332</v>
      </c>
    </row>
    <row r="47" customFormat="false" ht="45" hidden="false" customHeight="true" outlineLevel="0" collapsed="false">
      <c r="A47" s="13" t="s">
        <v>333</v>
      </c>
      <c r="B47" s="13" t="n">
        <v>2023</v>
      </c>
      <c r="C47" s="13" t="s">
        <v>334</v>
      </c>
      <c r="D47" s="32" t="n">
        <v>335</v>
      </c>
      <c r="E47" s="13" t="s">
        <v>86</v>
      </c>
      <c r="F47" s="13" t="s">
        <v>215</v>
      </c>
      <c r="G47" s="13" t="s">
        <v>330</v>
      </c>
      <c r="H47" s="13" t="s">
        <v>335</v>
      </c>
      <c r="I47" s="13" t="s">
        <v>199</v>
      </c>
      <c r="J47" s="13" t="s">
        <v>336</v>
      </c>
    </row>
    <row r="48" customFormat="false" ht="45" hidden="false" customHeight="true" outlineLevel="0" collapsed="false">
      <c r="A48" s="13" t="s">
        <v>337</v>
      </c>
      <c r="B48" s="13" t="n">
        <v>2022</v>
      </c>
      <c r="C48" s="13" t="s">
        <v>338</v>
      </c>
      <c r="D48" s="32" t="n">
        <v>248</v>
      </c>
      <c r="E48" s="13" t="s">
        <v>86</v>
      </c>
      <c r="F48" s="13" t="s">
        <v>215</v>
      </c>
      <c r="G48" s="13" t="s">
        <v>330</v>
      </c>
      <c r="H48" s="13"/>
      <c r="I48" s="13" t="s">
        <v>199</v>
      </c>
      <c r="J48" s="13" t="s">
        <v>339</v>
      </c>
    </row>
    <row r="49" customFormat="false" ht="45" hidden="false" customHeight="true" outlineLevel="0" collapsed="false">
      <c r="A49" s="13" t="s">
        <v>340</v>
      </c>
      <c r="B49" s="13" t="n">
        <v>2025</v>
      </c>
      <c r="C49" s="13" t="s">
        <v>341</v>
      </c>
      <c r="D49" s="32" t="n">
        <v>524</v>
      </c>
      <c r="E49" s="13" t="s">
        <v>87</v>
      </c>
      <c r="F49" s="13" t="s">
        <v>215</v>
      </c>
      <c r="G49" s="13" t="s">
        <v>342</v>
      </c>
      <c r="H49" s="13" t="s">
        <v>343</v>
      </c>
      <c r="I49" s="13" t="s">
        <v>199</v>
      </c>
      <c r="J49" s="13" t="s">
        <v>344</v>
      </c>
    </row>
    <row r="50" customFormat="false" ht="45" hidden="false" customHeight="true" outlineLevel="0" collapsed="false">
      <c r="A50" s="13" t="s">
        <v>345</v>
      </c>
      <c r="B50" s="13" t="n">
        <v>2026</v>
      </c>
      <c r="C50" s="13" t="s">
        <v>346</v>
      </c>
      <c r="D50" s="32" t="n">
        <v>325</v>
      </c>
      <c r="E50" s="13" t="s">
        <v>87</v>
      </c>
      <c r="F50" s="13" t="s">
        <v>347</v>
      </c>
      <c r="G50" s="13" t="s">
        <v>225</v>
      </c>
      <c r="H50" s="13" t="s">
        <v>348</v>
      </c>
      <c r="I50" s="13" t="s">
        <v>218</v>
      </c>
      <c r="J50" s="13" t="s">
        <v>349</v>
      </c>
    </row>
    <row r="52" customFormat="false" ht="15" hidden="false" customHeight="true" outlineLevel="0" collapsed="false">
      <c r="A52" s="3" t="s">
        <v>317</v>
      </c>
    </row>
    <row r="53" customFormat="false" ht="45" hidden="false" customHeight="true" outlineLevel="0" collapsed="false">
      <c r="A53" s="13" t="s">
        <v>318</v>
      </c>
      <c r="B53" s="13" t="n">
        <v>2023</v>
      </c>
      <c r="C53" s="13" t="s">
        <v>319</v>
      </c>
      <c r="D53" s="32" t="n">
        <v>148</v>
      </c>
      <c r="E53" s="13" t="s">
        <v>86</v>
      </c>
      <c r="F53" s="13" t="s">
        <v>215</v>
      </c>
      <c r="G53" s="13" t="s">
        <v>320</v>
      </c>
      <c r="H53" s="13" t="s">
        <v>321</v>
      </c>
      <c r="I53" s="13" t="s">
        <v>199</v>
      </c>
      <c r="J53" s="13" t="s">
        <v>322</v>
      </c>
    </row>
    <row r="54" customFormat="false" ht="45" hidden="false" customHeight="true" outlineLevel="0" collapsed="false">
      <c r="A54" s="13" t="s">
        <v>323</v>
      </c>
      <c r="B54" s="13" t="n">
        <v>2026</v>
      </c>
      <c r="C54" s="13" t="s">
        <v>324</v>
      </c>
      <c r="D54" s="32" t="n">
        <v>664</v>
      </c>
      <c r="E54" s="13" t="s">
        <v>86</v>
      </c>
      <c r="F54" s="13" t="s">
        <v>215</v>
      </c>
      <c r="G54" s="13" t="s">
        <v>225</v>
      </c>
      <c r="H54" s="13" t="s">
        <v>325</v>
      </c>
      <c r="I54" s="13" t="s">
        <v>326</v>
      </c>
      <c r="J54" s="13" t="s">
        <v>327</v>
      </c>
    </row>
    <row r="55" customFormat="false" ht="45" hidden="false" customHeight="true" outlineLevel="0" collapsed="false">
      <c r="A55" s="13" t="s">
        <v>328</v>
      </c>
      <c r="B55" s="13" t="n">
        <v>2023</v>
      </c>
      <c r="C55" s="13" t="s">
        <v>329</v>
      </c>
      <c r="D55" s="32" t="n">
        <v>76</v>
      </c>
      <c r="E55" s="13" t="s">
        <v>86</v>
      </c>
      <c r="F55" s="13" t="s">
        <v>215</v>
      </c>
      <c r="G55" s="13" t="s">
        <v>330</v>
      </c>
      <c r="H55" s="13" t="s">
        <v>331</v>
      </c>
      <c r="I55" s="13" t="s">
        <v>199</v>
      </c>
      <c r="J55" s="13" t="s">
        <v>332</v>
      </c>
    </row>
    <row r="56" customFormat="false" ht="45" hidden="false" customHeight="true" outlineLevel="0" collapsed="false">
      <c r="A56" s="13" t="s">
        <v>333</v>
      </c>
      <c r="B56" s="13" t="n">
        <v>2023</v>
      </c>
      <c r="C56" s="13" t="s">
        <v>334</v>
      </c>
      <c r="D56" s="32" t="n">
        <v>335</v>
      </c>
      <c r="E56" s="13" t="s">
        <v>86</v>
      </c>
      <c r="F56" s="13" t="s">
        <v>215</v>
      </c>
      <c r="G56" s="13" t="s">
        <v>330</v>
      </c>
      <c r="H56" s="13" t="s">
        <v>335</v>
      </c>
      <c r="I56" s="13" t="s">
        <v>199</v>
      </c>
      <c r="J56" s="13" t="s">
        <v>336</v>
      </c>
    </row>
    <row r="57" customFormat="false" ht="45" hidden="false" customHeight="true" outlineLevel="0" collapsed="false">
      <c r="A57" s="13" t="s">
        <v>337</v>
      </c>
      <c r="B57" s="13" t="n">
        <v>2022</v>
      </c>
      <c r="C57" s="13" t="s">
        <v>338</v>
      </c>
      <c r="D57" s="32" t="n">
        <v>248</v>
      </c>
      <c r="E57" s="13" t="s">
        <v>86</v>
      </c>
      <c r="F57" s="13" t="s">
        <v>215</v>
      </c>
      <c r="G57" s="13" t="s">
        <v>330</v>
      </c>
      <c r="H57" s="13"/>
      <c r="I57" s="13" t="s">
        <v>199</v>
      </c>
      <c r="J57" s="13" t="s">
        <v>339</v>
      </c>
    </row>
    <row r="58" customFormat="false" ht="45" hidden="false" customHeight="true" outlineLevel="0" collapsed="false">
      <c r="A58" s="13" t="s">
        <v>340</v>
      </c>
      <c r="B58" s="13" t="n">
        <v>2025</v>
      </c>
      <c r="C58" s="13" t="s">
        <v>341</v>
      </c>
      <c r="D58" s="32" t="n">
        <v>524</v>
      </c>
      <c r="E58" s="13" t="s">
        <v>87</v>
      </c>
      <c r="F58" s="13" t="s">
        <v>215</v>
      </c>
      <c r="G58" s="13" t="s">
        <v>342</v>
      </c>
      <c r="H58" s="13" t="s">
        <v>343</v>
      </c>
      <c r="I58" s="13" t="s">
        <v>199</v>
      </c>
      <c r="J58" s="13" t="s">
        <v>344</v>
      </c>
    </row>
    <row r="59" customFormat="false" ht="45" hidden="false" customHeight="true" outlineLevel="0" collapsed="false">
      <c r="A59" s="13" t="s">
        <v>345</v>
      </c>
      <c r="B59" s="13" t="n">
        <v>2026</v>
      </c>
      <c r="C59" s="13" t="s">
        <v>346</v>
      </c>
      <c r="D59" s="32" t="n">
        <v>325</v>
      </c>
      <c r="E59" s="13" t="s">
        <v>87</v>
      </c>
      <c r="F59" s="13" t="s">
        <v>347</v>
      </c>
      <c r="G59" s="13" t="s">
        <v>225</v>
      </c>
      <c r="H59" s="13" t="s">
        <v>348</v>
      </c>
      <c r="I59" s="13" t="s">
        <v>218</v>
      </c>
      <c r="J59" s="13" t="s">
        <v>349</v>
      </c>
    </row>
    <row r="61" customFormat="false" ht="15" hidden="false" customHeight="true" outlineLevel="0" collapsed="false">
      <c r="A61" s="3" t="s">
        <v>317</v>
      </c>
    </row>
    <row r="62" customFormat="false" ht="45" hidden="false" customHeight="true" outlineLevel="0" collapsed="false">
      <c r="A62" s="13" t="s">
        <v>318</v>
      </c>
      <c r="B62" s="13" t="n">
        <v>2023</v>
      </c>
      <c r="C62" s="13" t="s">
        <v>319</v>
      </c>
      <c r="D62" s="32" t="n">
        <v>148</v>
      </c>
      <c r="E62" s="13" t="s">
        <v>86</v>
      </c>
      <c r="F62" s="13" t="s">
        <v>215</v>
      </c>
      <c r="G62" s="13" t="s">
        <v>320</v>
      </c>
      <c r="H62" s="13" t="s">
        <v>321</v>
      </c>
      <c r="I62" s="13" t="s">
        <v>199</v>
      </c>
      <c r="J62" s="13" t="s">
        <v>322</v>
      </c>
    </row>
    <row r="63" customFormat="false" ht="45" hidden="false" customHeight="true" outlineLevel="0" collapsed="false">
      <c r="A63" s="13" t="s">
        <v>323</v>
      </c>
      <c r="B63" s="13" t="n">
        <v>2026</v>
      </c>
      <c r="C63" s="13" t="s">
        <v>324</v>
      </c>
      <c r="D63" s="32" t="n">
        <v>664</v>
      </c>
      <c r="E63" s="13" t="s">
        <v>86</v>
      </c>
      <c r="F63" s="13" t="s">
        <v>215</v>
      </c>
      <c r="G63" s="13" t="s">
        <v>225</v>
      </c>
      <c r="H63" s="13" t="s">
        <v>325</v>
      </c>
      <c r="I63" s="13" t="s">
        <v>326</v>
      </c>
      <c r="J63" s="13" t="s">
        <v>327</v>
      </c>
    </row>
    <row r="64" customFormat="false" ht="45" hidden="false" customHeight="true" outlineLevel="0" collapsed="false">
      <c r="A64" s="13" t="s">
        <v>328</v>
      </c>
      <c r="B64" s="13" t="n">
        <v>2023</v>
      </c>
      <c r="C64" s="13" t="s">
        <v>329</v>
      </c>
      <c r="D64" s="32" t="n">
        <v>76</v>
      </c>
      <c r="E64" s="13" t="s">
        <v>86</v>
      </c>
      <c r="F64" s="13" t="s">
        <v>215</v>
      </c>
      <c r="G64" s="13" t="s">
        <v>330</v>
      </c>
      <c r="H64" s="13" t="s">
        <v>331</v>
      </c>
      <c r="I64" s="13" t="s">
        <v>199</v>
      </c>
      <c r="J64" s="13" t="s">
        <v>332</v>
      </c>
    </row>
    <row r="65" customFormat="false" ht="45" hidden="false" customHeight="true" outlineLevel="0" collapsed="false">
      <c r="A65" s="13" t="s">
        <v>333</v>
      </c>
      <c r="B65" s="13" t="n">
        <v>2023</v>
      </c>
      <c r="C65" s="13" t="s">
        <v>334</v>
      </c>
      <c r="D65" s="32" t="n">
        <v>335</v>
      </c>
      <c r="E65" s="13" t="s">
        <v>86</v>
      </c>
      <c r="F65" s="13" t="s">
        <v>215</v>
      </c>
      <c r="G65" s="13" t="s">
        <v>330</v>
      </c>
      <c r="H65" s="13" t="s">
        <v>335</v>
      </c>
      <c r="I65" s="13" t="s">
        <v>199</v>
      </c>
      <c r="J65" s="13" t="s">
        <v>336</v>
      </c>
    </row>
    <row r="66" customFormat="false" ht="45" hidden="false" customHeight="true" outlineLevel="0" collapsed="false">
      <c r="A66" s="13" t="s">
        <v>337</v>
      </c>
      <c r="B66" s="13" t="n">
        <v>2022</v>
      </c>
      <c r="C66" s="13" t="s">
        <v>338</v>
      </c>
      <c r="D66" s="32" t="n">
        <v>248</v>
      </c>
      <c r="E66" s="13" t="s">
        <v>86</v>
      </c>
      <c r="F66" s="13" t="s">
        <v>215</v>
      </c>
      <c r="G66" s="13" t="s">
        <v>330</v>
      </c>
      <c r="H66" s="13"/>
      <c r="I66" s="13" t="s">
        <v>199</v>
      </c>
      <c r="J66" s="13" t="s">
        <v>339</v>
      </c>
    </row>
    <row r="67" customFormat="false" ht="45" hidden="false" customHeight="true" outlineLevel="0" collapsed="false">
      <c r="A67" s="13" t="s">
        <v>340</v>
      </c>
      <c r="B67" s="13" t="n">
        <v>2025</v>
      </c>
      <c r="C67" s="13" t="s">
        <v>341</v>
      </c>
      <c r="D67" s="32" t="n">
        <v>524</v>
      </c>
      <c r="E67" s="13" t="s">
        <v>87</v>
      </c>
      <c r="F67" s="13" t="s">
        <v>215</v>
      </c>
      <c r="G67" s="13" t="s">
        <v>342</v>
      </c>
      <c r="H67" s="13" t="s">
        <v>343</v>
      </c>
      <c r="I67" s="13" t="s">
        <v>199</v>
      </c>
      <c r="J67" s="13" t="s">
        <v>344</v>
      </c>
    </row>
    <row r="68" customFormat="false" ht="45" hidden="false" customHeight="true" outlineLevel="0" collapsed="false">
      <c r="A68" s="13" t="s">
        <v>345</v>
      </c>
      <c r="B68" s="13" t="n">
        <v>2026</v>
      </c>
      <c r="C68" s="13" t="s">
        <v>346</v>
      </c>
      <c r="D68" s="32" t="n">
        <v>325</v>
      </c>
      <c r="E68" s="13" t="s">
        <v>87</v>
      </c>
      <c r="F68" s="13" t="s">
        <v>347</v>
      </c>
      <c r="G68" s="13" t="s">
        <v>225</v>
      </c>
      <c r="H68" s="13" t="s">
        <v>348</v>
      </c>
      <c r="I68" s="13" t="s">
        <v>218</v>
      </c>
      <c r="J68" s="13" t="s">
        <v>349</v>
      </c>
    </row>
    <row r="70" customFormat="false" ht="15" hidden="false" customHeight="false" outlineLevel="0" collapsed="false">
      <c r="A70" s="7" t="s">
        <v>317</v>
      </c>
    </row>
    <row r="71" customFormat="false" ht="45" hidden="false" customHeight="true" outlineLevel="0" collapsed="false">
      <c r="A71" s="13" t="s">
        <v>318</v>
      </c>
      <c r="B71" s="13" t="n">
        <v>2023</v>
      </c>
      <c r="C71" s="13" t="s">
        <v>319</v>
      </c>
      <c r="D71" s="32" t="n">
        <v>148</v>
      </c>
      <c r="E71" s="13" t="s">
        <v>86</v>
      </c>
      <c r="F71" s="13" t="s">
        <v>215</v>
      </c>
      <c r="G71" s="13" t="s">
        <v>320</v>
      </c>
      <c r="H71" s="13" t="s">
        <v>321</v>
      </c>
      <c r="I71" s="13" t="s">
        <v>199</v>
      </c>
      <c r="J71" s="13" t="s">
        <v>322</v>
      </c>
    </row>
    <row r="72" customFormat="false" ht="45" hidden="false" customHeight="true" outlineLevel="0" collapsed="false">
      <c r="A72" s="13" t="s">
        <v>323</v>
      </c>
      <c r="B72" s="13" t="n">
        <v>2026</v>
      </c>
      <c r="C72" s="13" t="s">
        <v>324</v>
      </c>
      <c r="D72" s="32" t="n">
        <v>664</v>
      </c>
      <c r="E72" s="13" t="s">
        <v>86</v>
      </c>
      <c r="F72" s="13" t="s">
        <v>215</v>
      </c>
      <c r="G72" s="13" t="s">
        <v>225</v>
      </c>
      <c r="H72" s="13" t="s">
        <v>325</v>
      </c>
      <c r="I72" s="13" t="s">
        <v>326</v>
      </c>
      <c r="J72" s="13" t="s">
        <v>327</v>
      </c>
    </row>
    <row r="73" customFormat="false" ht="45" hidden="false" customHeight="true" outlineLevel="0" collapsed="false">
      <c r="A73" s="13" t="s">
        <v>328</v>
      </c>
      <c r="B73" s="13" t="n">
        <v>2023</v>
      </c>
      <c r="C73" s="13" t="s">
        <v>329</v>
      </c>
      <c r="D73" s="32" t="n">
        <v>76</v>
      </c>
      <c r="E73" s="13" t="s">
        <v>86</v>
      </c>
      <c r="F73" s="13" t="s">
        <v>215</v>
      </c>
      <c r="G73" s="13" t="s">
        <v>330</v>
      </c>
      <c r="H73" s="13" t="s">
        <v>331</v>
      </c>
      <c r="I73" s="13" t="s">
        <v>199</v>
      </c>
      <c r="J73" s="13" t="s">
        <v>332</v>
      </c>
    </row>
    <row r="74" customFormat="false" ht="45" hidden="false" customHeight="true" outlineLevel="0" collapsed="false">
      <c r="A74" s="13" t="s">
        <v>333</v>
      </c>
      <c r="B74" s="13" t="n">
        <v>2023</v>
      </c>
      <c r="C74" s="13" t="s">
        <v>334</v>
      </c>
      <c r="D74" s="32" t="n">
        <v>335</v>
      </c>
      <c r="E74" s="13" t="s">
        <v>86</v>
      </c>
      <c r="F74" s="13" t="s">
        <v>215</v>
      </c>
      <c r="G74" s="13" t="s">
        <v>330</v>
      </c>
      <c r="H74" s="13" t="s">
        <v>335</v>
      </c>
      <c r="I74" s="13" t="s">
        <v>199</v>
      </c>
      <c r="J74" s="13" t="s">
        <v>336</v>
      </c>
    </row>
    <row r="75" customFormat="false" ht="45" hidden="false" customHeight="true" outlineLevel="0" collapsed="false">
      <c r="A75" s="13" t="s">
        <v>337</v>
      </c>
      <c r="B75" s="13" t="n">
        <v>2022</v>
      </c>
      <c r="C75" s="13" t="s">
        <v>338</v>
      </c>
      <c r="D75" s="32" t="n">
        <v>248</v>
      </c>
      <c r="E75" s="13" t="s">
        <v>86</v>
      </c>
      <c r="F75" s="13" t="s">
        <v>215</v>
      </c>
      <c r="G75" s="13" t="s">
        <v>330</v>
      </c>
      <c r="H75" s="13"/>
      <c r="I75" s="13" t="s">
        <v>199</v>
      </c>
      <c r="J75" s="13" t="s">
        <v>339</v>
      </c>
    </row>
    <row r="76" customFormat="false" ht="45" hidden="false" customHeight="true" outlineLevel="0" collapsed="false">
      <c r="A76" s="13" t="s">
        <v>340</v>
      </c>
      <c r="B76" s="13" t="n">
        <v>2025</v>
      </c>
      <c r="C76" s="13" t="s">
        <v>341</v>
      </c>
      <c r="D76" s="32" t="n">
        <v>524</v>
      </c>
      <c r="E76" s="13" t="s">
        <v>87</v>
      </c>
      <c r="F76" s="13" t="s">
        <v>215</v>
      </c>
      <c r="G76" s="13" t="s">
        <v>342</v>
      </c>
      <c r="H76" s="13" t="s">
        <v>343</v>
      </c>
      <c r="I76" s="13" t="s">
        <v>199</v>
      </c>
      <c r="J76" s="13" t="s">
        <v>344</v>
      </c>
    </row>
    <row r="77" customFormat="false" ht="45" hidden="false" customHeight="true" outlineLevel="0" collapsed="false">
      <c r="A77" s="13" t="s">
        <v>345</v>
      </c>
      <c r="B77" s="13" t="n">
        <v>2026</v>
      </c>
      <c r="C77" s="13" t="s">
        <v>346</v>
      </c>
      <c r="D77" s="32" t="n">
        <v>325</v>
      </c>
      <c r="E77" s="13" t="s">
        <v>87</v>
      </c>
      <c r="F77" s="13" t="s">
        <v>347</v>
      </c>
      <c r="G77" s="13" t="s">
        <v>225</v>
      </c>
      <c r="H77" s="13" t="s">
        <v>348</v>
      </c>
      <c r="I77" s="13" t="s">
        <v>218</v>
      </c>
      <c r="J77" s="13" t="s">
        <v>349</v>
      </c>
    </row>
  </sheetData>
  <mergeCells count="1">
    <mergeCell ref="A32:H3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6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44"/>
    <col collapsed="false" customWidth="true" hidden="false" outlineLevel="0" max="2" min="2" style="1" width="30"/>
    <col collapsed="false" customWidth="true" hidden="false" outlineLevel="0" max="3" min="3" style="1" width="16"/>
    <col collapsed="false" customWidth="true" hidden="false" outlineLevel="0" max="4" min="4" style="1" width="34"/>
    <col collapsed="false" customWidth="true" hidden="false" outlineLevel="0" max="5" min="5" style="1" width="60"/>
    <col collapsed="false" customWidth="true" hidden="false" outlineLevel="0" max="6" min="6" style="1" width="12"/>
    <col collapsed="false" customWidth="true" hidden="false" outlineLevel="0" max="7" min="7" style="1" width="60"/>
  </cols>
  <sheetData>
    <row r="1" customFormat="false" ht="17.25" hidden="false" customHeight="true" outlineLevel="0" collapsed="false">
      <c r="A1" s="33" t="s">
        <v>350</v>
      </c>
    </row>
    <row r="2" customFormat="false" ht="15" hidden="false" customHeight="true" outlineLevel="0" collapsed="false">
      <c r="A2" s="34" t="s">
        <v>351</v>
      </c>
    </row>
    <row r="4" customFormat="false" ht="15" hidden="false" customHeight="true" outlineLevel="0" collapsed="false">
      <c r="A4" s="5" t="s">
        <v>352</v>
      </c>
    </row>
    <row r="5" customFormat="false" ht="15" hidden="false" customHeight="true" outlineLevel="0" collapsed="false">
      <c r="A5" s="35" t="s">
        <v>204</v>
      </c>
      <c r="B5" s="35" t="s">
        <v>353</v>
      </c>
      <c r="C5" s="35" t="s">
        <v>87</v>
      </c>
      <c r="D5" s="35" t="s">
        <v>354</v>
      </c>
      <c r="E5" s="35" t="s">
        <v>355</v>
      </c>
      <c r="F5" s="35" t="s">
        <v>211</v>
      </c>
      <c r="G5" s="35" t="s">
        <v>203</v>
      </c>
    </row>
    <row r="6" customFormat="false" ht="15" hidden="false" customHeight="true" outlineLevel="0" collapsed="false">
      <c r="A6" s="36" t="n">
        <v>2015</v>
      </c>
      <c r="B6" s="6" t="s">
        <v>356</v>
      </c>
      <c r="C6" s="36" t="n">
        <v>2152</v>
      </c>
      <c r="D6" s="6" t="s">
        <v>357</v>
      </c>
      <c r="E6" s="6" t="s">
        <v>358</v>
      </c>
      <c r="F6" s="6" t="s">
        <v>199</v>
      </c>
      <c r="G6" s="6" t="s">
        <v>359</v>
      </c>
    </row>
    <row r="7" customFormat="false" ht="15" hidden="false" customHeight="true" outlineLevel="0" collapsed="false">
      <c r="A7" s="36" t="n">
        <v>2017</v>
      </c>
      <c r="B7" s="6" t="s">
        <v>356</v>
      </c>
      <c r="C7" s="36" t="n">
        <v>834</v>
      </c>
      <c r="D7" s="6" t="s">
        <v>357</v>
      </c>
      <c r="E7" s="6" t="s">
        <v>358</v>
      </c>
      <c r="F7" s="6" t="s">
        <v>199</v>
      </c>
      <c r="G7" s="6" t="s">
        <v>359</v>
      </c>
    </row>
    <row r="8" customFormat="false" ht="15" hidden="false" customHeight="true" outlineLevel="0" collapsed="false">
      <c r="A8" s="36" t="n">
        <v>2018</v>
      </c>
      <c r="B8" s="6" t="s">
        <v>356</v>
      </c>
      <c r="C8" s="36" t="n">
        <v>625</v>
      </c>
      <c r="D8" s="6" t="s">
        <v>357</v>
      </c>
      <c r="E8" s="6" t="s">
        <v>358</v>
      </c>
      <c r="F8" s="6" t="s">
        <v>199</v>
      </c>
      <c r="G8" s="6" t="s">
        <v>359</v>
      </c>
    </row>
    <row r="9" customFormat="false" ht="15" hidden="false" customHeight="true" outlineLevel="0" collapsed="false">
      <c r="A9" s="36" t="n">
        <v>2022</v>
      </c>
      <c r="B9" s="6" t="s">
        <v>360</v>
      </c>
      <c r="C9" s="36" t="n">
        <v>324</v>
      </c>
      <c r="D9" s="6" t="s">
        <v>361</v>
      </c>
      <c r="E9" s="6" t="s">
        <v>362</v>
      </c>
      <c r="F9" s="6" t="s">
        <v>218</v>
      </c>
      <c r="G9" s="6" t="s">
        <v>363</v>
      </c>
    </row>
    <row r="10" customFormat="false" ht="15" hidden="false" customHeight="true" outlineLevel="0" collapsed="false">
      <c r="A10" s="36" t="n">
        <v>2023</v>
      </c>
      <c r="B10" s="6" t="s">
        <v>360</v>
      </c>
      <c r="C10" s="36" t="n">
        <v>263</v>
      </c>
      <c r="D10" s="6" t="s">
        <v>361</v>
      </c>
      <c r="E10" s="6" t="s">
        <v>362</v>
      </c>
      <c r="F10" s="6" t="s">
        <v>218</v>
      </c>
      <c r="G10" s="6" t="s">
        <v>363</v>
      </c>
    </row>
    <row r="11" customFormat="false" ht="15" hidden="false" customHeight="true" outlineLevel="0" collapsed="false">
      <c r="A11" s="36" t="n">
        <v>2024</v>
      </c>
      <c r="B11" s="6" t="s">
        <v>360</v>
      </c>
      <c r="C11" s="36" t="n">
        <v>165</v>
      </c>
      <c r="D11" s="6" t="s">
        <v>361</v>
      </c>
      <c r="E11" s="6" t="s">
        <v>362</v>
      </c>
      <c r="F11" s="6" t="s">
        <v>218</v>
      </c>
      <c r="G11" s="6" t="s">
        <v>363</v>
      </c>
    </row>
    <row r="12" customFormat="false" ht="15" hidden="false" customHeight="true" outlineLevel="0" collapsed="false">
      <c r="A12" s="36" t="n">
        <v>2025</v>
      </c>
      <c r="B12" s="6" t="s">
        <v>360</v>
      </c>
      <c r="C12" s="36" t="n">
        <v>117</v>
      </c>
      <c r="D12" s="6" t="s">
        <v>361</v>
      </c>
      <c r="E12" s="6" t="s">
        <v>362</v>
      </c>
      <c r="F12" s="6" t="s">
        <v>218</v>
      </c>
      <c r="G12" s="6" t="s">
        <v>363</v>
      </c>
    </row>
    <row r="13" customFormat="false" ht="15" hidden="false" customHeight="true" outlineLevel="0" collapsed="false">
      <c r="A13" s="36" t="n">
        <v>2024</v>
      </c>
      <c r="B13" s="6" t="s">
        <v>364</v>
      </c>
      <c r="C13" s="36" t="n">
        <v>236</v>
      </c>
      <c r="D13" s="6" t="s">
        <v>361</v>
      </c>
      <c r="E13" s="6" t="s">
        <v>365</v>
      </c>
      <c r="F13" s="6" t="s">
        <v>218</v>
      </c>
      <c r="G13" s="6" t="s">
        <v>233</v>
      </c>
    </row>
    <row r="14" customFormat="false" ht="15" hidden="false" customHeight="true" outlineLevel="0" collapsed="false">
      <c r="A14" s="36" t="n">
        <v>2025</v>
      </c>
      <c r="B14" s="6" t="s">
        <v>364</v>
      </c>
      <c r="C14" s="36" t="n">
        <v>219</v>
      </c>
      <c r="D14" s="6" t="s">
        <v>361</v>
      </c>
      <c r="E14" s="6" t="s">
        <v>365</v>
      </c>
      <c r="F14" s="6" t="s">
        <v>218</v>
      </c>
      <c r="G14" s="6" t="s">
        <v>233</v>
      </c>
    </row>
    <row r="15" customFormat="false" ht="15" hidden="false" customHeight="true" outlineLevel="0" collapsed="false">
      <c r="A15" s="36" t="n">
        <v>2024</v>
      </c>
      <c r="B15" s="6" t="s">
        <v>366</v>
      </c>
      <c r="C15" s="36" t="n">
        <v>334</v>
      </c>
      <c r="D15" s="6" t="s">
        <v>367</v>
      </c>
      <c r="E15" s="6" t="s">
        <v>368</v>
      </c>
      <c r="F15" s="6" t="s">
        <v>369</v>
      </c>
      <c r="G15" s="6" t="s">
        <v>245</v>
      </c>
    </row>
    <row r="16" customFormat="false" ht="15" hidden="false" customHeight="true" outlineLevel="0" collapsed="false">
      <c r="A16" s="36" t="n">
        <v>2028</v>
      </c>
      <c r="B16" s="6" t="s">
        <v>366</v>
      </c>
      <c r="C16" s="36" t="n">
        <v>302</v>
      </c>
      <c r="D16" s="6" t="s">
        <v>367</v>
      </c>
      <c r="E16" s="6" t="s">
        <v>368</v>
      </c>
      <c r="F16" s="6" t="s">
        <v>369</v>
      </c>
      <c r="G16" s="6" t="s">
        <v>245</v>
      </c>
    </row>
    <row r="17" customFormat="false" ht="15" hidden="false" customHeight="true" outlineLevel="0" collapsed="false">
      <c r="A17" s="36" t="n">
        <v>2035</v>
      </c>
      <c r="B17" s="6" t="s">
        <v>366</v>
      </c>
      <c r="C17" s="36" t="n">
        <v>247</v>
      </c>
      <c r="D17" s="6" t="s">
        <v>367</v>
      </c>
      <c r="E17" s="6" t="s">
        <v>368</v>
      </c>
      <c r="F17" s="6" t="s">
        <v>369</v>
      </c>
      <c r="G17" s="6" t="s">
        <v>245</v>
      </c>
    </row>
    <row r="19" customFormat="false" ht="15" hidden="false" customHeight="true" outlineLevel="0" collapsed="false">
      <c r="A19" s="5" t="s">
        <v>370</v>
      </c>
    </row>
    <row r="20" customFormat="false" ht="15" hidden="false" customHeight="true" outlineLevel="0" collapsed="false">
      <c r="A20" s="35" t="s">
        <v>371</v>
      </c>
      <c r="B20" s="35" t="s">
        <v>372</v>
      </c>
      <c r="C20" s="35" t="s">
        <v>87</v>
      </c>
      <c r="D20" s="35" t="s">
        <v>373</v>
      </c>
    </row>
    <row r="21" customFormat="false" ht="15" hidden="false" customHeight="true" outlineLevel="0" collapsed="false">
      <c r="A21" s="36" t="n">
        <v>2023.5</v>
      </c>
      <c r="B21" s="6" t="s">
        <v>374</v>
      </c>
      <c r="C21" s="37" t="n">
        <v>479</v>
      </c>
      <c r="D21" s="6" t="s">
        <v>375</v>
      </c>
    </row>
    <row r="22" customFormat="false" ht="15" hidden="false" customHeight="true" outlineLevel="0" collapsed="false">
      <c r="A22" s="36" t="n">
        <v>2023.5</v>
      </c>
      <c r="B22" s="6" t="s">
        <v>376</v>
      </c>
      <c r="C22" s="37" t="n">
        <v>911</v>
      </c>
      <c r="D22" s="6" t="s">
        <v>375</v>
      </c>
    </row>
    <row r="23" customFormat="false" ht="15" hidden="false" customHeight="true" outlineLevel="0" collapsed="false">
      <c r="A23" s="36" t="n">
        <v>2026.2</v>
      </c>
      <c r="B23" s="6" t="s">
        <v>377</v>
      </c>
      <c r="C23" s="38" t="n">
        <f aca="false">Layers!B25/20000*10638000/12106850</f>
        <v>531.9</v>
      </c>
      <c r="D23" s="6" t="s">
        <v>378</v>
      </c>
    </row>
    <row r="24" customFormat="false" ht="15" hidden="false" customHeight="true" outlineLevel="0" collapsed="false">
      <c r="A24" s="36" t="n">
        <v>2026.2</v>
      </c>
      <c r="B24" s="6" t="s">
        <v>379</v>
      </c>
      <c r="C24" s="38" t="n">
        <f aca="false">Layers!B25/20000</f>
        <v>605.3425</v>
      </c>
      <c r="D24" s="6" t="s">
        <v>380</v>
      </c>
    </row>
    <row r="25" customFormat="false" ht="15" hidden="false" customHeight="true" outlineLevel="0" collapsed="false">
      <c r="A25" s="36" t="n">
        <v>2026.75</v>
      </c>
      <c r="B25" s="6" t="s">
        <v>381</v>
      </c>
      <c r="C25" s="38" t="n">
        <f aca="false">Layers!B5/20000</f>
        <v>649.555191294395</v>
      </c>
      <c r="D25" s="6" t="s">
        <v>382</v>
      </c>
    </row>
    <row r="26" customFormat="false" ht="15" hidden="false" customHeight="true" outlineLevel="0" collapsed="false">
      <c r="A26" s="36" t="n">
        <v>2026.75</v>
      </c>
      <c r="B26" s="6" t="s">
        <v>383</v>
      </c>
      <c r="C26" s="38" t="n">
        <f aca="false">(Layers!B5+Layers!B6+Layers!B7)/20000</f>
        <v>832.862594318262</v>
      </c>
      <c r="D26" s="6" t="s">
        <v>384</v>
      </c>
    </row>
    <row r="28" customFormat="false" ht="15" hidden="false" customHeight="true" outlineLevel="0" collapsed="false">
      <c r="A28" s="5" t="s">
        <v>385</v>
      </c>
    </row>
    <row r="29" customFormat="false" ht="15" hidden="false" customHeight="true" outlineLevel="0" collapsed="false">
      <c r="A29" s="35" t="s">
        <v>386</v>
      </c>
      <c r="B29" s="35" t="s">
        <v>206</v>
      </c>
      <c r="C29" s="35" t="s">
        <v>387</v>
      </c>
    </row>
    <row r="30" customFormat="false" ht="15" hidden="false" customHeight="true" outlineLevel="0" collapsed="false">
      <c r="A30" s="6" t="s">
        <v>388</v>
      </c>
      <c r="B30" s="39" t="n">
        <v>1.3</v>
      </c>
      <c r="C30" s="6" t="s">
        <v>389</v>
      </c>
    </row>
    <row r="31" customFormat="false" ht="15" hidden="false" customHeight="true" outlineLevel="0" collapsed="false">
      <c r="A31" s="6" t="s">
        <v>390</v>
      </c>
      <c r="B31" s="39" t="n">
        <v>1.5</v>
      </c>
      <c r="C31" s="6" t="s">
        <v>391</v>
      </c>
    </row>
    <row r="32" customFormat="false" ht="15" hidden="false" customHeight="true" outlineLevel="0" collapsed="false">
      <c r="A32" s="6" t="s">
        <v>392</v>
      </c>
      <c r="B32" s="39" t="n">
        <v>-0.173</v>
      </c>
      <c r="C32" s="6" t="s">
        <v>393</v>
      </c>
    </row>
    <row r="33" customFormat="false" ht="15" hidden="false" customHeight="true" outlineLevel="0" collapsed="false">
      <c r="A33" s="6" t="s">
        <v>394</v>
      </c>
      <c r="B33" s="40" t="n">
        <v>240</v>
      </c>
      <c r="C33" s="6" t="s">
        <v>395</v>
      </c>
    </row>
    <row r="34" customFormat="false" ht="15" hidden="false" customHeight="true" outlineLevel="0" collapsed="false">
      <c r="A34" s="6" t="s">
        <v>396</v>
      </c>
      <c r="B34" s="40" t="n">
        <v>20</v>
      </c>
      <c r="C34" s="6"/>
    </row>
    <row r="35" customFormat="false" ht="15" hidden="false" customHeight="true" outlineLevel="0" collapsed="false">
      <c r="A35" s="6" t="s">
        <v>397</v>
      </c>
      <c r="B35" s="41" t="n">
        <f aca="false">(B34/B33)^B32</f>
        <v>1.53708666750539</v>
      </c>
      <c r="C35" s="6" t="s">
        <v>398</v>
      </c>
    </row>
    <row r="36" customFormat="false" ht="15" hidden="false" customHeight="true" outlineLevel="0" collapsed="false">
      <c r="A36" s="6" t="s">
        <v>399</v>
      </c>
      <c r="B36" s="41" t="n">
        <f aca="false">B30*B35</f>
        <v>1.99821266775701</v>
      </c>
      <c r="C36" s="6"/>
    </row>
    <row r="37" customFormat="false" ht="15" hidden="false" customHeight="true" outlineLevel="0" collapsed="false">
      <c r="A37" s="6" t="s">
        <v>400</v>
      </c>
      <c r="B37" s="41" t="n">
        <f aca="false">B31*B35</f>
        <v>2.30563000125808</v>
      </c>
      <c r="C37" s="6"/>
    </row>
    <row r="38" customFormat="false" ht="15" hidden="false" customHeight="true" outlineLevel="0" collapsed="false">
      <c r="A38" s="6" t="s">
        <v>401</v>
      </c>
      <c r="B38" s="38" t="n">
        <f aca="false">219*B36</f>
        <v>437.608574238784</v>
      </c>
      <c r="C38" s="6" t="s">
        <v>402</v>
      </c>
    </row>
    <row r="39" customFormat="false" ht="15" hidden="false" customHeight="true" outlineLevel="0" collapsed="false">
      <c r="A39" s="6" t="s">
        <v>403</v>
      </c>
      <c r="B39" s="38" t="n">
        <f aca="false">219*B37</f>
        <v>504.93297027552</v>
      </c>
      <c r="C39" s="6"/>
    </row>
    <row r="40" customFormat="false" ht="15" hidden="false" customHeight="true" outlineLevel="0" collapsed="false">
      <c r="A40" s="6" t="s">
        <v>404</v>
      </c>
      <c r="B40" s="38" t="n">
        <f aca="false">334*(1+B43)^4</f>
        <v>375.91994254</v>
      </c>
      <c r="C40" s="6"/>
    </row>
    <row r="41" customFormat="false" ht="15" hidden="false" customHeight="true" outlineLevel="0" collapsed="false">
      <c r="A41" s="6" t="s">
        <v>405</v>
      </c>
      <c r="B41" s="38" t="n">
        <f aca="false">B40*B36</f>
        <v>751.167991245914</v>
      </c>
      <c r="C41" s="6" t="s">
        <v>406</v>
      </c>
    </row>
    <row r="42" customFormat="false" ht="15" hidden="false" customHeight="true" outlineLevel="0" collapsed="false">
      <c r="A42" s="6" t="s">
        <v>407</v>
      </c>
      <c r="B42" s="38" t="n">
        <f aca="false">B40*B37</f>
        <v>866.732297591439</v>
      </c>
      <c r="C42" s="6"/>
    </row>
    <row r="43" customFormat="false" ht="15" hidden="false" customHeight="true" outlineLevel="0" collapsed="false">
      <c r="A43" s="6" t="s">
        <v>408</v>
      </c>
      <c r="B43" s="39" t="n">
        <v>0.03</v>
      </c>
      <c r="C43" s="6" t="s">
        <v>409</v>
      </c>
    </row>
    <row r="45" customFormat="false" ht="15" hidden="false" customHeight="true" outlineLevel="0" collapsed="false">
      <c r="A45" s="5" t="s">
        <v>410</v>
      </c>
    </row>
    <row r="46" customFormat="false" ht="15" hidden="false" customHeight="true" outlineLevel="0" collapsed="false">
      <c r="A46" s="35" t="s">
        <v>411</v>
      </c>
      <c r="B46" s="35" t="s">
        <v>412</v>
      </c>
      <c r="C46" s="35" t="s">
        <v>87</v>
      </c>
      <c r="D46" s="35" t="s">
        <v>387</v>
      </c>
    </row>
    <row r="47" customFormat="false" ht="15" hidden="false" customHeight="true" outlineLevel="0" collapsed="false">
      <c r="A47" s="6" t="s">
        <v>413</v>
      </c>
      <c r="B47" s="37" t="n">
        <v>2622100</v>
      </c>
      <c r="C47" s="38" t="n">
        <f aca="false">B47/20000</f>
        <v>131.105</v>
      </c>
      <c r="D47" s="6" t="s">
        <v>414</v>
      </c>
    </row>
    <row r="48" customFormat="false" ht="15" hidden="false" customHeight="true" outlineLevel="0" collapsed="false">
      <c r="A48" s="6" t="s">
        <v>415</v>
      </c>
      <c r="B48" s="37" t="n">
        <v>326100</v>
      </c>
      <c r="C48" s="38" t="n">
        <f aca="false">B48/20000</f>
        <v>16.305</v>
      </c>
      <c r="D48" s="6" t="s">
        <v>416</v>
      </c>
    </row>
    <row r="49" customFormat="false" ht="15" hidden="false" customHeight="true" outlineLevel="0" collapsed="false">
      <c r="A49" s="6" t="s">
        <v>417</v>
      </c>
      <c r="B49" s="38" t="n">
        <f aca="false">B47+B48</f>
        <v>2948200</v>
      </c>
      <c r="C49" s="38" t="n">
        <f aca="false">B49/20000</f>
        <v>147.41</v>
      </c>
      <c r="D49" s="6" t="s">
        <v>418</v>
      </c>
    </row>
    <row r="50" customFormat="false" ht="15" hidden="false" customHeight="true" outlineLevel="0" collapsed="false">
      <c r="A50" s="6" t="s">
        <v>419</v>
      </c>
      <c r="B50" s="38" t="n">
        <f aca="false">Layers!B26</f>
        <v>1130254.65</v>
      </c>
      <c r="C50" s="38" t="n">
        <f aca="false">B50/20000</f>
        <v>56.5127325</v>
      </c>
      <c r="D50" s="6" t="s">
        <v>420</v>
      </c>
    </row>
    <row r="51" customFormat="false" ht="15" hidden="false" customHeight="true" outlineLevel="0" collapsed="false">
      <c r="A51" s="6" t="s">
        <v>421</v>
      </c>
      <c r="B51" s="38" t="n">
        <f aca="false">B49-B50</f>
        <v>1817945.35</v>
      </c>
      <c r="C51" s="38" t="n">
        <f aca="false">B51/20000</f>
        <v>90.8972675</v>
      </c>
      <c r="D51" s="6"/>
    </row>
    <row r="52" customFormat="false" ht="15" hidden="false" customHeight="true" outlineLevel="0" collapsed="false">
      <c r="A52" s="6" t="s">
        <v>422</v>
      </c>
      <c r="B52" s="42" t="n">
        <f aca="false">B49/57247300</f>
        <v>0.0514993720227854</v>
      </c>
      <c r="D52" s="6"/>
    </row>
    <row r="53" customFormat="false" ht="15" hidden="false" customHeight="true" outlineLevel="0" collapsed="false">
      <c r="A53" s="6" t="s">
        <v>423</v>
      </c>
      <c r="B53" s="37" t="n">
        <v>38563658</v>
      </c>
      <c r="C53" s="38" t="n">
        <f aca="false">B53/20000</f>
        <v>1928.1829</v>
      </c>
      <c r="D53" s="6" t="s">
        <v>424</v>
      </c>
    </row>
    <row r="54" customFormat="false" ht="15" hidden="false" customHeight="true" outlineLevel="0" collapsed="false">
      <c r="A54" s="6" t="s">
        <v>425</v>
      </c>
      <c r="B54" s="38" t="n">
        <f aca="false">B53*B43</f>
        <v>1156909.74</v>
      </c>
      <c r="C54" s="38" t="n">
        <f aca="false">B54/20000</f>
        <v>57.845487</v>
      </c>
      <c r="D54" s="6" t="s">
        <v>426</v>
      </c>
    </row>
    <row r="55" customFormat="false" ht="15" hidden="false" customHeight="true" outlineLevel="0" collapsed="false">
      <c r="A55" s="6" t="s">
        <v>427</v>
      </c>
      <c r="B55" s="38" t="n">
        <f aca="false">16678100-Layers!B5</f>
        <v>3686996.1741121</v>
      </c>
      <c r="C55" s="38" t="n">
        <f aca="false">B55/20000</f>
        <v>184.349808705605</v>
      </c>
      <c r="D55" s="6" t="s">
        <v>428</v>
      </c>
    </row>
    <row r="57" customFormat="false" ht="15" hidden="false" customHeight="true" outlineLevel="0" collapsed="false">
      <c r="A57" s="5" t="s">
        <v>429</v>
      </c>
    </row>
    <row r="58" customFormat="false" ht="23.25" hidden="false" customHeight="true" outlineLevel="0" collapsed="false">
      <c r="A58" s="35" t="s">
        <v>84</v>
      </c>
      <c r="B58" s="35" t="s">
        <v>430</v>
      </c>
      <c r="C58" s="35" t="s">
        <v>431</v>
      </c>
      <c r="D58" s="35" t="s">
        <v>432</v>
      </c>
      <c r="E58" s="35" t="s">
        <v>387</v>
      </c>
    </row>
    <row r="59" customFormat="false" ht="15" hidden="false" customHeight="true" outlineLevel="0" collapsed="false">
      <c r="A59" s="6" t="s">
        <v>310</v>
      </c>
      <c r="B59" s="38" t="n">
        <f aca="false">Layers!B25/20000</f>
        <v>605.3425</v>
      </c>
      <c r="C59" s="38" t="n">
        <f aca="false">B59</f>
        <v>605.3425</v>
      </c>
      <c r="D59" s="38" t="n">
        <f aca="false">219*(1+B43)^3</f>
        <v>239.307213</v>
      </c>
      <c r="E59" s="6" t="s">
        <v>433</v>
      </c>
    </row>
    <row r="60" customFormat="false" ht="15" hidden="false" customHeight="true" outlineLevel="0" collapsed="false">
      <c r="A60" s="6" t="s">
        <v>434</v>
      </c>
      <c r="B60" s="38" t="n">
        <f aca="false">Layers!B5/20000</f>
        <v>649.555191294395</v>
      </c>
      <c r="C60" s="38" t="n">
        <f aca="false">B60-C50</f>
        <v>593.042458794395</v>
      </c>
      <c r="D60" s="38" t="n">
        <f aca="false">334*(1+B43)^4</f>
        <v>375.91994254</v>
      </c>
      <c r="E60" s="6" t="s">
        <v>435</v>
      </c>
    </row>
    <row r="61" customFormat="false" ht="15" hidden="false" customHeight="true" outlineLevel="0" collapsed="false">
      <c r="A61" s="6" t="s">
        <v>311</v>
      </c>
      <c r="B61" s="38" t="n">
        <f aca="false">(Layers!B5+Layers!B6+Layers!B7)/20000</f>
        <v>832.862594318262</v>
      </c>
      <c r="C61" s="38" t="n">
        <f aca="false">B61-C50-C51*(Layers!B6+Layers!B7)/(Layers!B6+Layers!B7+Layers!B8+Layers!B9+Layers!B11+Layers!B12+Layers!B13)</f>
        <v>756.364312610759</v>
      </c>
      <c r="D61" s="38" t="n">
        <f aca="false">B40*B36</f>
        <v>751.167991245914</v>
      </c>
      <c r="E61" s="6" t="s">
        <v>436</v>
      </c>
    </row>
    <row r="62" customFormat="false" ht="15" hidden="false" customHeight="true" outlineLevel="0" collapsed="false">
      <c r="A62" s="6" t="s">
        <v>312</v>
      </c>
      <c r="B62" s="38" t="n">
        <f aca="false">'Unit Costs'!D10</f>
        <v>1483.26468180641</v>
      </c>
      <c r="C62" s="38" t="n">
        <f aca="false">B62-C47</f>
        <v>1352.15968180641</v>
      </c>
      <c r="D62" s="38" t="n">
        <f aca="false">436*(1+B43)^5</f>
        <v>505.4434963948</v>
      </c>
      <c r="E62" s="6" t="s">
        <v>437</v>
      </c>
    </row>
    <row r="63" customFormat="false" ht="15" hidden="false" customHeight="true" outlineLevel="0" collapsed="false">
      <c r="A63" s="34" t="s">
        <v>438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10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40"/>
    <col collapsed="false" customWidth="true" hidden="false" outlineLevel="0" max="2" min="2" style="0" width="22"/>
    <col collapsed="false" customWidth="true" hidden="false" outlineLevel="0" max="3" min="3" style="0" width="16"/>
    <col collapsed="false" customWidth="true" hidden="false" outlineLevel="0" max="5" min="4" style="0" width="8"/>
    <col collapsed="false" customWidth="true" hidden="false" outlineLevel="0" max="6" min="6" style="0" width="7"/>
    <col collapsed="false" customWidth="true" hidden="false" outlineLevel="0" max="8" min="7" style="0" width="8"/>
    <col collapsed="false" customWidth="true" hidden="false" outlineLevel="0" max="9" min="9" style="0" width="14"/>
    <col collapsed="false" customWidth="true" hidden="false" outlineLevel="0" max="10" min="10" style="0" width="26"/>
    <col collapsed="false" customWidth="true" hidden="false" outlineLevel="0" max="11" min="11" style="0" width="34"/>
    <col collapsed="false" customWidth="true" hidden="false" outlineLevel="0" max="12" min="12" style="0" width="26"/>
    <col collapsed="false" customWidth="true" hidden="false" outlineLevel="0" max="13" min="13" style="0" width="9"/>
    <col collapsed="false" customWidth="true" hidden="false" outlineLevel="0" max="14" min="14" style="0" width="30"/>
    <col collapsed="false" customWidth="true" hidden="false" outlineLevel="0" max="17" min="15" style="0" width="9"/>
    <col collapsed="false" customWidth="true" hidden="false" outlineLevel="0" max="19" min="18" style="0" width="50"/>
    <col collapsed="false" customWidth="true" hidden="false" outlineLevel="0" max="20" min="20" style="0" width="14"/>
  </cols>
  <sheetData>
    <row r="1" customFormat="false" ht="17.35" hidden="false" customHeight="false" outlineLevel="0" collapsed="false">
      <c r="A1" s="43" t="s">
        <v>439</v>
      </c>
    </row>
    <row r="3" customFormat="false" ht="23.85" hidden="false" customHeight="false" outlineLevel="0" collapsed="false">
      <c r="A3" s="9" t="s">
        <v>440</v>
      </c>
      <c r="B3" s="9" t="s">
        <v>441</v>
      </c>
      <c r="C3" s="9" t="s">
        <v>442</v>
      </c>
      <c r="D3" s="9" t="s">
        <v>443</v>
      </c>
      <c r="E3" s="9" t="s">
        <v>444</v>
      </c>
      <c r="F3" s="9" t="s">
        <v>445</v>
      </c>
      <c r="G3" s="9" t="s">
        <v>446</v>
      </c>
      <c r="H3" s="9" t="s">
        <v>447</v>
      </c>
      <c r="I3" s="9" t="s">
        <v>448</v>
      </c>
      <c r="J3" s="9" t="s">
        <v>449</v>
      </c>
      <c r="K3" s="9" t="s">
        <v>355</v>
      </c>
      <c r="L3" s="9" t="s">
        <v>450</v>
      </c>
      <c r="M3" s="9" t="s">
        <v>211</v>
      </c>
      <c r="N3" s="9" t="s">
        <v>451</v>
      </c>
      <c r="O3" s="9" t="s">
        <v>452</v>
      </c>
      <c r="P3" s="9" t="s">
        <v>87</v>
      </c>
      <c r="Q3" s="9" t="s">
        <v>86</v>
      </c>
      <c r="R3" s="9" t="s">
        <v>453</v>
      </c>
      <c r="S3" s="9" t="s">
        <v>454</v>
      </c>
      <c r="T3" s="44" t="s">
        <v>455</v>
      </c>
    </row>
    <row r="4" customFormat="false" ht="42" hidden="false" customHeight="true" outlineLevel="0" collapsed="false">
      <c r="A4" s="13" t="s">
        <v>456</v>
      </c>
      <c r="B4" s="13" t="s">
        <v>457</v>
      </c>
      <c r="C4" s="13" t="s">
        <v>458</v>
      </c>
      <c r="D4" s="13" t="s">
        <v>459</v>
      </c>
      <c r="E4" s="13" t="s">
        <v>460</v>
      </c>
      <c r="F4" s="32" t="n">
        <v>25</v>
      </c>
      <c r="G4" s="32" t="n">
        <v>38</v>
      </c>
      <c r="H4" s="32" t="n">
        <v>2022</v>
      </c>
      <c r="I4" s="27" t="n">
        <v>49000000</v>
      </c>
      <c r="J4" s="13" t="s">
        <v>461</v>
      </c>
      <c r="K4" s="13" t="s">
        <v>462</v>
      </c>
      <c r="L4" s="13" t="s">
        <v>463</v>
      </c>
      <c r="M4" s="13" t="s">
        <v>218</v>
      </c>
      <c r="N4" s="13"/>
      <c r="O4" s="45" t="n">
        <f aca="false">IF(AND(ISNUMBER(F4),ISNUMBER(G4),F4&gt;0),G4/F4,"")</f>
        <v>1.52</v>
      </c>
      <c r="P4" s="46" t="n">
        <f aca="false">IF(AND(ISNUMBER(G4),ISNUMBER(I4),G4&gt;0),I4/(G4*1000),"")</f>
        <v>1289.47368421053</v>
      </c>
      <c r="Q4" s="46" t="n">
        <f aca="false">IF(AND(ISNUMBER(F4),ISNUMBER(I4),F4&gt;0),I4/(F4*1000),"")</f>
        <v>1960</v>
      </c>
      <c r="R4" s="47" t="s">
        <v>464</v>
      </c>
      <c r="S4" s="47" t="s">
        <v>465</v>
      </c>
      <c r="T4" s="46" t="n">
        <f aca="false">IF(AND(N4="",ISNUMBER(G4),G4&lt;=100,ISNUMBER(P4),OR(LEFT(C4,3)="IOU",C4="muni/coop",LEFT(C4,5)="other")),P4,"")</f>
        <v>1289.47368421053</v>
      </c>
    </row>
    <row r="5" customFormat="false" ht="42" hidden="false" customHeight="true" outlineLevel="0" collapsed="false">
      <c r="A5" s="13" t="s">
        <v>466</v>
      </c>
      <c r="B5" s="13" t="s">
        <v>467</v>
      </c>
      <c r="C5" s="13" t="s">
        <v>458</v>
      </c>
      <c r="D5" s="13" t="s">
        <v>459</v>
      </c>
      <c r="E5" s="13" t="s">
        <v>460</v>
      </c>
      <c r="F5" s="32" t="n">
        <v>6</v>
      </c>
      <c r="G5" s="32" t="n">
        <v>48</v>
      </c>
      <c r="H5" s="32" t="n">
        <v>2019</v>
      </c>
      <c r="I5" s="27" t="n">
        <v>81000000</v>
      </c>
      <c r="J5" s="13" t="s">
        <v>461</v>
      </c>
      <c r="K5" s="13" t="s">
        <v>468</v>
      </c>
      <c r="L5" s="13" t="s">
        <v>469</v>
      </c>
      <c r="M5" s="13" t="s">
        <v>218</v>
      </c>
      <c r="N5" s="13" t="s">
        <v>470</v>
      </c>
      <c r="O5" s="45" t="n">
        <f aca="false">IF(AND(ISNUMBER(F5),ISNUMBER(G5),F5&gt;0),G5/F5,"")</f>
        <v>8</v>
      </c>
      <c r="P5" s="46" t="n">
        <f aca="false">IF(AND(ISNUMBER(G5),ISNUMBER(I5),G5&gt;0),I5/(G5*1000),"")</f>
        <v>1687.5</v>
      </c>
      <c r="Q5" s="46" t="n">
        <f aca="false">IF(AND(ISNUMBER(F5),ISNUMBER(I5),F5&gt;0),I5/(F5*1000),"")</f>
        <v>13500</v>
      </c>
      <c r="R5" s="47" t="s">
        <v>471</v>
      </c>
      <c r="S5" s="47" t="s">
        <v>472</v>
      </c>
      <c r="T5" s="46" t="str">
        <f aca="false">IF(AND(N5="",ISNUMBER(G5),G5&lt;=100,ISNUMBER(P5),OR(LEFT(C5,3)="IOU",C5="muni/coop",LEFT(C5,5)="other")),P5,"")</f>
        <v/>
      </c>
    </row>
    <row r="6" customFormat="false" ht="42" hidden="false" customHeight="true" outlineLevel="0" collapsed="false">
      <c r="A6" s="13" t="s">
        <v>473</v>
      </c>
      <c r="B6" s="13" t="s">
        <v>457</v>
      </c>
      <c r="C6" s="13" t="s">
        <v>458</v>
      </c>
      <c r="D6" s="13" t="s">
        <v>459</v>
      </c>
      <c r="E6" s="13" t="s">
        <v>460</v>
      </c>
      <c r="F6" s="32" t="n">
        <v>4.9</v>
      </c>
      <c r="G6" s="32" t="n">
        <v>20</v>
      </c>
      <c r="H6" s="32" t="n">
        <v>2019</v>
      </c>
      <c r="I6" s="27" t="n">
        <v>15000000</v>
      </c>
      <c r="J6" s="13" t="s">
        <v>474</v>
      </c>
      <c r="K6" s="13" t="s">
        <v>475</v>
      </c>
      <c r="L6" s="13" t="s">
        <v>476</v>
      </c>
      <c r="M6" s="13" t="s">
        <v>218</v>
      </c>
      <c r="N6" s="13"/>
      <c r="O6" s="45" t="n">
        <f aca="false">IF(AND(ISNUMBER(F6),ISNUMBER(G6),F6&gt;0),G6/F6,"")</f>
        <v>4.08163265306123</v>
      </c>
      <c r="P6" s="46" t="n">
        <f aca="false">IF(AND(ISNUMBER(G6),ISNUMBER(I6),G6&gt;0),I6/(G6*1000),"")</f>
        <v>750</v>
      </c>
      <c r="Q6" s="46" t="n">
        <f aca="false">IF(AND(ISNUMBER(F6),ISNUMBER(I6),F6&gt;0),I6/(F6*1000),"")</f>
        <v>3061.22448979592</v>
      </c>
      <c r="R6" s="47" t="s">
        <v>477</v>
      </c>
      <c r="S6" s="47" t="s">
        <v>478</v>
      </c>
      <c r="T6" s="46" t="n">
        <f aca="false">IF(AND(N6="",ISNUMBER(G6),G6&lt;=100,ISNUMBER(P6),OR(LEFT(C6,3)="IOU",C6="muni/coop",LEFT(C6,5)="other")),P6,"")</f>
        <v>750</v>
      </c>
    </row>
    <row r="7" customFormat="false" ht="42" hidden="false" customHeight="true" outlineLevel="0" collapsed="false">
      <c r="A7" s="13" t="s">
        <v>479</v>
      </c>
      <c r="B7" s="13" t="s">
        <v>457</v>
      </c>
      <c r="C7" s="13" t="s">
        <v>458</v>
      </c>
      <c r="D7" s="13" t="s">
        <v>459</v>
      </c>
      <c r="E7" s="13" t="s">
        <v>460</v>
      </c>
      <c r="F7" s="32" t="n">
        <v>9.8</v>
      </c>
      <c r="G7" s="32" t="n">
        <v>64</v>
      </c>
      <c r="H7" s="32" t="n">
        <v>2019</v>
      </c>
      <c r="I7" s="27" t="n">
        <v>28000000</v>
      </c>
      <c r="J7" s="13" t="s">
        <v>474</v>
      </c>
      <c r="K7" s="13" t="s">
        <v>475</v>
      </c>
      <c r="L7" s="13" t="s">
        <v>476</v>
      </c>
      <c r="M7" s="13" t="s">
        <v>218</v>
      </c>
      <c r="N7" s="13"/>
      <c r="O7" s="45" t="n">
        <f aca="false">IF(AND(ISNUMBER(F7),ISNUMBER(G7),F7&gt;0),G7/F7,"")</f>
        <v>6.53061224489796</v>
      </c>
      <c r="P7" s="46" t="n">
        <f aca="false">IF(AND(ISNUMBER(G7),ISNUMBER(I7),G7&gt;0),I7/(G7*1000),"")</f>
        <v>437.5</v>
      </c>
      <c r="Q7" s="46" t="n">
        <f aca="false">IF(AND(ISNUMBER(F7),ISNUMBER(I7),F7&gt;0),I7/(F7*1000),"")</f>
        <v>2857.14285714286</v>
      </c>
      <c r="R7" s="47" t="s">
        <v>477</v>
      </c>
      <c r="S7" s="47" t="s">
        <v>480</v>
      </c>
      <c r="T7" s="46" t="n">
        <f aca="false">IF(AND(N7="",ISNUMBER(G7),G7&lt;=100,ISNUMBER(P7),OR(LEFT(C7,3)="IOU",C7="muni/coop",LEFT(C7,5)="other")),P7,"")</f>
        <v>437.5</v>
      </c>
    </row>
    <row r="8" customFormat="false" ht="42" hidden="false" customHeight="true" outlineLevel="0" collapsed="false">
      <c r="A8" s="13" t="s">
        <v>481</v>
      </c>
      <c r="B8" s="13" t="s">
        <v>482</v>
      </c>
      <c r="C8" s="13" t="s">
        <v>483</v>
      </c>
      <c r="D8" s="13" t="s">
        <v>459</v>
      </c>
      <c r="E8" s="13" t="s">
        <v>460</v>
      </c>
      <c r="F8" s="32" t="n">
        <v>2</v>
      </c>
      <c r="G8" s="32" t="n">
        <v>3.9</v>
      </c>
      <c r="H8" s="32" t="n">
        <v>2016</v>
      </c>
      <c r="I8" s="27" t="n">
        <v>2700000</v>
      </c>
      <c r="J8" s="13" t="s">
        <v>461</v>
      </c>
      <c r="K8" s="13" t="s">
        <v>484</v>
      </c>
      <c r="L8" s="13" t="s">
        <v>485</v>
      </c>
      <c r="M8" s="13" t="s">
        <v>218</v>
      </c>
      <c r="N8" s="13"/>
      <c r="O8" s="45" t="n">
        <f aca="false">IF(AND(ISNUMBER(F8),ISNUMBER(G8),F8&gt;0),G8/F8,"")</f>
        <v>1.95</v>
      </c>
      <c r="P8" s="46" t="n">
        <f aca="false">IF(AND(ISNUMBER(G8),ISNUMBER(I8),G8&gt;0),I8/(G8*1000),"")</f>
        <v>692.307692307692</v>
      </c>
      <c r="Q8" s="46" t="n">
        <f aca="false">IF(AND(ISNUMBER(F8),ISNUMBER(I8),F8&gt;0),I8/(F8*1000),"")</f>
        <v>1350</v>
      </c>
      <c r="R8" s="47" t="s">
        <v>486</v>
      </c>
      <c r="S8" s="47" t="s">
        <v>487</v>
      </c>
      <c r="T8" s="46" t="n">
        <f aca="false">IF(AND(N8="",ISNUMBER(G8),G8&lt;=100,ISNUMBER(P8),OR(LEFT(C8,3)="IOU",C8="muni/coop",LEFT(C8,5)="other")),P8,"")</f>
        <v>692.307692307692</v>
      </c>
    </row>
    <row r="9" customFormat="false" ht="42" hidden="false" customHeight="true" outlineLevel="0" collapsed="false">
      <c r="A9" s="13" t="s">
        <v>488</v>
      </c>
      <c r="B9" s="13" t="s">
        <v>489</v>
      </c>
      <c r="C9" s="13" t="s">
        <v>458</v>
      </c>
      <c r="D9" s="13" t="s">
        <v>490</v>
      </c>
      <c r="E9" s="13" t="s">
        <v>491</v>
      </c>
      <c r="F9" s="32" t="n">
        <v>3</v>
      </c>
      <c r="G9" s="32" t="n">
        <v>12</v>
      </c>
      <c r="H9" s="32" t="n">
        <v>2021</v>
      </c>
      <c r="I9" s="27" t="n">
        <v>7400000</v>
      </c>
      <c r="J9" s="13" t="s">
        <v>492</v>
      </c>
      <c r="K9" s="13" t="s">
        <v>493</v>
      </c>
      <c r="L9" s="13" t="s">
        <v>494</v>
      </c>
      <c r="M9" s="13" t="s">
        <v>199</v>
      </c>
      <c r="N9" s="13"/>
      <c r="O9" s="45" t="n">
        <f aca="false">IF(AND(ISNUMBER(F9),ISNUMBER(G9),F9&gt;0),G9/F9,"")</f>
        <v>4</v>
      </c>
      <c r="P9" s="46" t="n">
        <f aca="false">IF(AND(ISNUMBER(G9),ISNUMBER(I9),G9&gt;0),I9/(G9*1000),"")</f>
        <v>616.666666666667</v>
      </c>
      <c r="Q9" s="46" t="n">
        <f aca="false">IF(AND(ISNUMBER(F9),ISNUMBER(I9),F9&gt;0),I9/(F9*1000),"")</f>
        <v>2466.66666666667</v>
      </c>
      <c r="R9" s="47" t="s">
        <v>495</v>
      </c>
      <c r="S9" s="47" t="s">
        <v>496</v>
      </c>
      <c r="T9" s="46" t="n">
        <f aca="false">IF(AND(N9="",ISNUMBER(G9),G9&lt;=100,ISNUMBER(P9),OR(LEFT(C9,3)="IOU",C9="muni/coop",LEFT(C9,5)="other")),P9,"")</f>
        <v>616.666666666667</v>
      </c>
    </row>
    <row r="10" customFormat="false" ht="42" hidden="false" customHeight="true" outlineLevel="0" collapsed="false">
      <c r="A10" s="13" t="s">
        <v>497</v>
      </c>
      <c r="B10" s="13" t="s">
        <v>498</v>
      </c>
      <c r="C10" s="13" t="s">
        <v>458</v>
      </c>
      <c r="D10" s="13" t="s">
        <v>499</v>
      </c>
      <c r="E10" s="13" t="s">
        <v>500</v>
      </c>
      <c r="F10" s="32" t="n">
        <v>5</v>
      </c>
      <c r="G10" s="32" t="n">
        <v>1.25</v>
      </c>
      <c r="H10" s="32" t="n">
        <v>2013</v>
      </c>
      <c r="I10" s="27" t="n">
        <v>23000000</v>
      </c>
      <c r="J10" s="13" t="s">
        <v>501</v>
      </c>
      <c r="K10" s="13" t="s">
        <v>502</v>
      </c>
      <c r="L10" s="13" t="s">
        <v>503</v>
      </c>
      <c r="M10" s="13" t="s">
        <v>199</v>
      </c>
      <c r="N10" s="13" t="s">
        <v>504</v>
      </c>
      <c r="O10" s="45" t="n">
        <f aca="false">IF(AND(ISNUMBER(F10),ISNUMBER(G10),F10&gt;0),G10/F10,"")</f>
        <v>0.25</v>
      </c>
      <c r="P10" s="46" t="n">
        <f aca="false">IF(AND(ISNUMBER(G10),ISNUMBER(I10),G10&gt;0),I10/(G10*1000),"")</f>
        <v>18400</v>
      </c>
      <c r="Q10" s="46" t="n">
        <f aca="false">IF(AND(ISNUMBER(F10),ISNUMBER(I10),F10&gt;0),I10/(F10*1000),"")</f>
        <v>4600</v>
      </c>
      <c r="R10" s="47" t="s">
        <v>505</v>
      </c>
      <c r="S10" s="47" t="s">
        <v>506</v>
      </c>
      <c r="T10" s="46" t="str">
        <f aca="false">IF(AND(N10="",ISNUMBER(G10),G10&lt;=100,ISNUMBER(P10),OR(LEFT(C10,3)="IOU",C10="muni/coop",LEFT(C10,5)="other")),P10,"")</f>
        <v/>
      </c>
    </row>
    <row r="11" customFormat="false" ht="42" hidden="false" customHeight="true" outlineLevel="0" collapsed="false">
      <c r="A11" s="13" t="s">
        <v>507</v>
      </c>
      <c r="B11" s="13" t="s">
        <v>508</v>
      </c>
      <c r="C11" s="13" t="s">
        <v>458</v>
      </c>
      <c r="D11" s="13" t="s">
        <v>509</v>
      </c>
      <c r="E11" s="13" t="s">
        <v>510</v>
      </c>
      <c r="F11" s="32" t="n">
        <v>40</v>
      </c>
      <c r="G11" s="32" t="n">
        <v>160</v>
      </c>
      <c r="H11" s="32" t="n">
        <v>2027</v>
      </c>
      <c r="I11" s="27" t="n">
        <v>82100000</v>
      </c>
      <c r="J11" s="13" t="s">
        <v>511</v>
      </c>
      <c r="K11" s="13" t="s">
        <v>512</v>
      </c>
      <c r="L11" s="13" t="s">
        <v>513</v>
      </c>
      <c r="M11" s="13" t="s">
        <v>199</v>
      </c>
      <c r="N11" s="13"/>
      <c r="O11" s="45" t="n">
        <f aca="false">IF(AND(ISNUMBER(F11),ISNUMBER(G11),F11&gt;0),G11/F11,"")</f>
        <v>4</v>
      </c>
      <c r="P11" s="46" t="n">
        <f aca="false">IF(AND(ISNUMBER(G11),ISNUMBER(I11),G11&gt;0),I11/(G11*1000),"")</f>
        <v>513.125</v>
      </c>
      <c r="Q11" s="46" t="n">
        <f aca="false">IF(AND(ISNUMBER(F11),ISNUMBER(I11),F11&gt;0),I11/(F11*1000),"")</f>
        <v>2052.5</v>
      </c>
      <c r="R11" s="47" t="s">
        <v>514</v>
      </c>
      <c r="S11" s="47" t="s">
        <v>515</v>
      </c>
      <c r="T11" s="46" t="str">
        <f aca="false">IF(AND(N11="",ISNUMBER(G11),G11&lt;=100,ISNUMBER(P11),OR(LEFT(C11,3)="IOU",C11="muni/coop",LEFT(C11,5)="other")),P11,"")</f>
        <v/>
      </c>
    </row>
    <row r="12" customFormat="false" ht="42" hidden="false" customHeight="true" outlineLevel="0" collapsed="false">
      <c r="A12" s="13" t="s">
        <v>516</v>
      </c>
      <c r="B12" s="13" t="s">
        <v>517</v>
      </c>
      <c r="C12" s="13" t="s">
        <v>483</v>
      </c>
      <c r="D12" s="13" t="s">
        <v>518</v>
      </c>
      <c r="E12" s="13" t="s">
        <v>500</v>
      </c>
      <c r="F12" s="32" t="n">
        <v>1</v>
      </c>
      <c r="G12" s="32" t="n">
        <v>1.4</v>
      </c>
      <c r="H12" s="32" t="n">
        <v>2021</v>
      </c>
      <c r="I12" s="27" t="n">
        <v>12000000</v>
      </c>
      <c r="J12" s="13" t="s">
        <v>461</v>
      </c>
      <c r="K12" s="13" t="s">
        <v>519</v>
      </c>
      <c r="L12" s="13" t="s">
        <v>520</v>
      </c>
      <c r="M12" s="13" t="s">
        <v>218</v>
      </c>
      <c r="N12" s="13" t="s">
        <v>521</v>
      </c>
      <c r="O12" s="45" t="n">
        <f aca="false">IF(AND(ISNUMBER(F12),ISNUMBER(G12),F12&gt;0),G12/F12,"")</f>
        <v>1.4</v>
      </c>
      <c r="P12" s="46" t="n">
        <f aca="false">IF(AND(ISNUMBER(G12),ISNUMBER(I12),G12&gt;0),I12/(G12*1000),"")</f>
        <v>8571.42857142857</v>
      </c>
      <c r="Q12" s="46" t="n">
        <f aca="false">IF(AND(ISNUMBER(F12),ISNUMBER(I12),F12&gt;0),I12/(F12*1000),"")</f>
        <v>12000</v>
      </c>
      <c r="R12" s="47" t="s">
        <v>522</v>
      </c>
      <c r="S12" s="47" t="s">
        <v>523</v>
      </c>
      <c r="T12" s="46" t="str">
        <f aca="false">IF(AND(N12="",ISNUMBER(G12),G12&lt;=100,ISNUMBER(P12),OR(LEFT(C12,3)="IOU",C12="muni/coop",LEFT(C12,5)="other")),P12,"")</f>
        <v/>
      </c>
    </row>
    <row r="13" customFormat="false" ht="42" hidden="false" customHeight="true" outlineLevel="0" collapsed="false">
      <c r="A13" s="13" t="s">
        <v>524</v>
      </c>
      <c r="B13" s="13" t="s">
        <v>525</v>
      </c>
      <c r="C13" s="13" t="s">
        <v>458</v>
      </c>
      <c r="D13" s="13" t="s">
        <v>526</v>
      </c>
      <c r="E13" s="13" t="s">
        <v>527</v>
      </c>
      <c r="F13" s="32" t="n">
        <v>220</v>
      </c>
      <c r="G13" s="32" t="n">
        <v>440</v>
      </c>
      <c r="H13" s="32" t="n">
        <v>2023</v>
      </c>
      <c r="I13" s="27" t="n">
        <v>257000000</v>
      </c>
      <c r="J13" s="13" t="s">
        <v>461</v>
      </c>
      <c r="K13" s="13" t="s">
        <v>528</v>
      </c>
      <c r="L13" s="13" t="s">
        <v>529</v>
      </c>
      <c r="M13" s="13" t="s">
        <v>218</v>
      </c>
      <c r="N13" s="13"/>
      <c r="O13" s="45" t="n">
        <f aca="false">IF(AND(ISNUMBER(F13),ISNUMBER(G13),F13&gt;0),G13/F13,"")</f>
        <v>2</v>
      </c>
      <c r="P13" s="46" t="n">
        <f aca="false">IF(AND(ISNUMBER(G13),ISNUMBER(I13),G13&gt;0),I13/(G13*1000),"")</f>
        <v>584.090909090909</v>
      </c>
      <c r="Q13" s="46" t="n">
        <f aca="false">IF(AND(ISNUMBER(F13),ISNUMBER(I13),F13&gt;0),I13/(F13*1000),"")</f>
        <v>1168.18181818182</v>
      </c>
      <c r="R13" s="47" t="s">
        <v>530</v>
      </c>
      <c r="S13" s="47" t="s">
        <v>531</v>
      </c>
      <c r="T13" s="46" t="str">
        <f aca="false">IF(AND(N13="",ISNUMBER(G13),G13&lt;=100,ISNUMBER(P13),OR(LEFT(C13,3)="IOU",C13="muni/coop",LEFT(C13,5)="other")),P13,"")</f>
        <v/>
      </c>
    </row>
    <row r="14" customFormat="false" ht="42" hidden="false" customHeight="true" outlineLevel="0" collapsed="false">
      <c r="A14" s="13" t="s">
        <v>532</v>
      </c>
      <c r="B14" s="13" t="s">
        <v>498</v>
      </c>
      <c r="C14" s="13" t="s">
        <v>458</v>
      </c>
      <c r="D14" s="13" t="s">
        <v>499</v>
      </c>
      <c r="E14" s="13" t="s">
        <v>500</v>
      </c>
      <c r="F14" s="32" t="n">
        <v>75</v>
      </c>
      <c r="G14" s="32" t="n">
        <v>300</v>
      </c>
      <c r="H14" s="32" t="n">
        <v>2024</v>
      </c>
      <c r="I14" s="27" t="n">
        <v>156000000</v>
      </c>
      <c r="J14" s="13" t="s">
        <v>533</v>
      </c>
      <c r="K14" s="13" t="s">
        <v>534</v>
      </c>
      <c r="L14" s="13" t="s">
        <v>535</v>
      </c>
      <c r="M14" s="13" t="s">
        <v>199</v>
      </c>
      <c r="N14" s="13"/>
      <c r="O14" s="45" t="n">
        <f aca="false">IF(AND(ISNUMBER(F14),ISNUMBER(G14),F14&gt;0),G14/F14,"")</f>
        <v>4</v>
      </c>
      <c r="P14" s="46" t="n">
        <f aca="false">IF(AND(ISNUMBER(G14),ISNUMBER(I14),G14&gt;0),I14/(G14*1000),"")</f>
        <v>520</v>
      </c>
      <c r="Q14" s="46" t="n">
        <f aca="false">IF(AND(ISNUMBER(F14),ISNUMBER(I14),F14&gt;0),I14/(F14*1000),"")</f>
        <v>2080</v>
      </c>
      <c r="R14" s="47" t="s">
        <v>536</v>
      </c>
      <c r="S14" s="47" t="s">
        <v>537</v>
      </c>
      <c r="T14" s="46" t="str">
        <f aca="false">IF(AND(N14="",ISNUMBER(G14),G14&lt;=100,ISNUMBER(P14),OR(LEFT(C14,3)="IOU",C14="muni/coop",LEFT(C14,5)="other")),P14,"")</f>
        <v/>
      </c>
    </row>
    <row r="15" customFormat="false" ht="42" hidden="false" customHeight="true" outlineLevel="0" collapsed="false">
      <c r="A15" s="13" t="s">
        <v>538</v>
      </c>
      <c r="B15" s="13" t="s">
        <v>498</v>
      </c>
      <c r="C15" s="13" t="s">
        <v>458</v>
      </c>
      <c r="D15" s="13" t="s">
        <v>499</v>
      </c>
      <c r="E15" s="13" t="s">
        <v>500</v>
      </c>
      <c r="F15" s="32" t="n">
        <v>200</v>
      </c>
      <c r="G15" s="32" t="n">
        <v>800</v>
      </c>
      <c r="H15" s="32" t="n">
        <v>2025</v>
      </c>
      <c r="I15" s="27" t="n">
        <v>360000000</v>
      </c>
      <c r="J15" s="13" t="s">
        <v>539</v>
      </c>
      <c r="K15" s="13" t="s">
        <v>540</v>
      </c>
      <c r="L15" s="13" t="s">
        <v>541</v>
      </c>
      <c r="M15" s="13" t="s">
        <v>199</v>
      </c>
      <c r="N15" s="13"/>
      <c r="O15" s="45" t="n">
        <f aca="false">IF(AND(ISNUMBER(F15),ISNUMBER(G15),F15&gt;0),G15/F15,"")</f>
        <v>4</v>
      </c>
      <c r="P15" s="46" t="n">
        <f aca="false">IF(AND(ISNUMBER(G15),ISNUMBER(I15),G15&gt;0),I15/(G15*1000),"")</f>
        <v>450</v>
      </c>
      <c r="Q15" s="46" t="n">
        <f aca="false">IF(AND(ISNUMBER(F15),ISNUMBER(I15),F15&gt;0),I15/(F15*1000),"")</f>
        <v>1800</v>
      </c>
      <c r="R15" s="47" t="s">
        <v>536</v>
      </c>
      <c r="S15" s="47" t="s">
        <v>542</v>
      </c>
      <c r="T15" s="46" t="str">
        <f aca="false">IF(AND(N15="",ISNUMBER(G15),G15&lt;=100,ISNUMBER(P15),OR(LEFT(C15,3)="IOU",C15="muni/coop",LEFT(C15,5)="other")),P15,"")</f>
        <v/>
      </c>
    </row>
    <row r="16" customFormat="false" ht="42" hidden="false" customHeight="true" outlineLevel="0" collapsed="false">
      <c r="A16" s="13" t="s">
        <v>543</v>
      </c>
      <c r="B16" s="13" t="s">
        <v>544</v>
      </c>
      <c r="C16" s="13" t="s">
        <v>458</v>
      </c>
      <c r="D16" s="13" t="s">
        <v>545</v>
      </c>
      <c r="E16" s="13" t="s">
        <v>460</v>
      </c>
      <c r="F16" s="32" t="n">
        <v>2</v>
      </c>
      <c r="G16" s="32" t="n">
        <v>8</v>
      </c>
      <c r="H16" s="32" t="n">
        <v>2019</v>
      </c>
      <c r="I16" s="27" t="n">
        <v>14300000</v>
      </c>
      <c r="J16" s="13" t="s">
        <v>546</v>
      </c>
      <c r="K16" s="13" t="s">
        <v>547</v>
      </c>
      <c r="L16" s="13" t="s">
        <v>548</v>
      </c>
      <c r="M16" s="13" t="s">
        <v>218</v>
      </c>
      <c r="N16" s="13" t="s">
        <v>549</v>
      </c>
      <c r="O16" s="45" t="n">
        <f aca="false">IF(AND(ISNUMBER(F16),ISNUMBER(G16),F16&gt;0),G16/F16,"")</f>
        <v>4</v>
      </c>
      <c r="P16" s="46" t="n">
        <f aca="false">IF(AND(ISNUMBER(G16),ISNUMBER(I16),G16&gt;0),I16/(G16*1000),"")</f>
        <v>1787.5</v>
      </c>
      <c r="Q16" s="46" t="n">
        <f aca="false">IF(AND(ISNUMBER(F16),ISNUMBER(I16),F16&gt;0),I16/(F16*1000),"")</f>
        <v>7150</v>
      </c>
      <c r="R16" s="47" t="s">
        <v>550</v>
      </c>
      <c r="S16" s="47" t="s">
        <v>551</v>
      </c>
      <c r="T16" s="46" t="str">
        <f aca="false">IF(AND(N16="",ISNUMBER(G16),G16&lt;=100,ISNUMBER(P16),OR(LEFT(C16,3)="IOU",C16="muni/coop",LEFT(C16,5)="other")),P16,"")</f>
        <v/>
      </c>
    </row>
    <row r="17" customFormat="false" ht="42" hidden="false" customHeight="true" outlineLevel="0" collapsed="false">
      <c r="A17" s="13" t="s">
        <v>552</v>
      </c>
      <c r="B17" s="13" t="s">
        <v>553</v>
      </c>
      <c r="C17" s="13" t="s">
        <v>554</v>
      </c>
      <c r="D17" s="13" t="s">
        <v>490</v>
      </c>
      <c r="E17" s="13" t="s">
        <v>491</v>
      </c>
      <c r="F17" s="32" t="n">
        <v>20</v>
      </c>
      <c r="G17" s="32" t="n">
        <v>20</v>
      </c>
      <c r="H17" s="32" t="n">
        <v>2023</v>
      </c>
      <c r="I17" s="27" t="n">
        <v>29800000</v>
      </c>
      <c r="J17" s="13" t="s">
        <v>555</v>
      </c>
      <c r="K17" s="13" t="s">
        <v>528</v>
      </c>
      <c r="L17" s="13" t="s">
        <v>556</v>
      </c>
      <c r="M17" s="13" t="s">
        <v>199</v>
      </c>
      <c r="N17" s="13"/>
      <c r="O17" s="45" t="n">
        <f aca="false">IF(AND(ISNUMBER(F17),ISNUMBER(G17),F17&gt;0),G17/F17,"")</f>
        <v>1</v>
      </c>
      <c r="P17" s="46" t="n">
        <f aca="false">IF(AND(ISNUMBER(G17),ISNUMBER(I17),G17&gt;0),I17/(G17*1000),"")</f>
        <v>1490</v>
      </c>
      <c r="Q17" s="46" t="n">
        <f aca="false">IF(AND(ISNUMBER(F17),ISNUMBER(I17),F17&gt;0),I17/(F17*1000),"")</f>
        <v>1490</v>
      </c>
      <c r="R17" s="47" t="s">
        <v>557</v>
      </c>
      <c r="S17" s="47" t="s">
        <v>558</v>
      </c>
      <c r="T17" s="46" t="n">
        <f aca="false">IF(AND(N17="",ISNUMBER(G17),G17&lt;=100,ISNUMBER(P17),OR(LEFT(C17,3)="IOU",C17="muni/coop",LEFT(C17,5)="other")),P17,"")</f>
        <v>1490</v>
      </c>
    </row>
    <row r="18" customFormat="false" ht="42" hidden="false" customHeight="true" outlineLevel="0" collapsed="false">
      <c r="A18" s="13" t="s">
        <v>559</v>
      </c>
      <c r="B18" s="13" t="s">
        <v>560</v>
      </c>
      <c r="C18" s="13" t="s">
        <v>458</v>
      </c>
      <c r="D18" s="13" t="s">
        <v>490</v>
      </c>
      <c r="E18" s="13" t="s">
        <v>491</v>
      </c>
      <c r="F18" s="32" t="n">
        <v>1.5</v>
      </c>
      <c r="G18" s="32" t="n">
        <v>12</v>
      </c>
      <c r="H18" s="32" t="n">
        <v>2019</v>
      </c>
      <c r="I18" s="27" t="n">
        <v>15000000</v>
      </c>
      <c r="J18" s="13" t="s">
        <v>561</v>
      </c>
      <c r="K18" s="13" t="s">
        <v>562</v>
      </c>
      <c r="L18" s="13" t="s">
        <v>563</v>
      </c>
      <c r="M18" s="13" t="s">
        <v>198</v>
      </c>
      <c r="N18" s="13"/>
      <c r="O18" s="45" t="n">
        <f aca="false">IF(AND(ISNUMBER(F18),ISNUMBER(G18),F18&gt;0),G18/F18,"")</f>
        <v>8</v>
      </c>
      <c r="P18" s="46" t="n">
        <f aca="false">IF(AND(ISNUMBER(G18),ISNUMBER(I18),G18&gt;0),I18/(G18*1000),"")</f>
        <v>1250</v>
      </c>
      <c r="Q18" s="46" t="n">
        <f aca="false">IF(AND(ISNUMBER(F18),ISNUMBER(I18),F18&gt;0),I18/(F18*1000),"")</f>
        <v>10000</v>
      </c>
      <c r="R18" s="47" t="s">
        <v>564</v>
      </c>
      <c r="S18" s="47" t="s">
        <v>565</v>
      </c>
      <c r="T18" s="46" t="n">
        <f aca="false">IF(AND(N18="",ISNUMBER(G18),G18&lt;=100,ISNUMBER(P18),OR(LEFT(C18,3)="IOU",C18="muni/coop",LEFT(C18,5)="other")),P18,"")</f>
        <v>1250</v>
      </c>
    </row>
    <row r="19" customFormat="false" ht="42" hidden="false" customHeight="true" outlineLevel="0" collapsed="false">
      <c r="A19" s="13" t="s">
        <v>566</v>
      </c>
      <c r="B19" s="13" t="s">
        <v>567</v>
      </c>
      <c r="C19" s="13" t="s">
        <v>458</v>
      </c>
      <c r="D19" s="13" t="s">
        <v>568</v>
      </c>
      <c r="E19" s="13" t="s">
        <v>569</v>
      </c>
      <c r="F19" s="32" t="n">
        <v>4.4</v>
      </c>
      <c r="G19" s="32"/>
      <c r="H19" s="32" t="n">
        <v>2023</v>
      </c>
      <c r="I19" s="27" t="n">
        <v>14500000</v>
      </c>
      <c r="J19" s="13" t="s">
        <v>461</v>
      </c>
      <c r="K19" s="13" t="s">
        <v>570</v>
      </c>
      <c r="L19" s="13" t="s">
        <v>571</v>
      </c>
      <c r="M19" s="13" t="s">
        <v>218</v>
      </c>
      <c r="N19" s="13" t="s">
        <v>572</v>
      </c>
      <c r="O19" s="45" t="str">
        <f aca="false">IF(AND(ISNUMBER(F19),ISNUMBER(G19),F19&gt;0),G19/F19,"")</f>
        <v/>
      </c>
      <c r="P19" s="46" t="str">
        <f aca="false">IF(AND(ISNUMBER(G19),ISNUMBER(I19),G19&gt;0),I19/(G19*1000),"")</f>
        <v/>
      </c>
      <c r="Q19" s="46" t="n">
        <f aca="false">IF(AND(ISNUMBER(F19),ISNUMBER(I19),F19&gt;0),I19/(F19*1000),"")</f>
        <v>3295.45454545455</v>
      </c>
      <c r="R19" s="47" t="s">
        <v>573</v>
      </c>
      <c r="S19" s="47" t="s">
        <v>574</v>
      </c>
      <c r="T19" s="46" t="str">
        <f aca="false">IF(AND(N19="",ISNUMBER(G19),G19&lt;=100,ISNUMBER(P19),OR(LEFT(C19,3)="IOU",C19="muni/coop",LEFT(C19,5)="other")),P19,"")</f>
        <v/>
      </c>
    </row>
    <row r="20" customFormat="false" ht="42" hidden="false" customHeight="true" outlineLevel="0" collapsed="false">
      <c r="A20" s="13" t="s">
        <v>575</v>
      </c>
      <c r="B20" s="13" t="s">
        <v>576</v>
      </c>
      <c r="C20" s="13" t="s">
        <v>458</v>
      </c>
      <c r="D20" s="13" t="s">
        <v>577</v>
      </c>
      <c r="E20" s="13" t="s">
        <v>578</v>
      </c>
      <c r="F20" s="32" t="n">
        <v>16</v>
      </c>
      <c r="G20" s="32" t="n">
        <v>56</v>
      </c>
      <c r="H20" s="32" t="n">
        <v>2021</v>
      </c>
      <c r="I20" s="27" t="n">
        <v>33000000</v>
      </c>
      <c r="J20" s="13" t="s">
        <v>579</v>
      </c>
      <c r="K20" s="13" t="s">
        <v>580</v>
      </c>
      <c r="L20" s="13" t="s">
        <v>581</v>
      </c>
      <c r="M20" s="13" t="s">
        <v>218</v>
      </c>
      <c r="N20" s="13"/>
      <c r="O20" s="45" t="n">
        <f aca="false">IF(AND(ISNUMBER(F20),ISNUMBER(G20),F20&gt;0),G20/F20,"")</f>
        <v>3.5</v>
      </c>
      <c r="P20" s="46" t="n">
        <f aca="false">IF(AND(ISNUMBER(G20),ISNUMBER(I20),G20&gt;0),I20/(G20*1000),"")</f>
        <v>589.285714285714</v>
      </c>
      <c r="Q20" s="46" t="n">
        <f aca="false">IF(AND(ISNUMBER(F20),ISNUMBER(I20),F20&gt;0),I20/(F20*1000),"")</f>
        <v>2062.5</v>
      </c>
      <c r="R20" s="47" t="s">
        <v>582</v>
      </c>
      <c r="S20" s="47" t="s">
        <v>583</v>
      </c>
      <c r="T20" s="46" t="n">
        <f aca="false">IF(AND(N20="",ISNUMBER(G20),G20&lt;=100,ISNUMBER(P20),OR(LEFT(C20,3)="IOU",C20="muni/coop",LEFT(C20,5)="other")),P20,"")</f>
        <v>589.285714285714</v>
      </c>
    </row>
    <row r="21" customFormat="false" ht="42" hidden="false" customHeight="true" outlineLevel="0" collapsed="false">
      <c r="A21" s="13" t="s">
        <v>584</v>
      </c>
      <c r="B21" s="13" t="s">
        <v>585</v>
      </c>
      <c r="C21" s="13" t="s">
        <v>458</v>
      </c>
      <c r="D21" s="13" t="s">
        <v>518</v>
      </c>
      <c r="E21" s="13" t="s">
        <v>500</v>
      </c>
      <c r="F21" s="32" t="n">
        <v>2</v>
      </c>
      <c r="G21" s="32" t="n">
        <v>4.4</v>
      </c>
      <c r="H21" s="32" t="n">
        <v>2016</v>
      </c>
      <c r="I21" s="27" t="n">
        <v>11200000</v>
      </c>
      <c r="J21" s="13" t="s">
        <v>586</v>
      </c>
      <c r="K21" s="13" t="s">
        <v>587</v>
      </c>
      <c r="L21" s="13" t="s">
        <v>588</v>
      </c>
      <c r="M21" s="13" t="s">
        <v>199</v>
      </c>
      <c r="N21" s="13"/>
      <c r="O21" s="45" t="n">
        <f aca="false">IF(AND(ISNUMBER(F21),ISNUMBER(G21),F21&gt;0),G21/F21,"")</f>
        <v>2.2</v>
      </c>
      <c r="P21" s="46" t="n">
        <f aca="false">IF(AND(ISNUMBER(G21),ISNUMBER(I21),G21&gt;0),I21/(G21*1000),"")</f>
        <v>2545.45454545455</v>
      </c>
      <c r="Q21" s="46" t="n">
        <f aca="false">IF(AND(ISNUMBER(F21),ISNUMBER(I21),F21&gt;0),I21/(F21*1000),"")</f>
        <v>5600</v>
      </c>
      <c r="R21" s="47" t="s">
        <v>589</v>
      </c>
      <c r="S21" s="47" t="s">
        <v>590</v>
      </c>
      <c r="T21" s="46" t="n">
        <f aca="false">IF(AND(N21="",ISNUMBER(G21),G21&lt;=100,ISNUMBER(P21),OR(LEFT(C21,3)="IOU",C21="muni/coop",LEFT(C21,5)="other")),P21,"")</f>
        <v>2545.45454545455</v>
      </c>
    </row>
    <row r="22" customFormat="false" ht="42" hidden="false" customHeight="true" outlineLevel="0" collapsed="false">
      <c r="A22" s="13" t="s">
        <v>591</v>
      </c>
      <c r="B22" s="13" t="s">
        <v>592</v>
      </c>
      <c r="C22" s="13" t="s">
        <v>483</v>
      </c>
      <c r="D22" s="13" t="s">
        <v>593</v>
      </c>
      <c r="E22" s="13" t="s">
        <v>594</v>
      </c>
      <c r="F22" s="32" t="n">
        <v>40</v>
      </c>
      <c r="G22" s="32" t="n">
        <v>80</v>
      </c>
      <c r="H22" s="32" t="n">
        <v>2024</v>
      </c>
      <c r="I22" s="27" t="n">
        <v>65000000</v>
      </c>
      <c r="J22" s="13" t="s">
        <v>461</v>
      </c>
      <c r="K22" s="13" t="s">
        <v>528</v>
      </c>
      <c r="L22" s="13" t="s">
        <v>595</v>
      </c>
      <c r="M22" s="13" t="s">
        <v>199</v>
      </c>
      <c r="N22" s="13"/>
      <c r="O22" s="45" t="n">
        <f aca="false">IF(AND(ISNUMBER(F22),ISNUMBER(G22),F22&gt;0),G22/F22,"")</f>
        <v>2</v>
      </c>
      <c r="P22" s="46" t="n">
        <f aca="false">IF(AND(ISNUMBER(G22),ISNUMBER(I22),G22&gt;0),I22/(G22*1000),"")</f>
        <v>812.5</v>
      </c>
      <c r="Q22" s="46" t="n">
        <f aca="false">IF(AND(ISNUMBER(F22),ISNUMBER(I22),F22&gt;0),I22/(F22*1000),"")</f>
        <v>1625</v>
      </c>
      <c r="R22" s="47" t="s">
        <v>596</v>
      </c>
      <c r="S22" s="47" t="s">
        <v>597</v>
      </c>
      <c r="T22" s="46" t="n">
        <f aca="false">IF(AND(N22="",ISNUMBER(G22),G22&lt;=100,ISNUMBER(P22),OR(LEFT(C22,3)="IOU",C22="muni/coop",LEFT(C22,5)="other")),P22,"")</f>
        <v>812.5</v>
      </c>
    </row>
    <row r="23" customFormat="false" ht="42" hidden="false" customHeight="true" outlineLevel="0" collapsed="false">
      <c r="A23" s="13" t="s">
        <v>598</v>
      </c>
      <c r="B23" s="13" t="s">
        <v>599</v>
      </c>
      <c r="C23" s="13" t="s">
        <v>458</v>
      </c>
      <c r="D23" s="13" t="s">
        <v>600</v>
      </c>
      <c r="E23" s="13" t="s">
        <v>601</v>
      </c>
      <c r="F23" s="32" t="n">
        <v>220</v>
      </c>
      <c r="G23" s="32" t="n">
        <v>880</v>
      </c>
      <c r="H23" s="32" t="n">
        <v>2026</v>
      </c>
      <c r="I23" s="27" t="n">
        <v>460000000</v>
      </c>
      <c r="J23" s="13" t="s">
        <v>602</v>
      </c>
      <c r="K23" s="13" t="s">
        <v>603</v>
      </c>
      <c r="L23" s="13" t="s">
        <v>604</v>
      </c>
      <c r="M23" s="13" t="s">
        <v>218</v>
      </c>
      <c r="N23" s="13"/>
      <c r="O23" s="45" t="n">
        <f aca="false">IF(AND(ISNUMBER(F23),ISNUMBER(G23),F23&gt;0),G23/F23,"")</f>
        <v>4</v>
      </c>
      <c r="P23" s="46" t="n">
        <f aca="false">IF(AND(ISNUMBER(G23),ISNUMBER(I23),G23&gt;0),I23/(G23*1000),"")</f>
        <v>522.727272727273</v>
      </c>
      <c r="Q23" s="46" t="n">
        <f aca="false">IF(AND(ISNUMBER(F23),ISNUMBER(I23),F23&gt;0),I23/(F23*1000),"")</f>
        <v>2090.90909090909</v>
      </c>
      <c r="R23" s="47" t="s">
        <v>605</v>
      </c>
      <c r="S23" s="47" t="s">
        <v>606</v>
      </c>
      <c r="T23" s="46" t="str">
        <f aca="false">IF(AND(N23="",ISNUMBER(G23),G23&lt;=100,ISNUMBER(P23),OR(LEFT(C23,3)="IOU",C23="muni/coop",LEFT(C23,5)="other")),P23,"")</f>
        <v/>
      </c>
    </row>
    <row r="24" customFormat="false" ht="42" hidden="false" customHeight="true" outlineLevel="0" collapsed="false">
      <c r="A24" s="13" t="s">
        <v>607</v>
      </c>
      <c r="B24" s="13" t="s">
        <v>608</v>
      </c>
      <c r="C24" s="13" t="s">
        <v>458</v>
      </c>
      <c r="D24" s="13" t="s">
        <v>609</v>
      </c>
      <c r="E24" s="13" t="s">
        <v>610</v>
      </c>
      <c r="F24" s="32" t="n">
        <v>200</v>
      </c>
      <c r="G24" s="32" t="n">
        <v>800</v>
      </c>
      <c r="H24" s="32" t="n">
        <v>2025</v>
      </c>
      <c r="I24" s="27" t="n">
        <v>294000000</v>
      </c>
      <c r="J24" s="13" t="s">
        <v>611</v>
      </c>
      <c r="K24" s="13" t="s">
        <v>612</v>
      </c>
      <c r="L24" s="13" t="s">
        <v>613</v>
      </c>
      <c r="M24" s="13" t="s">
        <v>218</v>
      </c>
      <c r="N24" s="13"/>
      <c r="O24" s="45" t="n">
        <f aca="false">IF(AND(ISNUMBER(F24),ISNUMBER(G24),F24&gt;0),G24/F24,"")</f>
        <v>4</v>
      </c>
      <c r="P24" s="46" t="n">
        <f aca="false">IF(AND(ISNUMBER(G24),ISNUMBER(I24),G24&gt;0),I24/(G24*1000),"")</f>
        <v>367.5</v>
      </c>
      <c r="Q24" s="46" t="n">
        <f aca="false">IF(AND(ISNUMBER(F24),ISNUMBER(I24),F24&gt;0),I24/(F24*1000),"")</f>
        <v>1470</v>
      </c>
      <c r="R24" s="47" t="s">
        <v>614</v>
      </c>
      <c r="S24" s="47" t="s">
        <v>615</v>
      </c>
      <c r="T24" s="46" t="str">
        <f aca="false">IF(AND(N24="",ISNUMBER(G24),G24&lt;=100,ISNUMBER(P24),OR(LEFT(C24,3)="IOU",C24="muni/coop",LEFT(C24,5)="other")),P24,"")</f>
        <v/>
      </c>
    </row>
    <row r="25" customFormat="false" ht="42" hidden="false" customHeight="true" outlineLevel="0" collapsed="false">
      <c r="A25" s="13" t="s">
        <v>616</v>
      </c>
      <c r="B25" s="13" t="s">
        <v>608</v>
      </c>
      <c r="C25" s="13" t="s">
        <v>458</v>
      </c>
      <c r="D25" s="13" t="s">
        <v>609</v>
      </c>
      <c r="E25" s="13" t="s">
        <v>610</v>
      </c>
      <c r="F25" s="32" t="n">
        <v>200</v>
      </c>
      <c r="G25" s="32" t="n">
        <v>800</v>
      </c>
      <c r="H25" s="32" t="n">
        <v>2026</v>
      </c>
      <c r="I25" s="27" t="n">
        <v>350000000</v>
      </c>
      <c r="J25" s="13" t="s">
        <v>617</v>
      </c>
      <c r="K25" s="13" t="s">
        <v>528</v>
      </c>
      <c r="L25" s="13" t="s">
        <v>618</v>
      </c>
      <c r="M25" s="13" t="s">
        <v>218</v>
      </c>
      <c r="N25" s="13"/>
      <c r="O25" s="45" t="n">
        <f aca="false">IF(AND(ISNUMBER(F25),ISNUMBER(G25),F25&gt;0),G25/F25,"")</f>
        <v>4</v>
      </c>
      <c r="P25" s="46" t="n">
        <f aca="false">IF(AND(ISNUMBER(G25),ISNUMBER(I25),G25&gt;0),I25/(G25*1000),"")</f>
        <v>437.5</v>
      </c>
      <c r="Q25" s="46" t="n">
        <f aca="false">IF(AND(ISNUMBER(F25),ISNUMBER(I25),F25&gt;0),I25/(F25*1000),"")</f>
        <v>1750</v>
      </c>
      <c r="R25" s="47" t="s">
        <v>619</v>
      </c>
      <c r="S25" s="47" t="s">
        <v>620</v>
      </c>
      <c r="T25" s="46" t="str">
        <f aca="false">IF(AND(N25="",ISNUMBER(G25),G25&lt;=100,ISNUMBER(P25),OR(LEFT(C25,3)="IOU",C25="muni/coop",LEFT(C25,5)="other")),P25,"")</f>
        <v/>
      </c>
    </row>
    <row r="26" customFormat="false" ht="42" hidden="false" customHeight="true" outlineLevel="0" collapsed="false">
      <c r="A26" s="13" t="s">
        <v>621</v>
      </c>
      <c r="B26" s="13" t="s">
        <v>622</v>
      </c>
      <c r="C26" s="13" t="s">
        <v>458</v>
      </c>
      <c r="D26" s="13" t="s">
        <v>623</v>
      </c>
      <c r="E26" s="13" t="s">
        <v>601</v>
      </c>
      <c r="F26" s="32" t="n">
        <v>200</v>
      </c>
      <c r="G26" s="32"/>
      <c r="H26" s="32" t="n">
        <v>2026</v>
      </c>
      <c r="I26" s="27" t="n">
        <v>430000000</v>
      </c>
      <c r="J26" s="13" t="s">
        <v>624</v>
      </c>
      <c r="K26" s="13" t="s">
        <v>625</v>
      </c>
      <c r="L26" s="13" t="s">
        <v>626</v>
      </c>
      <c r="M26" s="13" t="s">
        <v>218</v>
      </c>
      <c r="N26" s="13" t="s">
        <v>627</v>
      </c>
      <c r="O26" s="45" t="str">
        <f aca="false">IF(AND(ISNUMBER(F26),ISNUMBER(G26),F26&gt;0),G26/F26,"")</f>
        <v/>
      </c>
      <c r="P26" s="46" t="str">
        <f aca="false">IF(AND(ISNUMBER(G26),ISNUMBER(I26),G26&gt;0),I26/(G26*1000),"")</f>
        <v/>
      </c>
      <c r="Q26" s="46" t="n">
        <f aca="false">IF(AND(ISNUMBER(F26),ISNUMBER(I26),F26&gt;0),I26/(F26*1000),"")</f>
        <v>2150</v>
      </c>
      <c r="R26" s="47" t="s">
        <v>628</v>
      </c>
      <c r="S26" s="47" t="s">
        <v>629</v>
      </c>
      <c r="T26" s="46" t="str">
        <f aca="false">IF(AND(N26="",ISNUMBER(G26),G26&lt;=100,ISNUMBER(P26),OR(LEFT(C26,3)="IOU",C26="muni/coop",LEFT(C26,5)="other")),P26,"")</f>
        <v/>
      </c>
    </row>
    <row r="27" customFormat="false" ht="42" hidden="false" customHeight="true" outlineLevel="0" collapsed="false">
      <c r="A27" s="13" t="s">
        <v>630</v>
      </c>
      <c r="B27" s="13" t="s">
        <v>631</v>
      </c>
      <c r="C27" s="13" t="s">
        <v>458</v>
      </c>
      <c r="D27" s="13" t="s">
        <v>632</v>
      </c>
      <c r="E27" s="13" t="s">
        <v>601</v>
      </c>
      <c r="F27" s="32" t="n">
        <v>20</v>
      </c>
      <c r="G27" s="32" t="n">
        <v>20</v>
      </c>
      <c r="H27" s="32" t="n">
        <v>2016</v>
      </c>
      <c r="I27" s="27" t="n">
        <v>25000000</v>
      </c>
      <c r="J27" s="13" t="s">
        <v>633</v>
      </c>
      <c r="K27" s="13" t="s">
        <v>528</v>
      </c>
      <c r="L27" s="13" t="s">
        <v>634</v>
      </c>
      <c r="M27" s="13" t="s">
        <v>218</v>
      </c>
      <c r="N27" s="13"/>
      <c r="O27" s="45" t="n">
        <f aca="false">IF(AND(ISNUMBER(F27),ISNUMBER(G27),F27&gt;0),G27/F27,"")</f>
        <v>1</v>
      </c>
      <c r="P27" s="46" t="n">
        <f aca="false">IF(AND(ISNUMBER(G27),ISNUMBER(I27),G27&gt;0),I27/(G27*1000),"")</f>
        <v>1250</v>
      </c>
      <c r="Q27" s="46" t="n">
        <f aca="false">IF(AND(ISNUMBER(F27),ISNUMBER(I27),F27&gt;0),I27/(F27*1000),"")</f>
        <v>1250</v>
      </c>
      <c r="R27" s="47" t="s">
        <v>635</v>
      </c>
      <c r="S27" s="47" t="s">
        <v>636</v>
      </c>
      <c r="T27" s="46" t="n">
        <f aca="false">IF(AND(N27="",ISNUMBER(G27),G27&lt;=100,ISNUMBER(P27),OR(LEFT(C27,3)="IOU",C27="muni/coop",LEFT(C27,5)="other")),P27,"")</f>
        <v>1250</v>
      </c>
    </row>
    <row r="28" customFormat="false" ht="42" hidden="false" customHeight="true" outlineLevel="0" collapsed="false">
      <c r="A28" s="13" t="s">
        <v>637</v>
      </c>
      <c r="B28" s="13" t="s">
        <v>638</v>
      </c>
      <c r="C28" s="13" t="s">
        <v>483</v>
      </c>
      <c r="D28" s="13" t="s">
        <v>639</v>
      </c>
      <c r="E28" s="13" t="s">
        <v>640</v>
      </c>
      <c r="F28" s="32" t="n">
        <v>1.5</v>
      </c>
      <c r="G28" s="32" t="n">
        <v>3</v>
      </c>
      <c r="H28" s="32" t="n">
        <v>2018</v>
      </c>
      <c r="I28" s="27" t="n">
        <v>3000000</v>
      </c>
      <c r="J28" s="13" t="s">
        <v>461</v>
      </c>
      <c r="K28" s="13" t="s">
        <v>641</v>
      </c>
      <c r="L28" s="13" t="s">
        <v>642</v>
      </c>
      <c r="M28" s="13" t="s">
        <v>218</v>
      </c>
      <c r="N28" s="13"/>
      <c r="O28" s="45" t="n">
        <f aca="false">IF(AND(ISNUMBER(F28),ISNUMBER(G28),F28&gt;0),G28/F28,"")</f>
        <v>2</v>
      </c>
      <c r="P28" s="46" t="n">
        <f aca="false">IF(AND(ISNUMBER(G28),ISNUMBER(I28),G28&gt;0),I28/(G28*1000),"")</f>
        <v>1000</v>
      </c>
      <c r="Q28" s="46" t="n">
        <f aca="false">IF(AND(ISNUMBER(F28),ISNUMBER(I28),F28&gt;0),I28/(F28*1000),"")</f>
        <v>2000</v>
      </c>
      <c r="R28" s="47" t="s">
        <v>643</v>
      </c>
      <c r="S28" s="47" t="s">
        <v>644</v>
      </c>
      <c r="T28" s="46" t="n">
        <f aca="false">IF(AND(N28="",ISNUMBER(G28),G28&lt;=100,ISNUMBER(P28),OR(LEFT(C28,3)="IOU",C28="muni/coop",LEFT(C28,5)="other")),P28,"")</f>
        <v>1000</v>
      </c>
    </row>
    <row r="29" customFormat="false" ht="42" hidden="false" customHeight="true" outlineLevel="0" collapsed="false">
      <c r="A29" s="13" t="s">
        <v>645</v>
      </c>
      <c r="B29" s="13" t="s">
        <v>646</v>
      </c>
      <c r="C29" s="13" t="s">
        <v>458</v>
      </c>
      <c r="D29" s="13" t="s">
        <v>647</v>
      </c>
      <c r="E29" s="13" t="s">
        <v>648</v>
      </c>
      <c r="F29" s="32" t="n">
        <v>150</v>
      </c>
      <c r="G29" s="32" t="n">
        <v>600</v>
      </c>
      <c r="H29" s="32" t="n">
        <v>2026</v>
      </c>
      <c r="I29" s="27" t="n">
        <v>258000000</v>
      </c>
      <c r="J29" s="13" t="s">
        <v>649</v>
      </c>
      <c r="K29" s="13" t="s">
        <v>650</v>
      </c>
      <c r="L29" s="13" t="s">
        <v>651</v>
      </c>
      <c r="M29" s="13" t="s">
        <v>199</v>
      </c>
      <c r="N29" s="13"/>
      <c r="O29" s="45" t="n">
        <f aca="false">IF(AND(ISNUMBER(F29),ISNUMBER(G29),F29&gt;0),G29/F29,"")</f>
        <v>4</v>
      </c>
      <c r="P29" s="46" t="n">
        <f aca="false">IF(AND(ISNUMBER(G29),ISNUMBER(I29),G29&gt;0),I29/(G29*1000),"")</f>
        <v>430</v>
      </c>
      <c r="Q29" s="46" t="n">
        <f aca="false">IF(AND(ISNUMBER(F29),ISNUMBER(I29),F29&gt;0),I29/(F29*1000),"")</f>
        <v>1720</v>
      </c>
      <c r="R29" s="47" t="s">
        <v>652</v>
      </c>
      <c r="S29" s="47" t="s">
        <v>653</v>
      </c>
      <c r="T29" s="46" t="str">
        <f aca="false">IF(AND(N29="",ISNUMBER(G29),G29&lt;=100,ISNUMBER(P29),OR(LEFT(C29,3)="IOU",C29="muni/coop",LEFT(C29,5)="other")),P29,"")</f>
        <v/>
      </c>
    </row>
    <row r="30" customFormat="false" ht="42" hidden="false" customHeight="true" outlineLevel="0" collapsed="false">
      <c r="A30" s="13" t="s">
        <v>654</v>
      </c>
      <c r="B30" s="13" t="s">
        <v>655</v>
      </c>
      <c r="C30" s="13" t="s">
        <v>483</v>
      </c>
      <c r="D30" s="13" t="s">
        <v>656</v>
      </c>
      <c r="E30" s="13" t="s">
        <v>510</v>
      </c>
      <c r="F30" s="32" t="n">
        <v>40</v>
      </c>
      <c r="G30" s="32" t="n">
        <v>22</v>
      </c>
      <c r="H30" s="32"/>
      <c r="I30" s="27" t="n">
        <v>43000000</v>
      </c>
      <c r="J30" s="13" t="s">
        <v>657</v>
      </c>
      <c r="K30" s="13" t="s">
        <v>658</v>
      </c>
      <c r="L30" s="13" t="s">
        <v>659</v>
      </c>
      <c r="M30" s="13" t="s">
        <v>218</v>
      </c>
      <c r="N30" s="13"/>
      <c r="O30" s="45" t="n">
        <f aca="false">IF(AND(ISNUMBER(F30),ISNUMBER(G30),F30&gt;0),G30/F30,"")</f>
        <v>0.55</v>
      </c>
      <c r="P30" s="46" t="n">
        <f aca="false">IF(AND(ISNUMBER(G30),ISNUMBER(I30),G30&gt;0),I30/(G30*1000),"")</f>
        <v>1954.54545454545</v>
      </c>
      <c r="Q30" s="46" t="n">
        <f aca="false">IF(AND(ISNUMBER(F30),ISNUMBER(I30),F30&gt;0),I30/(F30*1000),"")</f>
        <v>1075</v>
      </c>
      <c r="R30" s="47" t="s">
        <v>660</v>
      </c>
      <c r="S30" s="47" t="s">
        <v>661</v>
      </c>
      <c r="T30" s="46" t="n">
        <f aca="false">IF(AND(N30="",ISNUMBER(G30),G30&lt;=100,ISNUMBER(P30),OR(LEFT(C30,3)="IOU",C30="muni/coop",LEFT(C30,5)="other")),P30,"")</f>
        <v>1954.54545454545</v>
      </c>
    </row>
    <row r="31" customFormat="false" ht="42" hidden="false" customHeight="true" outlineLevel="0" collapsed="false">
      <c r="A31" s="13" t="s">
        <v>662</v>
      </c>
      <c r="B31" s="13" t="s">
        <v>663</v>
      </c>
      <c r="C31" s="13" t="s">
        <v>458</v>
      </c>
      <c r="D31" s="13" t="s">
        <v>664</v>
      </c>
      <c r="E31" s="13" t="s">
        <v>578</v>
      </c>
      <c r="F31" s="32" t="n">
        <v>2.5</v>
      </c>
      <c r="G31" s="32" t="n">
        <v>9.74</v>
      </c>
      <c r="H31" s="32" t="n">
        <v>2023</v>
      </c>
      <c r="I31" s="27" t="n">
        <v>16161336</v>
      </c>
      <c r="J31" s="13" t="s">
        <v>665</v>
      </c>
      <c r="K31" s="13" t="s">
        <v>666</v>
      </c>
      <c r="L31" s="13" t="s">
        <v>667</v>
      </c>
      <c r="M31" s="13" t="s">
        <v>199</v>
      </c>
      <c r="N31" s="13"/>
      <c r="O31" s="45" t="n">
        <f aca="false">IF(AND(ISNUMBER(F31),ISNUMBER(G31),F31&gt;0),G31/F31,"")</f>
        <v>3.896</v>
      </c>
      <c r="P31" s="46" t="n">
        <f aca="false">IF(AND(ISNUMBER(G31),ISNUMBER(I31),G31&gt;0),I31/(G31*1000),"")</f>
        <v>1659.27474332649</v>
      </c>
      <c r="Q31" s="46" t="n">
        <f aca="false">IF(AND(ISNUMBER(F31),ISNUMBER(I31),F31&gt;0),I31/(F31*1000),"")</f>
        <v>6464.5344</v>
      </c>
      <c r="R31" s="47" t="s">
        <v>668</v>
      </c>
      <c r="S31" s="47" t="s">
        <v>669</v>
      </c>
      <c r="T31" s="46" t="n">
        <f aca="false">IF(AND(N31="",ISNUMBER(G31),G31&lt;=100,ISNUMBER(P31),OR(LEFT(C31,3)="IOU",C31="muni/coop",LEFT(C31,5)="other")),P31,"")</f>
        <v>1659.27474332649</v>
      </c>
    </row>
    <row r="32" customFormat="false" ht="42" hidden="false" customHeight="true" outlineLevel="0" collapsed="false">
      <c r="A32" s="13" t="s">
        <v>670</v>
      </c>
      <c r="B32" s="13" t="s">
        <v>671</v>
      </c>
      <c r="C32" s="13" t="s">
        <v>672</v>
      </c>
      <c r="D32" s="13" t="s">
        <v>673</v>
      </c>
      <c r="E32" s="13" t="s">
        <v>674</v>
      </c>
      <c r="F32" s="32" t="n">
        <v>20</v>
      </c>
      <c r="G32" s="32" t="n">
        <v>20</v>
      </c>
      <c r="H32" s="32" t="n">
        <v>2024</v>
      </c>
      <c r="I32" s="27" t="n">
        <v>25200000</v>
      </c>
      <c r="J32" s="13" t="s">
        <v>675</v>
      </c>
      <c r="K32" s="13" t="s">
        <v>528</v>
      </c>
      <c r="L32" s="13" t="s">
        <v>676</v>
      </c>
      <c r="M32" s="13" t="s">
        <v>199</v>
      </c>
      <c r="N32" s="13"/>
      <c r="O32" s="45" t="n">
        <f aca="false">IF(AND(ISNUMBER(F32),ISNUMBER(G32),F32&gt;0),G32/F32,"")</f>
        <v>1</v>
      </c>
      <c r="P32" s="46" t="n">
        <f aca="false">IF(AND(ISNUMBER(G32),ISNUMBER(I32),G32&gt;0),I32/(G32*1000),"")</f>
        <v>1260</v>
      </c>
      <c r="Q32" s="46" t="n">
        <f aca="false">IF(AND(ISNUMBER(F32),ISNUMBER(I32),F32&gt;0),I32/(F32*1000),"")</f>
        <v>1260</v>
      </c>
      <c r="R32" s="47" t="s">
        <v>677</v>
      </c>
      <c r="S32" s="47" t="s">
        <v>678</v>
      </c>
      <c r="T32" s="46" t="n">
        <f aca="false">IF(AND(N32="",ISNUMBER(G32),G32&lt;=100,ISNUMBER(P32),OR(LEFT(C32,3)="IOU",C32="muni/coop",LEFT(C32,5)="other")),P32,"")</f>
        <v>1260</v>
      </c>
    </row>
    <row r="33" customFormat="false" ht="42" hidden="false" customHeight="true" outlineLevel="0" collapsed="false">
      <c r="A33" s="13" t="s">
        <v>679</v>
      </c>
      <c r="B33" s="13" t="s">
        <v>544</v>
      </c>
      <c r="C33" s="13" t="s">
        <v>458</v>
      </c>
      <c r="D33" s="13" t="s">
        <v>545</v>
      </c>
      <c r="E33" s="13" t="s">
        <v>460</v>
      </c>
      <c r="F33" s="32" t="n">
        <v>4</v>
      </c>
      <c r="G33" s="32" t="n">
        <v>3.4</v>
      </c>
      <c r="H33" s="32" t="n">
        <v>2015</v>
      </c>
      <c r="I33" s="27" t="n">
        <v>4200000</v>
      </c>
      <c r="J33" s="13" t="s">
        <v>680</v>
      </c>
      <c r="K33" s="13" t="s">
        <v>681</v>
      </c>
      <c r="L33" s="13" t="s">
        <v>682</v>
      </c>
      <c r="M33" s="13" t="s">
        <v>218</v>
      </c>
      <c r="N33" s="13"/>
      <c r="O33" s="45" t="n">
        <f aca="false">IF(AND(ISNUMBER(F33),ISNUMBER(G33),F33&gt;0),G33/F33,"")</f>
        <v>0.85</v>
      </c>
      <c r="P33" s="46" t="n">
        <f aca="false">IF(AND(ISNUMBER(G33),ISNUMBER(I33),G33&gt;0),I33/(G33*1000),"")</f>
        <v>1235.29411764706</v>
      </c>
      <c r="Q33" s="46" t="n">
        <f aca="false">IF(AND(ISNUMBER(F33),ISNUMBER(I33),F33&gt;0),I33/(F33*1000),"")</f>
        <v>1050</v>
      </c>
      <c r="R33" s="47" t="s">
        <v>683</v>
      </c>
      <c r="S33" s="47" t="s">
        <v>684</v>
      </c>
      <c r="T33" s="46" t="n">
        <f aca="false">IF(AND(N33="",ISNUMBER(G33),G33&lt;=100,ISNUMBER(P33),OR(LEFT(C33,3)="IOU",C33="muni/coop",LEFT(C33,5)="other")),P33,"")</f>
        <v>1235.29411764706</v>
      </c>
    </row>
    <row r="34" customFormat="false" ht="42" hidden="false" customHeight="true" outlineLevel="0" collapsed="false">
      <c r="A34" s="13" t="s">
        <v>685</v>
      </c>
      <c r="B34" s="13" t="s">
        <v>686</v>
      </c>
      <c r="C34" s="13" t="s">
        <v>458</v>
      </c>
      <c r="D34" s="13" t="s">
        <v>687</v>
      </c>
      <c r="E34" s="13" t="s">
        <v>688</v>
      </c>
      <c r="F34" s="32" t="n">
        <v>119</v>
      </c>
      <c r="G34" s="32"/>
      <c r="H34" s="32" t="n">
        <v>2024</v>
      </c>
      <c r="I34" s="27" t="n">
        <v>267900000</v>
      </c>
      <c r="J34" s="13" t="s">
        <v>689</v>
      </c>
      <c r="K34" s="13" t="s">
        <v>666</v>
      </c>
      <c r="L34" s="13" t="s">
        <v>690</v>
      </c>
      <c r="M34" s="13" t="s">
        <v>199</v>
      </c>
      <c r="N34" s="13"/>
      <c r="O34" s="45" t="str">
        <f aca="false">IF(AND(ISNUMBER(F34),ISNUMBER(G34),F34&gt;0),G34/F34,"")</f>
        <v/>
      </c>
      <c r="P34" s="46" t="str">
        <f aca="false">IF(AND(ISNUMBER(G34),ISNUMBER(I34),G34&gt;0),I34/(G34*1000),"")</f>
        <v/>
      </c>
      <c r="Q34" s="46" t="n">
        <f aca="false">IF(AND(ISNUMBER(F34),ISNUMBER(I34),F34&gt;0),I34/(F34*1000),"")</f>
        <v>2251.26050420168</v>
      </c>
      <c r="R34" s="47" t="s">
        <v>691</v>
      </c>
      <c r="S34" s="47" t="s">
        <v>692</v>
      </c>
      <c r="T34" s="46" t="str">
        <f aca="false">IF(AND(N34="",ISNUMBER(G34),G34&lt;=100,ISNUMBER(P34),OR(LEFT(C34,3)="IOU",C34="muni/coop",LEFT(C34,5)="other")),P34,"")</f>
        <v/>
      </c>
    </row>
    <row r="35" customFormat="false" ht="42" hidden="false" customHeight="true" outlineLevel="0" collapsed="false">
      <c r="A35" s="13" t="s">
        <v>693</v>
      </c>
      <c r="B35" s="13" t="s">
        <v>686</v>
      </c>
      <c r="C35" s="13" t="s">
        <v>458</v>
      </c>
      <c r="D35" s="13" t="s">
        <v>687</v>
      </c>
      <c r="E35" s="13" t="s">
        <v>688</v>
      </c>
      <c r="F35" s="32" t="n">
        <v>100</v>
      </c>
      <c r="G35" s="32"/>
      <c r="H35" s="32" t="n">
        <v>2025</v>
      </c>
      <c r="I35" s="27" t="n">
        <v>224500000</v>
      </c>
      <c r="J35" s="13" t="s">
        <v>694</v>
      </c>
      <c r="K35" s="13" t="s">
        <v>666</v>
      </c>
      <c r="L35" s="13" t="s">
        <v>695</v>
      </c>
      <c r="M35" s="13" t="s">
        <v>199</v>
      </c>
      <c r="N35" s="13"/>
      <c r="O35" s="45" t="str">
        <f aca="false">IF(AND(ISNUMBER(F35),ISNUMBER(G35),F35&gt;0),G35/F35,"")</f>
        <v/>
      </c>
      <c r="P35" s="46" t="str">
        <f aca="false">IF(AND(ISNUMBER(G35),ISNUMBER(I35),G35&gt;0),I35/(G35*1000),"")</f>
        <v/>
      </c>
      <c r="Q35" s="46" t="n">
        <f aca="false">IF(AND(ISNUMBER(F35),ISNUMBER(I35),F35&gt;0),I35/(F35*1000),"")</f>
        <v>2245</v>
      </c>
      <c r="R35" s="47" t="s">
        <v>691</v>
      </c>
      <c r="S35" s="47" t="s">
        <v>696</v>
      </c>
      <c r="T35" s="46" t="str">
        <f aca="false">IF(AND(N35="",ISNUMBER(G35),G35&lt;=100,ISNUMBER(P35),OR(LEFT(C35,3)="IOU",C35="muni/coop",LEFT(C35,5)="other")),P35,"")</f>
        <v/>
      </c>
    </row>
    <row r="36" customFormat="false" ht="42" hidden="false" customHeight="true" outlineLevel="0" collapsed="false">
      <c r="A36" s="13" t="s">
        <v>697</v>
      </c>
      <c r="B36" s="13" t="s">
        <v>698</v>
      </c>
      <c r="C36" s="13" t="s">
        <v>699</v>
      </c>
      <c r="D36" s="13" t="s">
        <v>700</v>
      </c>
      <c r="E36" s="13" t="s">
        <v>701</v>
      </c>
      <c r="F36" s="32" t="n">
        <v>6</v>
      </c>
      <c r="G36" s="32" t="n">
        <v>10</v>
      </c>
      <c r="H36" s="32" t="n">
        <v>2014</v>
      </c>
      <c r="I36" s="27" t="n">
        <v>29000000</v>
      </c>
      <c r="J36" s="13" t="s">
        <v>702</v>
      </c>
      <c r="K36" s="13" t="s">
        <v>703</v>
      </c>
      <c r="L36" s="13" t="s">
        <v>704</v>
      </c>
      <c r="M36" s="13" t="s">
        <v>199</v>
      </c>
      <c r="N36" s="13" t="s">
        <v>705</v>
      </c>
      <c r="O36" s="45" t="n">
        <f aca="false">IF(AND(ISNUMBER(F36),ISNUMBER(G36),F36&gt;0),G36/F36,"")</f>
        <v>1.66666666666667</v>
      </c>
      <c r="P36" s="46" t="n">
        <f aca="false">IF(AND(ISNUMBER(G36),ISNUMBER(I36),G36&gt;0),I36/(G36*1000),"")</f>
        <v>2900</v>
      </c>
      <c r="Q36" s="46" t="n">
        <f aca="false">IF(AND(ISNUMBER(F36),ISNUMBER(I36),F36&gt;0),I36/(F36*1000),"")</f>
        <v>4833.33333333333</v>
      </c>
      <c r="R36" s="47" t="s">
        <v>706</v>
      </c>
      <c r="S36" s="47" t="s">
        <v>707</v>
      </c>
      <c r="T36" s="46" t="str">
        <f aca="false">IF(AND(N36="",ISNUMBER(G36),G36&lt;=100,ISNUMBER(P36),OR(LEFT(C36,3)="IOU",C36="muni/coop",LEFT(C36,5)="other")),P36,"")</f>
        <v/>
      </c>
    </row>
    <row r="37" customFormat="false" ht="42" hidden="false" customHeight="true" outlineLevel="0" collapsed="false">
      <c r="A37" s="13" t="s">
        <v>708</v>
      </c>
      <c r="B37" s="13" t="s">
        <v>709</v>
      </c>
      <c r="C37" s="13" t="s">
        <v>710</v>
      </c>
      <c r="D37" s="13" t="s">
        <v>711</v>
      </c>
      <c r="E37" s="13" t="s">
        <v>712</v>
      </c>
      <c r="F37" s="32" t="n">
        <v>30</v>
      </c>
      <c r="G37" s="32" t="n">
        <v>8</v>
      </c>
      <c r="H37" s="32" t="n">
        <v>2018</v>
      </c>
      <c r="I37" s="27" t="n">
        <v>22200000</v>
      </c>
      <c r="J37" s="13" t="s">
        <v>461</v>
      </c>
      <c r="K37" s="13" t="s">
        <v>528</v>
      </c>
      <c r="L37" s="13" t="s">
        <v>713</v>
      </c>
      <c r="M37" s="13" t="s">
        <v>199</v>
      </c>
      <c r="N37" s="13"/>
      <c r="O37" s="45" t="n">
        <f aca="false">IF(AND(ISNUMBER(F37),ISNUMBER(G37),F37&gt;0),G37/F37,"")</f>
        <v>0.266666666666667</v>
      </c>
      <c r="P37" s="46" t="n">
        <f aca="false">IF(AND(ISNUMBER(G37),ISNUMBER(I37),G37&gt;0),I37/(G37*1000),"")</f>
        <v>2775</v>
      </c>
      <c r="Q37" s="46" t="n">
        <f aca="false">IF(AND(ISNUMBER(F37),ISNUMBER(I37),F37&gt;0),I37/(F37*1000),"")</f>
        <v>740</v>
      </c>
      <c r="R37" s="47" t="s">
        <v>714</v>
      </c>
      <c r="S37" s="47" t="s">
        <v>715</v>
      </c>
      <c r="T37" s="46" t="n">
        <f aca="false">IF(AND(N37="",ISNUMBER(G37),G37&lt;=100,ISNUMBER(P37),OR(LEFT(C37,3)="IOU",C37="muni/coop",LEFT(C37,5)="other")),P37,"")</f>
        <v>2775</v>
      </c>
    </row>
    <row r="38" customFormat="false" ht="42" hidden="false" customHeight="true" outlineLevel="0" collapsed="false">
      <c r="A38" s="13" t="s">
        <v>716</v>
      </c>
      <c r="B38" s="13" t="s">
        <v>717</v>
      </c>
      <c r="C38" s="13" t="s">
        <v>718</v>
      </c>
      <c r="D38" s="13" t="s">
        <v>719</v>
      </c>
      <c r="E38" s="13" t="s">
        <v>720</v>
      </c>
      <c r="F38" s="32" t="n">
        <v>250</v>
      </c>
      <c r="G38" s="32" t="n">
        <v>1000</v>
      </c>
      <c r="H38" s="32" t="n">
        <v>2025</v>
      </c>
      <c r="I38" s="27" t="n">
        <v>511000000</v>
      </c>
      <c r="J38" s="13" t="s">
        <v>721</v>
      </c>
      <c r="K38" s="13" t="s">
        <v>528</v>
      </c>
      <c r="L38" s="13" t="s">
        <v>722</v>
      </c>
      <c r="M38" s="13" t="s">
        <v>199</v>
      </c>
      <c r="N38" s="13"/>
      <c r="O38" s="45" t="n">
        <f aca="false">IF(AND(ISNUMBER(F38),ISNUMBER(G38),F38&gt;0),G38/F38,"")</f>
        <v>4</v>
      </c>
      <c r="P38" s="46" t="n">
        <f aca="false">IF(AND(ISNUMBER(G38),ISNUMBER(I38),G38&gt;0),I38/(G38*1000),"")</f>
        <v>511</v>
      </c>
      <c r="Q38" s="46" t="n">
        <f aca="false">IF(AND(ISNUMBER(F38),ISNUMBER(I38),F38&gt;0),I38/(F38*1000),"")</f>
        <v>2044</v>
      </c>
      <c r="R38" s="47" t="s">
        <v>723</v>
      </c>
      <c r="S38" s="47" t="s">
        <v>724</v>
      </c>
      <c r="T38" s="46" t="str">
        <f aca="false">IF(AND(N38="",ISNUMBER(G38),G38&lt;=100,ISNUMBER(P38),OR(LEFT(C38,3)="IOU",C38="muni/coop",LEFT(C38,5)="other")),P38,"")</f>
        <v/>
      </c>
    </row>
    <row r="39" customFormat="false" ht="42" hidden="false" customHeight="true" outlineLevel="0" collapsed="false">
      <c r="A39" s="13" t="s">
        <v>725</v>
      </c>
      <c r="B39" s="13" t="s">
        <v>726</v>
      </c>
      <c r="C39" s="13" t="s">
        <v>483</v>
      </c>
      <c r="D39" s="13" t="s">
        <v>639</v>
      </c>
      <c r="E39" s="13" t="s">
        <v>640</v>
      </c>
      <c r="F39" s="32" t="n">
        <v>10</v>
      </c>
      <c r="G39" s="32" t="n">
        <v>10</v>
      </c>
      <c r="H39" s="32" t="n">
        <v>2019</v>
      </c>
      <c r="I39" s="27" t="n">
        <v>16300000</v>
      </c>
      <c r="J39" s="13" t="s">
        <v>727</v>
      </c>
      <c r="K39" s="13" t="s">
        <v>728</v>
      </c>
      <c r="L39" s="13" t="s">
        <v>729</v>
      </c>
      <c r="M39" s="13" t="s">
        <v>218</v>
      </c>
      <c r="N39" s="13" t="s">
        <v>730</v>
      </c>
      <c r="O39" s="45" t="n">
        <f aca="false">IF(AND(ISNUMBER(F39),ISNUMBER(G39),F39&gt;0),G39/F39,"")</f>
        <v>1</v>
      </c>
      <c r="P39" s="46" t="n">
        <f aca="false">IF(AND(ISNUMBER(G39),ISNUMBER(I39),G39&gt;0),I39/(G39*1000),"")</f>
        <v>1630</v>
      </c>
      <c r="Q39" s="46" t="n">
        <f aca="false">IF(AND(ISNUMBER(F39),ISNUMBER(I39),F39&gt;0),I39/(F39*1000),"")</f>
        <v>1630</v>
      </c>
      <c r="R39" s="47" t="s">
        <v>731</v>
      </c>
      <c r="S39" s="47" t="s">
        <v>732</v>
      </c>
      <c r="T39" s="46" t="str">
        <f aca="false">IF(AND(N39="",ISNUMBER(G39),G39&lt;=100,ISNUMBER(P39),OR(LEFT(C39,3)="IOU",C39="muni/coop",LEFT(C39,5)="other")),P39,"")</f>
        <v/>
      </c>
    </row>
    <row r="40" customFormat="false" ht="42" hidden="false" customHeight="true" outlineLevel="0" collapsed="false">
      <c r="A40" s="13" t="s">
        <v>733</v>
      </c>
      <c r="B40" s="13" t="s">
        <v>734</v>
      </c>
      <c r="C40" s="13" t="s">
        <v>458</v>
      </c>
      <c r="D40" s="13" t="s">
        <v>687</v>
      </c>
      <c r="E40" s="13" t="s">
        <v>688</v>
      </c>
      <c r="F40" s="32" t="n">
        <v>537.5</v>
      </c>
      <c r="G40" s="32" t="n">
        <v>2150</v>
      </c>
      <c r="H40" s="32" t="n">
        <v>2022</v>
      </c>
      <c r="I40" s="27" t="n">
        <v>1226000000</v>
      </c>
      <c r="J40" s="13" t="s">
        <v>735</v>
      </c>
      <c r="K40" s="13" t="s">
        <v>736</v>
      </c>
      <c r="L40" s="13" t="s">
        <v>659</v>
      </c>
      <c r="M40" s="13" t="s">
        <v>199</v>
      </c>
      <c r="N40" s="13"/>
      <c r="O40" s="45" t="n">
        <f aca="false">IF(AND(ISNUMBER(F40),ISNUMBER(G40),F40&gt;0),G40/F40,"")</f>
        <v>4</v>
      </c>
      <c r="P40" s="46" t="n">
        <f aca="false">IF(AND(ISNUMBER(G40),ISNUMBER(I40),G40&gt;0),I40/(G40*1000),"")</f>
        <v>570.232558139535</v>
      </c>
      <c r="Q40" s="46" t="n">
        <f aca="false">IF(AND(ISNUMBER(F40),ISNUMBER(I40),F40&gt;0),I40/(F40*1000),"")</f>
        <v>2280.93023255814</v>
      </c>
      <c r="R40" s="47" t="s">
        <v>284</v>
      </c>
      <c r="S40" s="47" t="s">
        <v>737</v>
      </c>
      <c r="T40" s="46" t="str">
        <f aca="false">IF(AND(N40="",ISNUMBER(G40),G40&lt;=100,ISNUMBER(P40),OR(LEFT(C40,3)="IOU",C40="muni/coop",LEFT(C40,5)="other")),P40,"")</f>
        <v/>
      </c>
    </row>
    <row r="41" customFormat="false" ht="42" hidden="false" customHeight="true" outlineLevel="0" collapsed="false">
      <c r="A41" s="13" t="s">
        <v>738</v>
      </c>
      <c r="B41" s="13" t="s">
        <v>739</v>
      </c>
      <c r="C41" s="13" t="s">
        <v>672</v>
      </c>
      <c r="D41" s="13" t="s">
        <v>740</v>
      </c>
      <c r="E41" s="13" t="s">
        <v>741</v>
      </c>
      <c r="F41" s="32" t="n">
        <v>7</v>
      </c>
      <c r="G41" s="32" t="n">
        <v>40</v>
      </c>
      <c r="H41" s="32" t="n">
        <v>2023</v>
      </c>
      <c r="I41" s="27" t="n">
        <v>25900000</v>
      </c>
      <c r="J41" s="13" t="s">
        <v>742</v>
      </c>
      <c r="K41" s="13" t="s">
        <v>528</v>
      </c>
      <c r="L41" s="13" t="s">
        <v>743</v>
      </c>
      <c r="M41" s="13" t="s">
        <v>199</v>
      </c>
      <c r="N41" s="13"/>
      <c r="O41" s="45" t="n">
        <f aca="false">IF(AND(ISNUMBER(F41),ISNUMBER(G41),F41&gt;0),G41/F41,"")</f>
        <v>5.71428571428571</v>
      </c>
      <c r="P41" s="46" t="n">
        <f aca="false">IF(AND(ISNUMBER(G41),ISNUMBER(I41),G41&gt;0),I41/(G41*1000),"")</f>
        <v>647.5</v>
      </c>
      <c r="Q41" s="46" t="n">
        <f aca="false">IF(AND(ISNUMBER(F41),ISNUMBER(I41),F41&gt;0),I41/(F41*1000),"")</f>
        <v>3700</v>
      </c>
      <c r="R41" s="47" t="s">
        <v>744</v>
      </c>
      <c r="S41" s="47" t="s">
        <v>745</v>
      </c>
      <c r="T41" s="46" t="n">
        <f aca="false">IF(AND(N41="",ISNUMBER(G41),G41&lt;=100,ISNUMBER(P41),OR(LEFT(C41,3)="IOU",C41="muni/coop",LEFT(C41,5)="other")),P41,"")</f>
        <v>647.5</v>
      </c>
    </row>
    <row r="42" customFormat="false" ht="42" hidden="false" customHeight="true" outlineLevel="0" collapsed="false">
      <c r="A42" s="13" t="s">
        <v>746</v>
      </c>
      <c r="B42" s="13" t="s">
        <v>567</v>
      </c>
      <c r="C42" s="13" t="s">
        <v>458</v>
      </c>
      <c r="D42" s="13" t="s">
        <v>568</v>
      </c>
      <c r="E42" s="13" t="s">
        <v>569</v>
      </c>
      <c r="F42" s="32" t="n">
        <v>9</v>
      </c>
      <c r="G42" s="32"/>
      <c r="H42" s="32" t="n">
        <v>2020</v>
      </c>
      <c r="I42" s="27" t="n">
        <v>15000000</v>
      </c>
      <c r="J42" s="13" t="s">
        <v>747</v>
      </c>
      <c r="K42" s="13" t="s">
        <v>528</v>
      </c>
      <c r="L42" s="13" t="s">
        <v>748</v>
      </c>
      <c r="M42" s="13" t="s">
        <v>218</v>
      </c>
      <c r="N42" s="13"/>
      <c r="O42" s="45" t="str">
        <f aca="false">IF(AND(ISNUMBER(F42),ISNUMBER(G42),F42&gt;0),G42/F42,"")</f>
        <v/>
      </c>
      <c r="P42" s="46" t="str">
        <f aca="false">IF(AND(ISNUMBER(G42),ISNUMBER(I42),G42&gt;0),I42/(G42*1000),"")</f>
        <v/>
      </c>
      <c r="Q42" s="46" t="n">
        <f aca="false">IF(AND(ISNUMBER(F42),ISNUMBER(I42),F42&gt;0),I42/(F42*1000),"")</f>
        <v>1666.66666666667</v>
      </c>
      <c r="R42" s="47" t="s">
        <v>749</v>
      </c>
      <c r="S42" s="47" t="s">
        <v>750</v>
      </c>
      <c r="T42" s="46" t="str">
        <f aca="false">IF(AND(N42="",ISNUMBER(G42),G42&lt;=100,ISNUMBER(P42),OR(LEFT(C42,3)="IOU",C42="muni/coop",LEFT(C42,5)="other")),P42,"")</f>
        <v/>
      </c>
    </row>
    <row r="43" customFormat="false" ht="42" hidden="false" customHeight="true" outlineLevel="0" collapsed="false">
      <c r="A43" s="13" t="s">
        <v>751</v>
      </c>
      <c r="B43" s="13" t="s">
        <v>752</v>
      </c>
      <c r="C43" s="13" t="s">
        <v>718</v>
      </c>
      <c r="D43" s="13" t="s">
        <v>687</v>
      </c>
      <c r="E43" s="13" t="s">
        <v>688</v>
      </c>
      <c r="F43" s="32" t="n">
        <v>600</v>
      </c>
      <c r="G43" s="32" t="n">
        <v>2400</v>
      </c>
      <c r="H43" s="32"/>
      <c r="I43" s="27" t="n">
        <v>550000000</v>
      </c>
      <c r="J43" s="13" t="s">
        <v>753</v>
      </c>
      <c r="K43" s="13" t="s">
        <v>528</v>
      </c>
      <c r="L43" s="13" t="s">
        <v>754</v>
      </c>
      <c r="M43" s="13" t="s">
        <v>198</v>
      </c>
      <c r="N43" s="13" t="s">
        <v>755</v>
      </c>
      <c r="O43" s="45" t="n">
        <f aca="false">IF(AND(ISNUMBER(F43),ISNUMBER(G43),F43&gt;0),G43/F43,"")</f>
        <v>4</v>
      </c>
      <c r="P43" s="46" t="n">
        <f aca="false">IF(AND(ISNUMBER(G43),ISNUMBER(I43),G43&gt;0),I43/(G43*1000),"")</f>
        <v>229.166666666667</v>
      </c>
      <c r="Q43" s="46" t="n">
        <f aca="false">IF(AND(ISNUMBER(F43),ISNUMBER(I43),F43&gt;0),I43/(F43*1000),"")</f>
        <v>916.666666666667</v>
      </c>
      <c r="R43" s="47" t="s">
        <v>756</v>
      </c>
      <c r="S43" s="47" t="s">
        <v>757</v>
      </c>
      <c r="T43" s="46" t="str">
        <f aca="false">IF(AND(N43="",ISNUMBER(G43),G43&lt;=100,ISNUMBER(P43),OR(LEFT(C43,3)="IOU",C43="muni/coop",LEFT(C43,5)="other")),P43,"")</f>
        <v/>
      </c>
    </row>
    <row r="44" customFormat="false" ht="42" hidden="false" customHeight="true" outlineLevel="0" collapsed="false">
      <c r="A44" s="13" t="s">
        <v>758</v>
      </c>
      <c r="B44" s="13" t="s">
        <v>759</v>
      </c>
      <c r="C44" s="13" t="s">
        <v>760</v>
      </c>
      <c r="D44" s="13" t="s">
        <v>761</v>
      </c>
      <c r="E44" s="13" t="s">
        <v>762</v>
      </c>
      <c r="F44" s="32" t="n">
        <v>100</v>
      </c>
      <c r="G44" s="32" t="n">
        <v>200</v>
      </c>
      <c r="H44" s="32" t="n">
        <v>2023</v>
      </c>
      <c r="I44" s="27" t="n">
        <v>103500000</v>
      </c>
      <c r="J44" s="13" t="s">
        <v>763</v>
      </c>
      <c r="K44" s="13" t="s">
        <v>528</v>
      </c>
      <c r="L44" s="13" t="s">
        <v>764</v>
      </c>
      <c r="M44" s="13" t="s">
        <v>218</v>
      </c>
      <c r="N44" s="13"/>
      <c r="O44" s="45" t="n">
        <f aca="false">IF(AND(ISNUMBER(F44),ISNUMBER(G44),F44&gt;0),G44/F44,"")</f>
        <v>2</v>
      </c>
      <c r="P44" s="46" t="n">
        <f aca="false">IF(AND(ISNUMBER(G44),ISNUMBER(I44),G44&gt;0),I44/(G44*1000),"")</f>
        <v>517.5</v>
      </c>
      <c r="Q44" s="46" t="n">
        <f aca="false">IF(AND(ISNUMBER(F44),ISNUMBER(I44),F44&gt;0),I44/(F44*1000),"")</f>
        <v>1035</v>
      </c>
      <c r="R44" s="47" t="s">
        <v>765</v>
      </c>
      <c r="S44" s="47" t="s">
        <v>766</v>
      </c>
      <c r="T44" s="46" t="str">
        <f aca="false">IF(AND(N44="",ISNUMBER(G44),G44&lt;=100,ISNUMBER(P44),OR(LEFT(C44,3)="IOU",C44="muni/coop",LEFT(C44,5)="other")),P44,"")</f>
        <v/>
      </c>
    </row>
    <row r="45" customFormat="false" ht="42" hidden="false" customHeight="true" outlineLevel="0" collapsed="false">
      <c r="A45" s="13" t="s">
        <v>767</v>
      </c>
      <c r="B45" s="13" t="s">
        <v>768</v>
      </c>
      <c r="C45" s="13" t="s">
        <v>718</v>
      </c>
      <c r="D45" s="13" t="s">
        <v>769</v>
      </c>
      <c r="E45" s="13" t="s">
        <v>770</v>
      </c>
      <c r="F45" s="32" t="n">
        <v>10</v>
      </c>
      <c r="G45" s="32" t="n">
        <v>20</v>
      </c>
      <c r="H45" s="32" t="n">
        <v>2020</v>
      </c>
      <c r="I45" s="27" t="n">
        <v>11000000</v>
      </c>
      <c r="J45" s="13" t="s">
        <v>771</v>
      </c>
      <c r="K45" s="13" t="s">
        <v>528</v>
      </c>
      <c r="L45" s="13" t="s">
        <v>772</v>
      </c>
      <c r="M45" s="13" t="s">
        <v>218</v>
      </c>
      <c r="N45" s="13"/>
      <c r="O45" s="45" t="n">
        <f aca="false">IF(AND(ISNUMBER(F45),ISNUMBER(G45),F45&gt;0),G45/F45,"")</f>
        <v>2</v>
      </c>
      <c r="P45" s="46" t="n">
        <f aca="false">IF(AND(ISNUMBER(G45),ISNUMBER(I45),G45&gt;0),I45/(G45*1000),"")</f>
        <v>550</v>
      </c>
      <c r="Q45" s="46" t="n">
        <f aca="false">IF(AND(ISNUMBER(F45),ISNUMBER(I45),F45&gt;0),I45/(F45*1000),"")</f>
        <v>1100</v>
      </c>
      <c r="R45" s="47" t="s">
        <v>773</v>
      </c>
      <c r="S45" s="47" t="s">
        <v>774</v>
      </c>
      <c r="T45" s="46" t="str">
        <f aca="false">IF(AND(N45="",ISNUMBER(G45),G45&lt;=100,ISNUMBER(P45),OR(LEFT(C45,3)="IOU",C45="muni/coop",LEFT(C45,5)="other")),P45,"")</f>
        <v/>
      </c>
    </row>
    <row r="46" customFormat="false" ht="42" hidden="false" customHeight="true" outlineLevel="0" collapsed="false">
      <c r="A46" s="13" t="s">
        <v>775</v>
      </c>
      <c r="B46" s="13" t="s">
        <v>776</v>
      </c>
      <c r="C46" s="13" t="s">
        <v>718</v>
      </c>
      <c r="D46" s="13" t="s">
        <v>777</v>
      </c>
      <c r="E46" s="13" t="s">
        <v>778</v>
      </c>
      <c r="F46" s="32"/>
      <c r="G46" s="32" t="n">
        <v>400</v>
      </c>
      <c r="H46" s="32" t="n">
        <v>2026</v>
      </c>
      <c r="I46" s="27" t="n">
        <v>141000000</v>
      </c>
      <c r="J46" s="13" t="s">
        <v>779</v>
      </c>
      <c r="K46" s="13" t="s">
        <v>528</v>
      </c>
      <c r="L46" s="13" t="s">
        <v>780</v>
      </c>
      <c r="M46" s="13" t="s">
        <v>218</v>
      </c>
      <c r="N46" s="13"/>
      <c r="O46" s="45" t="str">
        <f aca="false">IF(AND(ISNUMBER(F46),ISNUMBER(G46),F46&gt;0),G46/F46,"")</f>
        <v/>
      </c>
      <c r="P46" s="46" t="n">
        <f aca="false">IF(AND(ISNUMBER(G46),ISNUMBER(I46),G46&gt;0),I46/(G46*1000),"")</f>
        <v>352.5</v>
      </c>
      <c r="Q46" s="46" t="str">
        <f aca="false">IF(AND(ISNUMBER(F46),ISNUMBER(I46),F46&gt;0),I46/(F46*1000),"")</f>
        <v/>
      </c>
      <c r="R46" s="47" t="s">
        <v>781</v>
      </c>
      <c r="S46" s="47" t="s">
        <v>782</v>
      </c>
      <c r="T46" s="46" t="str">
        <f aca="false">IF(AND(N46="",ISNUMBER(G46),G46&lt;=100,ISNUMBER(P46),OR(LEFT(C46,3)="IOU",C46="muni/coop",LEFT(C46,5)="other")),P46,"")</f>
        <v/>
      </c>
    </row>
    <row r="47" customFormat="false" ht="42" hidden="false" customHeight="true" outlineLevel="0" collapsed="false">
      <c r="A47" s="13" t="s">
        <v>783</v>
      </c>
      <c r="B47" s="13" t="s">
        <v>784</v>
      </c>
      <c r="C47" s="13" t="s">
        <v>718</v>
      </c>
      <c r="D47" s="13" t="s">
        <v>687</v>
      </c>
      <c r="E47" s="13" t="s">
        <v>688</v>
      </c>
      <c r="F47" s="32" t="n">
        <v>25</v>
      </c>
      <c r="G47" s="32" t="n">
        <v>100</v>
      </c>
      <c r="H47" s="32" t="n">
        <v>2027</v>
      </c>
      <c r="I47" s="27" t="n">
        <v>55300000</v>
      </c>
      <c r="J47" s="13" t="s">
        <v>785</v>
      </c>
      <c r="K47" s="13" t="s">
        <v>786</v>
      </c>
      <c r="L47" s="13" t="s">
        <v>787</v>
      </c>
      <c r="M47" s="13" t="s">
        <v>218</v>
      </c>
      <c r="N47" s="13" t="s">
        <v>788</v>
      </c>
      <c r="O47" s="45" t="n">
        <f aca="false">IF(AND(ISNUMBER(F47),ISNUMBER(G47),F47&gt;0),G47/F47,"")</f>
        <v>4</v>
      </c>
      <c r="P47" s="46" t="n">
        <f aca="false">IF(AND(ISNUMBER(G47),ISNUMBER(I47),G47&gt;0),I47/(G47*1000),"")</f>
        <v>553</v>
      </c>
      <c r="Q47" s="46" t="n">
        <f aca="false">IF(AND(ISNUMBER(F47),ISNUMBER(I47),F47&gt;0),I47/(F47*1000),"")</f>
        <v>2212</v>
      </c>
      <c r="R47" s="47" t="s">
        <v>789</v>
      </c>
      <c r="S47" s="47" t="s">
        <v>790</v>
      </c>
      <c r="T47" s="46" t="str">
        <f aca="false">IF(AND(N47="",ISNUMBER(G47),G47&lt;=100,ISNUMBER(P47),OR(LEFT(C47,3)="IOU",C47="muni/coop",LEFT(C47,5)="other")),P47,"")</f>
        <v/>
      </c>
    </row>
    <row r="48" customFormat="false" ht="42" hidden="false" customHeight="true" outlineLevel="0" collapsed="false">
      <c r="A48" s="13" t="s">
        <v>791</v>
      </c>
      <c r="B48" s="13" t="s">
        <v>792</v>
      </c>
      <c r="C48" s="13" t="s">
        <v>793</v>
      </c>
      <c r="D48" s="13" t="s">
        <v>490</v>
      </c>
      <c r="E48" s="13" t="s">
        <v>491</v>
      </c>
      <c r="F48" s="32" t="n">
        <v>9.8</v>
      </c>
      <c r="G48" s="32" t="n">
        <v>39.1</v>
      </c>
      <c r="H48" s="32" t="n">
        <v>2025</v>
      </c>
      <c r="I48" s="27" t="n">
        <v>39440000</v>
      </c>
      <c r="J48" s="13" t="s">
        <v>794</v>
      </c>
      <c r="K48" s="13" t="s">
        <v>795</v>
      </c>
      <c r="L48" s="13" t="s">
        <v>796</v>
      </c>
      <c r="M48" s="13" t="s">
        <v>199</v>
      </c>
      <c r="N48" s="13"/>
      <c r="O48" s="45" t="n">
        <f aca="false">IF(AND(ISNUMBER(F48),ISNUMBER(G48),F48&gt;0),G48/F48,"")</f>
        <v>3.98979591836735</v>
      </c>
      <c r="P48" s="46" t="n">
        <f aca="false">IF(AND(ISNUMBER(G48),ISNUMBER(I48),G48&gt;0),I48/(G48*1000),"")</f>
        <v>1008.69565217391</v>
      </c>
      <c r="Q48" s="46" t="n">
        <f aca="false">IF(AND(ISNUMBER(F48),ISNUMBER(I48),F48&gt;0),I48/(F48*1000),"")</f>
        <v>4024.48979591837</v>
      </c>
      <c r="R48" s="47" t="s">
        <v>797</v>
      </c>
      <c r="S48" s="47" t="s">
        <v>798</v>
      </c>
      <c r="T48" s="46" t="str">
        <f aca="false">IF(AND(N48="",ISNUMBER(G48),G48&lt;=100,ISNUMBER(P48),OR(LEFT(C48,3)="IOU",C48="muni/coop",LEFT(C48,5)="other")),P48,"")</f>
        <v/>
      </c>
    </row>
    <row r="49" customFormat="false" ht="42" hidden="false" customHeight="true" outlineLevel="0" collapsed="false">
      <c r="A49" s="13" t="s">
        <v>799</v>
      </c>
      <c r="B49" s="13" t="s">
        <v>800</v>
      </c>
      <c r="C49" s="13" t="s">
        <v>793</v>
      </c>
      <c r="D49" s="13" t="s">
        <v>490</v>
      </c>
      <c r="E49" s="13" t="s">
        <v>491</v>
      </c>
      <c r="F49" s="32" t="n">
        <v>15.1</v>
      </c>
      <c r="G49" s="32" t="n">
        <v>60.4</v>
      </c>
      <c r="H49" s="32" t="n">
        <v>2025</v>
      </c>
      <c r="I49" s="27" t="n">
        <v>31650000</v>
      </c>
      <c r="J49" s="13" t="s">
        <v>801</v>
      </c>
      <c r="K49" s="13" t="s">
        <v>802</v>
      </c>
      <c r="L49" s="13" t="s">
        <v>803</v>
      </c>
      <c r="M49" s="13" t="s">
        <v>199</v>
      </c>
      <c r="N49" s="13"/>
      <c r="O49" s="45" t="n">
        <f aca="false">IF(AND(ISNUMBER(F49),ISNUMBER(G49),F49&gt;0),G49/F49,"")</f>
        <v>4</v>
      </c>
      <c r="P49" s="46" t="n">
        <f aca="false">IF(AND(ISNUMBER(G49),ISNUMBER(I49),G49&gt;0),I49/(G49*1000),"")</f>
        <v>524.006622516556</v>
      </c>
      <c r="Q49" s="46" t="n">
        <f aca="false">IF(AND(ISNUMBER(F49),ISNUMBER(I49),F49&gt;0),I49/(F49*1000),"")</f>
        <v>2096.02649006623</v>
      </c>
      <c r="R49" s="47" t="s">
        <v>804</v>
      </c>
      <c r="S49" s="47" t="s">
        <v>805</v>
      </c>
      <c r="T49" s="46" t="str">
        <f aca="false">IF(AND(N49="",ISNUMBER(G49),G49&lt;=100,ISNUMBER(P49),OR(LEFT(C49,3)="IOU",C49="muni/coop",LEFT(C49,5)="other")),P49,"")</f>
        <v/>
      </c>
    </row>
    <row r="50" customFormat="false" ht="42" hidden="false" customHeight="true" outlineLevel="0" collapsed="false">
      <c r="A50" s="13" t="s">
        <v>806</v>
      </c>
      <c r="B50" s="13" t="s">
        <v>807</v>
      </c>
      <c r="C50" s="13" t="s">
        <v>793</v>
      </c>
      <c r="D50" s="13" t="s">
        <v>490</v>
      </c>
      <c r="E50" s="13" t="s">
        <v>491</v>
      </c>
      <c r="F50" s="32" t="n">
        <v>5</v>
      </c>
      <c r="G50" s="32" t="n">
        <v>20</v>
      </c>
      <c r="H50" s="32" t="n">
        <v>2025</v>
      </c>
      <c r="I50" s="27" t="n">
        <v>16104493</v>
      </c>
      <c r="J50" s="13" t="s">
        <v>808</v>
      </c>
      <c r="K50" s="13" t="s">
        <v>802</v>
      </c>
      <c r="L50" s="13" t="s">
        <v>809</v>
      </c>
      <c r="M50" s="13" t="s">
        <v>218</v>
      </c>
      <c r="N50" s="13"/>
      <c r="O50" s="45" t="n">
        <f aca="false">IF(AND(ISNUMBER(F50),ISNUMBER(G50),F50&gt;0),G50/F50,"")</f>
        <v>4</v>
      </c>
      <c r="P50" s="46" t="n">
        <f aca="false">IF(AND(ISNUMBER(G50),ISNUMBER(I50),G50&gt;0),I50/(G50*1000),"")</f>
        <v>805.22465</v>
      </c>
      <c r="Q50" s="46" t="n">
        <f aca="false">IF(AND(ISNUMBER(F50),ISNUMBER(I50),F50&gt;0),I50/(F50*1000),"")</f>
        <v>3220.8986</v>
      </c>
      <c r="R50" s="47" t="s">
        <v>810</v>
      </c>
      <c r="S50" s="47" t="s">
        <v>811</v>
      </c>
      <c r="T50" s="46" t="str">
        <f aca="false">IF(AND(N50="",ISNUMBER(G50),G50&lt;=100,ISNUMBER(P50),OR(LEFT(C50,3)="IOU",C50="muni/coop",LEFT(C50,5)="other")),P50,"")</f>
        <v/>
      </c>
    </row>
    <row r="51" customFormat="false" ht="42" hidden="false" customHeight="true" outlineLevel="0" collapsed="false">
      <c r="A51" s="13" t="s">
        <v>812</v>
      </c>
      <c r="B51" s="13" t="s">
        <v>813</v>
      </c>
      <c r="C51" s="13" t="s">
        <v>483</v>
      </c>
      <c r="D51" s="13" t="s">
        <v>459</v>
      </c>
      <c r="E51" s="13" t="s">
        <v>460</v>
      </c>
      <c r="F51" s="32" t="n">
        <v>3</v>
      </c>
      <c r="G51" s="32" t="n">
        <v>5</v>
      </c>
      <c r="H51" s="32" t="n">
        <v>2019</v>
      </c>
      <c r="I51" s="27" t="n">
        <v>3500000</v>
      </c>
      <c r="J51" s="13" t="s">
        <v>814</v>
      </c>
      <c r="K51" s="13" t="s">
        <v>815</v>
      </c>
      <c r="L51" s="13" t="s">
        <v>816</v>
      </c>
      <c r="M51" s="13" t="s">
        <v>218</v>
      </c>
      <c r="N51" s="13"/>
      <c r="O51" s="45" t="n">
        <f aca="false">IF(AND(ISNUMBER(F51),ISNUMBER(G51),F51&gt;0),G51/F51,"")</f>
        <v>1.66666666666667</v>
      </c>
      <c r="P51" s="46" t="n">
        <f aca="false">IF(AND(ISNUMBER(G51),ISNUMBER(I51),G51&gt;0),I51/(G51*1000),"")</f>
        <v>700</v>
      </c>
      <c r="Q51" s="46" t="n">
        <f aca="false">IF(AND(ISNUMBER(F51),ISNUMBER(I51),F51&gt;0),I51/(F51*1000),"")</f>
        <v>1166.66666666667</v>
      </c>
      <c r="R51" s="47" t="s">
        <v>817</v>
      </c>
      <c r="S51" s="47" t="s">
        <v>818</v>
      </c>
      <c r="T51" s="46" t="n">
        <f aca="false">IF(AND(N51="",ISNUMBER(G51),G51&lt;=100,ISNUMBER(P51),OR(LEFT(C51,3)="IOU",C51="muni/coop",LEFT(C51,5)="other")),P51,"")</f>
        <v>700</v>
      </c>
    </row>
    <row r="52" customFormat="false" ht="42" hidden="false" customHeight="true" outlineLevel="0" collapsed="false">
      <c r="A52" s="13" t="s">
        <v>819</v>
      </c>
      <c r="B52" s="13" t="s">
        <v>820</v>
      </c>
      <c r="C52" s="13" t="s">
        <v>483</v>
      </c>
      <c r="D52" s="13" t="s">
        <v>459</v>
      </c>
      <c r="E52" s="13" t="s">
        <v>460</v>
      </c>
      <c r="F52" s="32" t="n">
        <v>2</v>
      </c>
      <c r="G52" s="32" t="n">
        <v>4.2</v>
      </c>
      <c r="H52" s="32" t="n">
        <v>2018</v>
      </c>
      <c r="I52" s="27" t="n">
        <v>2600000</v>
      </c>
      <c r="J52" s="13" t="s">
        <v>821</v>
      </c>
      <c r="K52" s="13" t="s">
        <v>822</v>
      </c>
      <c r="L52" s="13" t="s">
        <v>823</v>
      </c>
      <c r="M52" s="13" t="s">
        <v>218</v>
      </c>
      <c r="N52" s="13"/>
      <c r="O52" s="45" t="n">
        <f aca="false">IF(AND(ISNUMBER(F52),ISNUMBER(G52),F52&gt;0),G52/F52,"")</f>
        <v>2.1</v>
      </c>
      <c r="P52" s="46" t="n">
        <f aca="false">IF(AND(ISNUMBER(G52),ISNUMBER(I52),G52&gt;0),I52/(G52*1000),"")</f>
        <v>619.047619047619</v>
      </c>
      <c r="Q52" s="46" t="n">
        <f aca="false">IF(AND(ISNUMBER(F52),ISNUMBER(I52),F52&gt;0),I52/(F52*1000),"")</f>
        <v>1300</v>
      </c>
      <c r="R52" s="47" t="s">
        <v>824</v>
      </c>
      <c r="S52" s="47" t="s">
        <v>825</v>
      </c>
      <c r="T52" s="46" t="n">
        <f aca="false">IF(AND(N52="",ISNUMBER(G52),G52&lt;=100,ISNUMBER(P52),OR(LEFT(C52,3)="IOU",C52="muni/coop",LEFT(C52,5)="other")),P52,"")</f>
        <v>619.047619047619</v>
      </c>
    </row>
    <row r="53" customFormat="false" ht="42" hidden="false" customHeight="true" outlineLevel="0" collapsed="false">
      <c r="A53" s="13" t="s">
        <v>826</v>
      </c>
      <c r="B53" s="13" t="s">
        <v>827</v>
      </c>
      <c r="C53" s="13" t="s">
        <v>793</v>
      </c>
      <c r="D53" s="13" t="s">
        <v>459</v>
      </c>
      <c r="E53" s="13" t="s">
        <v>460</v>
      </c>
      <c r="F53" s="32" t="n">
        <v>4.99</v>
      </c>
      <c r="G53" s="32" t="n">
        <v>20</v>
      </c>
      <c r="H53" s="32" t="n">
        <v>2024</v>
      </c>
      <c r="I53" s="27" t="n">
        <v>11000000</v>
      </c>
      <c r="J53" s="13" t="s">
        <v>828</v>
      </c>
      <c r="K53" s="13" t="s">
        <v>829</v>
      </c>
      <c r="L53" s="13" t="s">
        <v>830</v>
      </c>
      <c r="M53" s="13" t="s">
        <v>218</v>
      </c>
      <c r="N53" s="13"/>
      <c r="O53" s="45" t="n">
        <f aca="false">IF(AND(ISNUMBER(F53),ISNUMBER(G53),F53&gt;0),G53/F53,"")</f>
        <v>4.00801603206413</v>
      </c>
      <c r="P53" s="46" t="n">
        <f aca="false">IF(AND(ISNUMBER(G53),ISNUMBER(I53),G53&gt;0),I53/(G53*1000),"")</f>
        <v>550</v>
      </c>
      <c r="Q53" s="46" t="n">
        <f aca="false">IF(AND(ISNUMBER(F53),ISNUMBER(I53),F53&gt;0),I53/(F53*1000),"")</f>
        <v>2204.40881763527</v>
      </c>
      <c r="R53" s="47" t="s">
        <v>831</v>
      </c>
      <c r="S53" s="47" t="s">
        <v>832</v>
      </c>
      <c r="T53" s="46" t="str">
        <f aca="false">IF(AND(N53="",ISNUMBER(G53),G53&lt;=100,ISNUMBER(P53),OR(LEFT(C53,3)="IOU",C53="muni/coop",LEFT(C53,5)="other")),P53,"")</f>
        <v/>
      </c>
    </row>
    <row r="54" customFormat="false" ht="42" hidden="false" customHeight="true" outlineLevel="0" collapsed="false">
      <c r="A54" s="13" t="s">
        <v>833</v>
      </c>
      <c r="B54" s="13" t="s">
        <v>834</v>
      </c>
      <c r="C54" s="13" t="s">
        <v>483</v>
      </c>
      <c r="D54" s="13" t="s">
        <v>459</v>
      </c>
      <c r="E54" s="13" t="s">
        <v>460</v>
      </c>
      <c r="F54" s="32" t="n">
        <v>4.99</v>
      </c>
      <c r="G54" s="32" t="n">
        <v>14.97</v>
      </c>
      <c r="H54" s="32" t="n">
        <v>2026</v>
      </c>
      <c r="I54" s="27" t="n">
        <v>10400000</v>
      </c>
      <c r="J54" s="13" t="s">
        <v>835</v>
      </c>
      <c r="K54" s="13" t="s">
        <v>836</v>
      </c>
      <c r="L54" s="13" t="s">
        <v>837</v>
      </c>
      <c r="M54" s="13" t="s">
        <v>199</v>
      </c>
      <c r="N54" s="13"/>
      <c r="O54" s="45" t="n">
        <f aca="false">IF(AND(ISNUMBER(F54),ISNUMBER(G54),F54&gt;0),G54/F54,"")</f>
        <v>3</v>
      </c>
      <c r="P54" s="46" t="n">
        <f aca="false">IF(AND(ISNUMBER(G54),ISNUMBER(I54),G54&gt;0),I54/(G54*1000),"")</f>
        <v>694.722778891116</v>
      </c>
      <c r="Q54" s="46" t="n">
        <f aca="false">IF(AND(ISNUMBER(F54),ISNUMBER(I54),F54&gt;0),I54/(F54*1000),"")</f>
        <v>2084.16833667335</v>
      </c>
      <c r="R54" s="47" t="s">
        <v>838</v>
      </c>
      <c r="S54" s="47" t="s">
        <v>839</v>
      </c>
      <c r="T54" s="46" t="n">
        <f aca="false">IF(AND(N54="",ISNUMBER(G54),G54&lt;=100,ISNUMBER(P54),OR(LEFT(C54,3)="IOU",C54="muni/coop",LEFT(C54,5)="other")),P54,"")</f>
        <v>694.722778891116</v>
      </c>
    </row>
    <row r="55" customFormat="false" ht="42" hidden="false" customHeight="true" outlineLevel="0" collapsed="false">
      <c r="A55" s="13" t="s">
        <v>840</v>
      </c>
      <c r="B55" s="13" t="s">
        <v>841</v>
      </c>
      <c r="C55" s="13" t="s">
        <v>483</v>
      </c>
      <c r="D55" s="13" t="s">
        <v>545</v>
      </c>
      <c r="E55" s="13" t="s">
        <v>460</v>
      </c>
      <c r="F55" s="32" t="n">
        <v>1</v>
      </c>
      <c r="G55" s="32" t="n">
        <v>4</v>
      </c>
      <c r="H55" s="32" t="n">
        <v>2019</v>
      </c>
      <c r="I55" s="27" t="n">
        <v>5600000</v>
      </c>
      <c r="J55" s="13" t="s">
        <v>842</v>
      </c>
      <c r="K55" s="13" t="s">
        <v>843</v>
      </c>
      <c r="L55" s="13" t="s">
        <v>844</v>
      </c>
      <c r="M55" s="13" t="s">
        <v>218</v>
      </c>
      <c r="N55" s="13"/>
      <c r="O55" s="45" t="n">
        <f aca="false">IF(AND(ISNUMBER(F55),ISNUMBER(G55),F55&gt;0),G55/F55,"")</f>
        <v>4</v>
      </c>
      <c r="P55" s="46" t="n">
        <f aca="false">IF(AND(ISNUMBER(G55),ISNUMBER(I55),G55&gt;0),I55/(G55*1000),"")</f>
        <v>1400</v>
      </c>
      <c r="Q55" s="46" t="n">
        <f aca="false">IF(AND(ISNUMBER(F55),ISNUMBER(I55),F55&gt;0),I55/(F55*1000),"")</f>
        <v>5600</v>
      </c>
      <c r="R55" s="47" t="s">
        <v>845</v>
      </c>
      <c r="S55" s="47" t="s">
        <v>846</v>
      </c>
      <c r="T55" s="46" t="n">
        <f aca="false">IF(AND(N55="",ISNUMBER(G55),G55&lt;=100,ISNUMBER(P55),OR(LEFT(C55,3)="IOU",C55="muni/coop",LEFT(C55,5)="other")),P55,"")</f>
        <v>1400</v>
      </c>
    </row>
    <row r="56" customFormat="false" ht="42" hidden="false" customHeight="true" outlineLevel="0" collapsed="false">
      <c r="A56" s="13" t="s">
        <v>847</v>
      </c>
      <c r="B56" s="13" t="s">
        <v>848</v>
      </c>
      <c r="C56" s="13" t="s">
        <v>483</v>
      </c>
      <c r="D56" s="13" t="s">
        <v>545</v>
      </c>
      <c r="E56" s="13" t="s">
        <v>460</v>
      </c>
      <c r="F56" s="32" t="n">
        <v>3</v>
      </c>
      <c r="G56" s="32" t="n">
        <v>12</v>
      </c>
      <c r="H56" s="32" t="n">
        <v>2024</v>
      </c>
      <c r="I56" s="27" t="n">
        <v>6000000</v>
      </c>
      <c r="J56" s="13" t="s">
        <v>849</v>
      </c>
      <c r="K56" s="13" t="s">
        <v>850</v>
      </c>
      <c r="L56" s="13" t="s">
        <v>851</v>
      </c>
      <c r="M56" s="13" t="s">
        <v>218</v>
      </c>
      <c r="N56" s="13"/>
      <c r="O56" s="45" t="n">
        <f aca="false">IF(AND(ISNUMBER(F56),ISNUMBER(G56),F56&gt;0),G56/F56,"")</f>
        <v>4</v>
      </c>
      <c r="P56" s="46" t="n">
        <f aca="false">IF(AND(ISNUMBER(G56),ISNUMBER(I56),G56&gt;0),I56/(G56*1000),"")</f>
        <v>500</v>
      </c>
      <c r="Q56" s="46" t="n">
        <f aca="false">IF(AND(ISNUMBER(F56),ISNUMBER(I56),F56&gt;0),I56/(F56*1000),"")</f>
        <v>2000</v>
      </c>
      <c r="R56" s="47" t="s">
        <v>852</v>
      </c>
      <c r="S56" s="47" t="s">
        <v>853</v>
      </c>
      <c r="T56" s="46" t="n">
        <f aca="false">IF(AND(N56="",ISNUMBER(G56),G56&lt;=100,ISNUMBER(P56),OR(LEFT(C56,3)="IOU",C56="muni/coop",LEFT(C56,5)="other")),P56,"")</f>
        <v>500</v>
      </c>
    </row>
    <row r="57" customFormat="false" ht="42" hidden="false" customHeight="true" outlineLevel="0" collapsed="false">
      <c r="A57" s="13" t="s">
        <v>854</v>
      </c>
      <c r="B57" s="13" t="s">
        <v>855</v>
      </c>
      <c r="C57" s="13" t="s">
        <v>458</v>
      </c>
      <c r="D57" s="13" t="s">
        <v>856</v>
      </c>
      <c r="E57" s="13" t="s">
        <v>460</v>
      </c>
      <c r="F57" s="32" t="n">
        <v>1.7</v>
      </c>
      <c r="G57" s="32" t="n">
        <v>7.1</v>
      </c>
      <c r="H57" s="32" t="n">
        <v>2020</v>
      </c>
      <c r="I57" s="27" t="n">
        <v>7000000</v>
      </c>
      <c r="J57" s="13" t="s">
        <v>857</v>
      </c>
      <c r="K57" s="13" t="s">
        <v>858</v>
      </c>
      <c r="L57" s="13" t="s">
        <v>859</v>
      </c>
      <c r="M57" s="13" t="s">
        <v>199</v>
      </c>
      <c r="N57" s="13"/>
      <c r="O57" s="45" t="n">
        <f aca="false">IF(AND(ISNUMBER(F57),ISNUMBER(G57),F57&gt;0),G57/F57,"")</f>
        <v>4.17647058823529</v>
      </c>
      <c r="P57" s="46" t="n">
        <f aca="false">IF(AND(ISNUMBER(G57),ISNUMBER(I57),G57&gt;0),I57/(G57*1000),"")</f>
        <v>985.915492957746</v>
      </c>
      <c r="Q57" s="46" t="n">
        <f aca="false">IF(AND(ISNUMBER(F57),ISNUMBER(I57),F57&gt;0),I57/(F57*1000),"")</f>
        <v>4117.64705882353</v>
      </c>
      <c r="R57" s="47" t="s">
        <v>860</v>
      </c>
      <c r="S57" s="47" t="s">
        <v>861</v>
      </c>
      <c r="T57" s="46" t="n">
        <f aca="false">IF(AND(N57="",ISNUMBER(G57),G57&lt;=100,ISNUMBER(P57),OR(LEFT(C57,3)="IOU",C57="muni/coop",LEFT(C57,5)="other")),P57,"")</f>
        <v>985.915492957746</v>
      </c>
    </row>
    <row r="58" customFormat="false" ht="42" hidden="false" customHeight="true" outlineLevel="0" collapsed="false">
      <c r="A58" s="13" t="s">
        <v>862</v>
      </c>
      <c r="B58" s="13" t="s">
        <v>863</v>
      </c>
      <c r="C58" s="13" t="s">
        <v>793</v>
      </c>
      <c r="D58" s="13" t="s">
        <v>459</v>
      </c>
      <c r="E58" s="13" t="s">
        <v>460</v>
      </c>
      <c r="F58" s="32" t="n">
        <v>0.572</v>
      </c>
      <c r="G58" s="32" t="n">
        <v>1.271</v>
      </c>
      <c r="H58" s="32" t="n">
        <v>2023</v>
      </c>
      <c r="I58" s="27" t="n">
        <v>1330000</v>
      </c>
      <c r="J58" s="13" t="s">
        <v>864</v>
      </c>
      <c r="K58" s="13" t="s">
        <v>865</v>
      </c>
      <c r="L58" s="13" t="s">
        <v>866</v>
      </c>
      <c r="M58" s="13" t="s">
        <v>218</v>
      </c>
      <c r="N58" s="13"/>
      <c r="O58" s="45" t="n">
        <f aca="false">IF(AND(ISNUMBER(F58),ISNUMBER(G58),F58&gt;0),G58/F58,"")</f>
        <v>2.22202797202797</v>
      </c>
      <c r="P58" s="46" t="n">
        <f aca="false">IF(AND(ISNUMBER(G58),ISNUMBER(I58),G58&gt;0),I58/(G58*1000),"")</f>
        <v>1046.42014162077</v>
      </c>
      <c r="Q58" s="46" t="n">
        <f aca="false">IF(AND(ISNUMBER(F58),ISNUMBER(I58),F58&gt;0),I58/(F58*1000),"")</f>
        <v>2325.17482517483</v>
      </c>
      <c r="R58" s="47" t="s">
        <v>867</v>
      </c>
      <c r="S58" s="47" t="s">
        <v>868</v>
      </c>
      <c r="T58" s="46" t="str">
        <f aca="false">IF(AND(N58="",ISNUMBER(G58),G58&lt;=100,ISNUMBER(P58),OR(LEFT(C58,3)="IOU",C58="muni/coop",LEFT(C58,5)="other")),P58,"")</f>
        <v/>
      </c>
    </row>
    <row r="59" customFormat="false" ht="42" hidden="false" customHeight="true" outlineLevel="0" collapsed="false">
      <c r="A59" s="13" t="s">
        <v>869</v>
      </c>
      <c r="B59" s="13" t="s">
        <v>870</v>
      </c>
      <c r="C59" s="13" t="s">
        <v>793</v>
      </c>
      <c r="D59" s="13" t="s">
        <v>490</v>
      </c>
      <c r="E59" s="13" t="s">
        <v>491</v>
      </c>
      <c r="F59" s="32" t="n">
        <v>5</v>
      </c>
      <c r="G59" s="32" t="n">
        <v>20.6</v>
      </c>
      <c r="H59" s="32" t="n">
        <v>2025</v>
      </c>
      <c r="I59" s="27" t="n">
        <v>15000000</v>
      </c>
      <c r="J59" s="13" t="s">
        <v>871</v>
      </c>
      <c r="K59" s="13" t="s">
        <v>872</v>
      </c>
      <c r="L59" s="13" t="s">
        <v>873</v>
      </c>
      <c r="M59" s="13" t="s">
        <v>218</v>
      </c>
      <c r="N59" s="13"/>
      <c r="O59" s="45" t="n">
        <f aca="false">IF(AND(ISNUMBER(F59),ISNUMBER(G59),F59&gt;0),G59/F59,"")</f>
        <v>4.12</v>
      </c>
      <c r="P59" s="46" t="n">
        <f aca="false">IF(AND(ISNUMBER(G59),ISNUMBER(I59),G59&gt;0),I59/(G59*1000),"")</f>
        <v>728.155339805825</v>
      </c>
      <c r="Q59" s="46" t="n">
        <f aca="false">IF(AND(ISNUMBER(F59),ISNUMBER(I59),F59&gt;0),I59/(F59*1000),"")</f>
        <v>3000</v>
      </c>
      <c r="R59" s="47" t="s">
        <v>874</v>
      </c>
      <c r="S59" s="47" t="s">
        <v>875</v>
      </c>
      <c r="T59" s="46" t="str">
        <f aca="false">IF(AND(N59="",ISNUMBER(G59),G59&lt;=100,ISNUMBER(P59),OR(LEFT(C59,3)="IOU",C59="muni/coop",LEFT(C59,5)="other")),P59,"")</f>
        <v/>
      </c>
    </row>
    <row r="60" customFormat="false" ht="42" hidden="false" customHeight="true" outlineLevel="0" collapsed="false">
      <c r="A60" s="13" t="s">
        <v>876</v>
      </c>
      <c r="B60" s="13" t="s">
        <v>877</v>
      </c>
      <c r="C60" s="13" t="s">
        <v>793</v>
      </c>
      <c r="D60" s="13" t="s">
        <v>490</v>
      </c>
      <c r="E60" s="13" t="s">
        <v>491</v>
      </c>
      <c r="F60" s="32" t="n">
        <v>5</v>
      </c>
      <c r="G60" s="32" t="n">
        <v>20</v>
      </c>
      <c r="H60" s="32" t="n">
        <v>2023</v>
      </c>
      <c r="I60" s="27" t="n">
        <v>10450000</v>
      </c>
      <c r="J60" s="13" t="s">
        <v>878</v>
      </c>
      <c r="K60" s="13" t="s">
        <v>879</v>
      </c>
      <c r="L60" s="13" t="s">
        <v>880</v>
      </c>
      <c r="M60" s="13" t="s">
        <v>218</v>
      </c>
      <c r="N60" s="13"/>
      <c r="O60" s="45" t="n">
        <f aca="false">IF(AND(ISNUMBER(F60),ISNUMBER(G60),F60&gt;0),G60/F60,"")</f>
        <v>4</v>
      </c>
      <c r="P60" s="46" t="n">
        <f aca="false">IF(AND(ISNUMBER(G60),ISNUMBER(I60),G60&gt;0),I60/(G60*1000),"")</f>
        <v>522.5</v>
      </c>
      <c r="Q60" s="46" t="n">
        <f aca="false">IF(AND(ISNUMBER(F60),ISNUMBER(I60),F60&gt;0),I60/(F60*1000),"")</f>
        <v>2090</v>
      </c>
      <c r="R60" s="47" t="s">
        <v>881</v>
      </c>
      <c r="S60" s="47" t="s">
        <v>882</v>
      </c>
      <c r="T60" s="46" t="str">
        <f aca="false">IF(AND(N60="",ISNUMBER(G60),G60&lt;=100,ISNUMBER(P60),OR(LEFT(C60,3)="IOU",C60="muni/coop",LEFT(C60,5)="other")),P60,"")</f>
        <v/>
      </c>
    </row>
    <row r="61" customFormat="false" ht="42" hidden="false" customHeight="true" outlineLevel="0" collapsed="false">
      <c r="A61" s="13" t="s">
        <v>883</v>
      </c>
      <c r="B61" s="13" t="s">
        <v>884</v>
      </c>
      <c r="C61" s="13" t="s">
        <v>793</v>
      </c>
      <c r="D61" s="13" t="s">
        <v>490</v>
      </c>
      <c r="E61" s="13" t="s">
        <v>491</v>
      </c>
      <c r="F61" s="32" t="n">
        <v>5</v>
      </c>
      <c r="G61" s="32" t="n">
        <v>10</v>
      </c>
      <c r="H61" s="32" t="n">
        <v>2024</v>
      </c>
      <c r="I61" s="27" t="n">
        <v>8570000</v>
      </c>
      <c r="J61" s="13" t="s">
        <v>885</v>
      </c>
      <c r="K61" s="13" t="s">
        <v>886</v>
      </c>
      <c r="L61" s="13" t="s">
        <v>880</v>
      </c>
      <c r="M61" s="13" t="s">
        <v>218</v>
      </c>
      <c r="N61" s="13"/>
      <c r="O61" s="45" t="n">
        <f aca="false">IF(AND(ISNUMBER(F61),ISNUMBER(G61),F61&gt;0),G61/F61,"")</f>
        <v>2</v>
      </c>
      <c r="P61" s="46" t="n">
        <f aca="false">IF(AND(ISNUMBER(G61),ISNUMBER(I61),G61&gt;0),I61/(G61*1000),"")</f>
        <v>857</v>
      </c>
      <c r="Q61" s="46" t="n">
        <f aca="false">IF(AND(ISNUMBER(F61),ISNUMBER(I61),F61&gt;0),I61/(F61*1000),"")</f>
        <v>1714</v>
      </c>
      <c r="R61" s="47" t="s">
        <v>887</v>
      </c>
      <c r="S61" s="47" t="s">
        <v>888</v>
      </c>
      <c r="T61" s="46" t="str">
        <f aca="false">IF(AND(N61="",ISNUMBER(G61),G61&lt;=100,ISNUMBER(P61),OR(LEFT(C61,3)="IOU",C61="muni/coop",LEFT(C61,5)="other")),P61,"")</f>
        <v/>
      </c>
    </row>
    <row r="62" customFormat="false" ht="42" hidden="false" customHeight="true" outlineLevel="0" collapsed="false">
      <c r="A62" s="13" t="s">
        <v>889</v>
      </c>
      <c r="B62" s="13" t="s">
        <v>884</v>
      </c>
      <c r="C62" s="13" t="s">
        <v>793</v>
      </c>
      <c r="D62" s="13" t="s">
        <v>490</v>
      </c>
      <c r="E62" s="13" t="s">
        <v>491</v>
      </c>
      <c r="F62" s="32" t="n">
        <v>5</v>
      </c>
      <c r="G62" s="32" t="n">
        <v>20</v>
      </c>
      <c r="H62" s="32" t="n">
        <v>2025</v>
      </c>
      <c r="I62" s="27" t="n">
        <v>13875000</v>
      </c>
      <c r="J62" s="13" t="s">
        <v>890</v>
      </c>
      <c r="K62" s="13" t="s">
        <v>891</v>
      </c>
      <c r="L62" s="13" t="s">
        <v>880</v>
      </c>
      <c r="M62" s="13" t="s">
        <v>218</v>
      </c>
      <c r="N62" s="13"/>
      <c r="O62" s="45" t="n">
        <f aca="false">IF(AND(ISNUMBER(F62),ISNUMBER(G62),F62&gt;0),G62/F62,"")</f>
        <v>4</v>
      </c>
      <c r="P62" s="46" t="n">
        <f aca="false">IF(AND(ISNUMBER(G62),ISNUMBER(I62),G62&gt;0),I62/(G62*1000),"")</f>
        <v>693.75</v>
      </c>
      <c r="Q62" s="46" t="n">
        <f aca="false">IF(AND(ISNUMBER(F62),ISNUMBER(I62),F62&gt;0),I62/(F62*1000),"")</f>
        <v>2775</v>
      </c>
      <c r="R62" s="47" t="s">
        <v>892</v>
      </c>
      <c r="S62" s="47" t="s">
        <v>893</v>
      </c>
      <c r="T62" s="46" t="str">
        <f aca="false">IF(AND(N62="",ISNUMBER(G62),G62&lt;=100,ISNUMBER(P62),OR(LEFT(C62,3)="IOU",C62="muni/coop",LEFT(C62,5)="other")),P62,"")</f>
        <v/>
      </c>
    </row>
    <row r="63" customFormat="false" ht="42" hidden="false" customHeight="true" outlineLevel="0" collapsed="false">
      <c r="A63" s="13" t="s">
        <v>894</v>
      </c>
      <c r="B63" s="13" t="s">
        <v>884</v>
      </c>
      <c r="C63" s="13" t="s">
        <v>793</v>
      </c>
      <c r="D63" s="13" t="s">
        <v>490</v>
      </c>
      <c r="E63" s="13" t="s">
        <v>491</v>
      </c>
      <c r="F63" s="32" t="n">
        <v>5</v>
      </c>
      <c r="G63" s="32" t="n">
        <v>20</v>
      </c>
      <c r="H63" s="32" t="n">
        <v>2025</v>
      </c>
      <c r="I63" s="27" t="n">
        <v>15262500</v>
      </c>
      <c r="J63" s="13" t="s">
        <v>895</v>
      </c>
      <c r="K63" s="13" t="s">
        <v>891</v>
      </c>
      <c r="L63" s="13" t="s">
        <v>880</v>
      </c>
      <c r="M63" s="13" t="s">
        <v>218</v>
      </c>
      <c r="N63" s="13"/>
      <c r="O63" s="45" t="n">
        <f aca="false">IF(AND(ISNUMBER(F63),ISNUMBER(G63),F63&gt;0),G63/F63,"")</f>
        <v>4</v>
      </c>
      <c r="P63" s="46" t="n">
        <f aca="false">IF(AND(ISNUMBER(G63),ISNUMBER(I63),G63&gt;0),I63/(G63*1000),"")</f>
        <v>763.125</v>
      </c>
      <c r="Q63" s="46" t="n">
        <f aca="false">IF(AND(ISNUMBER(F63),ISNUMBER(I63),F63&gt;0),I63/(F63*1000),"")</f>
        <v>3052.5</v>
      </c>
      <c r="R63" s="47" t="s">
        <v>896</v>
      </c>
      <c r="S63" s="47" t="s">
        <v>882</v>
      </c>
      <c r="T63" s="46" t="str">
        <f aca="false">IF(AND(N63="",ISNUMBER(G63),G63&lt;=100,ISNUMBER(P63),OR(LEFT(C63,3)="IOU",C63="muni/coop",LEFT(C63,5)="other")),P63,"")</f>
        <v/>
      </c>
    </row>
    <row r="64" customFormat="false" ht="42" hidden="false" customHeight="true" outlineLevel="0" collapsed="false">
      <c r="A64" s="13" t="s">
        <v>897</v>
      </c>
      <c r="B64" s="13" t="s">
        <v>898</v>
      </c>
      <c r="C64" s="13" t="s">
        <v>793</v>
      </c>
      <c r="D64" s="13" t="s">
        <v>490</v>
      </c>
      <c r="E64" s="13" t="s">
        <v>491</v>
      </c>
      <c r="F64" s="32" t="n">
        <v>5</v>
      </c>
      <c r="G64" s="32" t="n">
        <v>20</v>
      </c>
      <c r="H64" s="32" t="n">
        <v>2025</v>
      </c>
      <c r="I64" s="27" t="n">
        <v>8200000</v>
      </c>
      <c r="J64" s="13" t="s">
        <v>899</v>
      </c>
      <c r="K64" s="13" t="s">
        <v>900</v>
      </c>
      <c r="L64" s="13" t="s">
        <v>880</v>
      </c>
      <c r="M64" s="13" t="s">
        <v>218</v>
      </c>
      <c r="N64" s="13"/>
      <c r="O64" s="45" t="n">
        <f aca="false">IF(AND(ISNUMBER(F64),ISNUMBER(G64),F64&gt;0),G64/F64,"")</f>
        <v>4</v>
      </c>
      <c r="P64" s="46" t="n">
        <f aca="false">IF(AND(ISNUMBER(G64),ISNUMBER(I64),G64&gt;0),I64/(G64*1000),"")</f>
        <v>410</v>
      </c>
      <c r="Q64" s="46" t="n">
        <f aca="false">IF(AND(ISNUMBER(F64),ISNUMBER(I64),F64&gt;0),I64/(F64*1000),"")</f>
        <v>1640</v>
      </c>
      <c r="R64" s="47" t="s">
        <v>810</v>
      </c>
      <c r="S64" s="47" t="s">
        <v>901</v>
      </c>
      <c r="T64" s="46" t="str">
        <f aca="false">IF(AND(N64="",ISNUMBER(G64),G64&lt;=100,ISNUMBER(P64),OR(LEFT(C64,3)="IOU",C64="muni/coop",LEFT(C64,5)="other")),P64,"")</f>
        <v/>
      </c>
    </row>
    <row r="65" customFormat="false" ht="42" hidden="false" customHeight="true" outlineLevel="0" collapsed="false">
      <c r="A65" s="13" t="s">
        <v>902</v>
      </c>
      <c r="B65" s="13" t="s">
        <v>903</v>
      </c>
      <c r="C65" s="13" t="s">
        <v>793</v>
      </c>
      <c r="D65" s="13" t="s">
        <v>490</v>
      </c>
      <c r="E65" s="13" t="s">
        <v>491</v>
      </c>
      <c r="F65" s="32" t="n">
        <v>19.6</v>
      </c>
      <c r="G65" s="32" t="n">
        <v>78.3</v>
      </c>
      <c r="H65" s="32" t="n">
        <v>2027</v>
      </c>
      <c r="I65" s="27" t="n">
        <v>78200000</v>
      </c>
      <c r="J65" s="13" t="s">
        <v>904</v>
      </c>
      <c r="K65" s="13" t="s">
        <v>905</v>
      </c>
      <c r="L65" s="13" t="s">
        <v>906</v>
      </c>
      <c r="M65" s="13" t="s">
        <v>218</v>
      </c>
      <c r="N65" s="13"/>
      <c r="O65" s="45" t="n">
        <f aca="false">IF(AND(ISNUMBER(F65),ISNUMBER(G65),F65&gt;0),G65/F65,"")</f>
        <v>3.99489795918367</v>
      </c>
      <c r="P65" s="46" t="n">
        <f aca="false">IF(AND(ISNUMBER(G65),ISNUMBER(I65),G65&gt;0),I65/(G65*1000),"")</f>
        <v>998.722860791826</v>
      </c>
      <c r="Q65" s="46" t="n">
        <f aca="false">IF(AND(ISNUMBER(F65),ISNUMBER(I65),F65&gt;0),I65/(F65*1000),"")</f>
        <v>3989.79591836735</v>
      </c>
      <c r="R65" s="47" t="s">
        <v>907</v>
      </c>
      <c r="S65" s="47" t="s">
        <v>908</v>
      </c>
      <c r="T65" s="46" t="str">
        <f aca="false">IF(AND(N65="",ISNUMBER(G65),G65&lt;=100,ISNUMBER(P65),OR(LEFT(C65,3)="IOU",C65="muni/coop",LEFT(C65,5)="other")),P65,"")</f>
        <v/>
      </c>
    </row>
    <row r="66" customFormat="false" ht="42" hidden="false" customHeight="true" outlineLevel="0" collapsed="false">
      <c r="A66" s="13" t="s">
        <v>909</v>
      </c>
      <c r="B66" s="13" t="s">
        <v>903</v>
      </c>
      <c r="C66" s="13" t="s">
        <v>793</v>
      </c>
      <c r="D66" s="13" t="s">
        <v>490</v>
      </c>
      <c r="E66" s="13" t="s">
        <v>491</v>
      </c>
      <c r="F66" s="32" t="n">
        <v>14.7</v>
      </c>
      <c r="G66" s="32" t="n">
        <v>58.8</v>
      </c>
      <c r="H66" s="32" t="n">
        <v>2026</v>
      </c>
      <c r="I66" s="27" t="n">
        <v>48800000</v>
      </c>
      <c r="J66" s="13" t="s">
        <v>910</v>
      </c>
      <c r="K66" s="13" t="s">
        <v>911</v>
      </c>
      <c r="L66" s="13" t="s">
        <v>912</v>
      </c>
      <c r="M66" s="13" t="s">
        <v>218</v>
      </c>
      <c r="N66" s="13"/>
      <c r="O66" s="45" t="n">
        <f aca="false">IF(AND(ISNUMBER(F66),ISNUMBER(G66),F66&gt;0),G66/F66,"")</f>
        <v>4</v>
      </c>
      <c r="P66" s="46" t="n">
        <f aca="false">IF(AND(ISNUMBER(G66),ISNUMBER(I66),G66&gt;0),I66/(G66*1000),"")</f>
        <v>829.931972789116</v>
      </c>
      <c r="Q66" s="46" t="n">
        <f aca="false">IF(AND(ISNUMBER(F66),ISNUMBER(I66),F66&gt;0),I66/(F66*1000),"")</f>
        <v>3319.72789115646</v>
      </c>
      <c r="R66" s="47" t="s">
        <v>913</v>
      </c>
      <c r="S66" s="47" t="s">
        <v>914</v>
      </c>
      <c r="T66" s="46" t="str">
        <f aca="false">IF(AND(N66="",ISNUMBER(G66),G66&lt;=100,ISNUMBER(P66),OR(LEFT(C66,3)="IOU",C66="muni/coop",LEFT(C66,5)="other")),P66,"")</f>
        <v/>
      </c>
    </row>
    <row r="67" customFormat="false" ht="42" hidden="false" customHeight="true" outlineLevel="0" collapsed="false">
      <c r="A67" s="13" t="s">
        <v>915</v>
      </c>
      <c r="B67" s="13" t="s">
        <v>898</v>
      </c>
      <c r="C67" s="13" t="s">
        <v>793</v>
      </c>
      <c r="D67" s="13" t="s">
        <v>490</v>
      </c>
      <c r="E67" s="13" t="s">
        <v>491</v>
      </c>
      <c r="F67" s="32" t="n">
        <v>5</v>
      </c>
      <c r="G67" s="32" t="n">
        <v>20</v>
      </c>
      <c r="H67" s="32" t="n">
        <v>2026</v>
      </c>
      <c r="I67" s="27" t="n">
        <v>19513450</v>
      </c>
      <c r="J67" s="13" t="s">
        <v>916</v>
      </c>
      <c r="K67" s="13" t="s">
        <v>891</v>
      </c>
      <c r="L67" s="13" t="s">
        <v>880</v>
      </c>
      <c r="M67" s="13" t="s">
        <v>218</v>
      </c>
      <c r="N67" s="13"/>
      <c r="O67" s="45" t="n">
        <f aca="false">IF(AND(ISNUMBER(F67),ISNUMBER(G67),F67&gt;0),G67/F67,"")</f>
        <v>4</v>
      </c>
      <c r="P67" s="46" t="n">
        <f aca="false">IF(AND(ISNUMBER(G67),ISNUMBER(I67),G67&gt;0),I67/(G67*1000),"")</f>
        <v>975.6725</v>
      </c>
      <c r="Q67" s="46" t="n">
        <f aca="false">IF(AND(ISNUMBER(F67),ISNUMBER(I67),F67&gt;0),I67/(F67*1000),"")</f>
        <v>3902.69</v>
      </c>
      <c r="R67" s="47" t="s">
        <v>917</v>
      </c>
      <c r="S67" s="47" t="s">
        <v>918</v>
      </c>
      <c r="T67" s="46" t="str">
        <f aca="false">IF(AND(N67="",ISNUMBER(G67),G67&lt;=100,ISNUMBER(P67),OR(LEFT(C67,3)="IOU",C67="muni/coop",LEFT(C67,5)="other")),P67,"")</f>
        <v/>
      </c>
    </row>
    <row r="68" customFormat="false" ht="42" hidden="false" customHeight="true" outlineLevel="0" collapsed="false">
      <c r="A68" s="13" t="s">
        <v>919</v>
      </c>
      <c r="B68" s="13" t="s">
        <v>903</v>
      </c>
      <c r="C68" s="13" t="s">
        <v>793</v>
      </c>
      <c r="D68" s="13" t="s">
        <v>490</v>
      </c>
      <c r="E68" s="13" t="s">
        <v>491</v>
      </c>
      <c r="F68" s="32" t="n">
        <v>9.8</v>
      </c>
      <c r="G68" s="32" t="n">
        <v>39.2</v>
      </c>
      <c r="H68" s="32" t="n">
        <v>2026</v>
      </c>
      <c r="I68" s="27" t="n">
        <v>34970000</v>
      </c>
      <c r="J68" s="13" t="s">
        <v>920</v>
      </c>
      <c r="K68" s="13" t="s">
        <v>921</v>
      </c>
      <c r="L68" s="13" t="s">
        <v>922</v>
      </c>
      <c r="M68" s="13" t="s">
        <v>218</v>
      </c>
      <c r="N68" s="13"/>
      <c r="O68" s="45" t="n">
        <f aca="false">IF(AND(ISNUMBER(F68),ISNUMBER(G68),F68&gt;0),G68/F68,"")</f>
        <v>4</v>
      </c>
      <c r="P68" s="46" t="n">
        <f aca="false">IF(AND(ISNUMBER(G68),ISNUMBER(I68),G68&gt;0),I68/(G68*1000),"")</f>
        <v>892.091836734694</v>
      </c>
      <c r="Q68" s="46" t="n">
        <f aca="false">IF(AND(ISNUMBER(F68),ISNUMBER(I68),F68&gt;0),I68/(F68*1000),"")</f>
        <v>3568.36734693878</v>
      </c>
      <c r="R68" s="47" t="s">
        <v>923</v>
      </c>
      <c r="S68" s="47" t="s">
        <v>924</v>
      </c>
      <c r="T68" s="46" t="str">
        <f aca="false">IF(AND(N68="",ISNUMBER(G68),G68&lt;=100,ISNUMBER(P68),OR(LEFT(C68,3)="IOU",C68="muni/coop",LEFT(C68,5)="other")),P68,"")</f>
        <v/>
      </c>
    </row>
    <row r="69" customFormat="false" ht="42" hidden="false" customHeight="true" outlineLevel="0" collapsed="false">
      <c r="A69" s="13" t="s">
        <v>925</v>
      </c>
      <c r="B69" s="13" t="s">
        <v>903</v>
      </c>
      <c r="C69" s="13" t="s">
        <v>793</v>
      </c>
      <c r="D69" s="13" t="s">
        <v>490</v>
      </c>
      <c r="E69" s="13" t="s">
        <v>491</v>
      </c>
      <c r="F69" s="32" t="n">
        <v>19.6</v>
      </c>
      <c r="G69" s="32" t="n">
        <v>39.2</v>
      </c>
      <c r="H69" s="32" t="n">
        <v>2027</v>
      </c>
      <c r="I69" s="27" t="n">
        <v>25660000</v>
      </c>
      <c r="J69" s="13" t="s">
        <v>926</v>
      </c>
      <c r="K69" s="13" t="s">
        <v>927</v>
      </c>
      <c r="L69" s="13" t="s">
        <v>880</v>
      </c>
      <c r="M69" s="13" t="s">
        <v>198</v>
      </c>
      <c r="N69" s="13"/>
      <c r="O69" s="45" t="n">
        <f aca="false">IF(AND(ISNUMBER(F69),ISNUMBER(G69),F69&gt;0),G69/F69,"")</f>
        <v>2</v>
      </c>
      <c r="P69" s="46" t="n">
        <f aca="false">IF(AND(ISNUMBER(G69),ISNUMBER(I69),G69&gt;0),I69/(G69*1000),"")</f>
        <v>654.591836734694</v>
      </c>
      <c r="Q69" s="46" t="n">
        <f aca="false">IF(AND(ISNUMBER(F69),ISNUMBER(I69),F69&gt;0),I69/(F69*1000),"")</f>
        <v>1309.18367346939</v>
      </c>
      <c r="R69" s="47" t="s">
        <v>928</v>
      </c>
      <c r="S69" s="47" t="s">
        <v>929</v>
      </c>
      <c r="T69" s="46" t="str">
        <f aca="false">IF(AND(N69="",ISNUMBER(G69),G69&lt;=100,ISNUMBER(P69),OR(LEFT(C69,3)="IOU",C69="muni/coop",LEFT(C69,5)="other")),P69,"")</f>
        <v/>
      </c>
    </row>
    <row r="70" customFormat="false" ht="42" hidden="false" customHeight="true" outlineLevel="0" collapsed="false">
      <c r="A70" s="13" t="s">
        <v>930</v>
      </c>
      <c r="B70" s="13" t="s">
        <v>931</v>
      </c>
      <c r="C70" s="13" t="s">
        <v>793</v>
      </c>
      <c r="D70" s="13" t="s">
        <v>490</v>
      </c>
      <c r="E70" s="13" t="s">
        <v>491</v>
      </c>
      <c r="F70" s="32" t="n">
        <v>20</v>
      </c>
      <c r="G70" s="32" t="n">
        <v>80</v>
      </c>
      <c r="H70" s="32" t="n">
        <v>2027</v>
      </c>
      <c r="I70" s="27" t="n">
        <v>80697545</v>
      </c>
      <c r="J70" s="13" t="s">
        <v>932</v>
      </c>
      <c r="K70" s="13" t="s">
        <v>933</v>
      </c>
      <c r="L70" s="13" t="s">
        <v>880</v>
      </c>
      <c r="M70" s="13" t="s">
        <v>218</v>
      </c>
      <c r="N70" s="13"/>
      <c r="O70" s="45" t="n">
        <f aca="false">IF(AND(ISNUMBER(F70),ISNUMBER(G70),F70&gt;0),G70/F70,"")</f>
        <v>4</v>
      </c>
      <c r="P70" s="46" t="n">
        <f aca="false">IF(AND(ISNUMBER(G70),ISNUMBER(I70),G70&gt;0),I70/(G70*1000),"")</f>
        <v>1008.7193125</v>
      </c>
      <c r="Q70" s="46" t="n">
        <f aca="false">IF(AND(ISNUMBER(F70),ISNUMBER(I70),F70&gt;0),I70/(F70*1000),"")</f>
        <v>4034.87725</v>
      </c>
      <c r="R70" s="47" t="s">
        <v>934</v>
      </c>
      <c r="S70" s="47" t="s">
        <v>882</v>
      </c>
      <c r="T70" s="46" t="str">
        <f aca="false">IF(AND(N70="",ISNUMBER(G70),G70&lt;=100,ISNUMBER(P70),OR(LEFT(C70,3)="IOU",C70="muni/coop",LEFT(C70,5)="other")),P70,"")</f>
        <v/>
      </c>
    </row>
    <row r="71" customFormat="false" ht="42" hidden="false" customHeight="true" outlineLevel="0" collapsed="false">
      <c r="A71" s="13" t="s">
        <v>935</v>
      </c>
      <c r="B71" s="13" t="s">
        <v>898</v>
      </c>
      <c r="C71" s="13" t="s">
        <v>793</v>
      </c>
      <c r="D71" s="13" t="s">
        <v>490</v>
      </c>
      <c r="E71" s="13" t="s">
        <v>491</v>
      </c>
      <c r="F71" s="32" t="n">
        <v>5</v>
      </c>
      <c r="G71" s="32" t="n">
        <v>20</v>
      </c>
      <c r="H71" s="32" t="n">
        <v>2026</v>
      </c>
      <c r="I71" s="27" t="n">
        <v>17806000</v>
      </c>
      <c r="J71" s="13" t="s">
        <v>936</v>
      </c>
      <c r="K71" s="13" t="s">
        <v>937</v>
      </c>
      <c r="L71" s="13" t="s">
        <v>880</v>
      </c>
      <c r="M71" s="13" t="s">
        <v>218</v>
      </c>
      <c r="N71" s="13"/>
      <c r="O71" s="45" t="n">
        <f aca="false">IF(AND(ISNUMBER(F71),ISNUMBER(G71),F71&gt;0),G71/F71,"")</f>
        <v>4</v>
      </c>
      <c r="P71" s="46" t="n">
        <f aca="false">IF(AND(ISNUMBER(G71),ISNUMBER(I71),G71&gt;0),I71/(G71*1000),"")</f>
        <v>890.3</v>
      </c>
      <c r="Q71" s="46" t="n">
        <f aca="false">IF(AND(ISNUMBER(F71),ISNUMBER(I71),F71&gt;0),I71/(F71*1000),"")</f>
        <v>3561.2</v>
      </c>
      <c r="R71" s="47" t="s">
        <v>938</v>
      </c>
      <c r="S71" s="47" t="s">
        <v>939</v>
      </c>
      <c r="T71" s="46" t="str">
        <f aca="false">IF(AND(N71="",ISNUMBER(G71),G71&lt;=100,ISNUMBER(P71),OR(LEFT(C71,3)="IOU",C71="muni/coop",LEFT(C71,5)="other")),P71,"")</f>
        <v/>
      </c>
    </row>
    <row r="72" customFormat="false" ht="42" hidden="false" customHeight="true" outlineLevel="0" collapsed="false">
      <c r="A72" s="13" t="s">
        <v>940</v>
      </c>
      <c r="B72" s="13" t="s">
        <v>903</v>
      </c>
      <c r="C72" s="13" t="s">
        <v>793</v>
      </c>
      <c r="D72" s="13" t="s">
        <v>490</v>
      </c>
      <c r="E72" s="13" t="s">
        <v>491</v>
      </c>
      <c r="F72" s="32" t="n">
        <v>9.8</v>
      </c>
      <c r="G72" s="32" t="n">
        <v>39.2</v>
      </c>
      <c r="H72" s="32" t="n">
        <v>2027</v>
      </c>
      <c r="I72" s="27" t="n">
        <v>32600000</v>
      </c>
      <c r="J72" s="13" t="s">
        <v>941</v>
      </c>
      <c r="K72" s="13" t="s">
        <v>942</v>
      </c>
      <c r="L72" s="13" t="s">
        <v>880</v>
      </c>
      <c r="M72" s="13" t="s">
        <v>218</v>
      </c>
      <c r="N72" s="13"/>
      <c r="O72" s="45" t="n">
        <f aca="false">IF(AND(ISNUMBER(F72),ISNUMBER(G72),F72&gt;0),G72/F72,"")</f>
        <v>4</v>
      </c>
      <c r="P72" s="46" t="n">
        <f aca="false">IF(AND(ISNUMBER(G72),ISNUMBER(I72),G72&gt;0),I72/(G72*1000),"")</f>
        <v>831.632653061225</v>
      </c>
      <c r="Q72" s="46" t="n">
        <f aca="false">IF(AND(ISNUMBER(F72),ISNUMBER(I72),F72&gt;0),I72/(F72*1000),"")</f>
        <v>3326.5306122449</v>
      </c>
      <c r="R72" s="47" t="s">
        <v>943</v>
      </c>
      <c r="S72" s="47" t="s">
        <v>882</v>
      </c>
      <c r="T72" s="46" t="str">
        <f aca="false">IF(AND(N72="",ISNUMBER(G72),G72&lt;=100,ISNUMBER(P72),OR(LEFT(C72,3)="IOU",C72="muni/coop",LEFT(C72,5)="other")),P72,"")</f>
        <v/>
      </c>
    </row>
    <row r="73" customFormat="false" ht="42" hidden="false" customHeight="true" outlineLevel="0" collapsed="false">
      <c r="A73" s="13" t="s">
        <v>944</v>
      </c>
      <c r="B73" s="13" t="s">
        <v>931</v>
      </c>
      <c r="C73" s="13" t="s">
        <v>793</v>
      </c>
      <c r="D73" s="13" t="s">
        <v>490</v>
      </c>
      <c r="E73" s="13" t="s">
        <v>491</v>
      </c>
      <c r="F73" s="32" t="n">
        <v>5</v>
      </c>
      <c r="G73" s="32" t="n">
        <v>20</v>
      </c>
      <c r="H73" s="32" t="n">
        <v>2025</v>
      </c>
      <c r="I73" s="27" t="n">
        <v>15075225</v>
      </c>
      <c r="J73" s="13" t="s">
        <v>945</v>
      </c>
      <c r="K73" s="13" t="s">
        <v>946</v>
      </c>
      <c r="L73" s="13" t="s">
        <v>880</v>
      </c>
      <c r="M73" s="13" t="s">
        <v>198</v>
      </c>
      <c r="N73" s="13"/>
      <c r="O73" s="45" t="n">
        <f aca="false">IF(AND(ISNUMBER(F73),ISNUMBER(G73),F73&gt;0),G73/F73,"")</f>
        <v>4</v>
      </c>
      <c r="P73" s="46" t="n">
        <f aca="false">IF(AND(ISNUMBER(G73),ISNUMBER(I73),G73&gt;0),I73/(G73*1000),"")</f>
        <v>753.76125</v>
      </c>
      <c r="Q73" s="46" t="n">
        <f aca="false">IF(AND(ISNUMBER(F73),ISNUMBER(I73),F73&gt;0),I73/(F73*1000),"")</f>
        <v>3015.045</v>
      </c>
      <c r="R73" s="47" t="s">
        <v>810</v>
      </c>
      <c r="S73" s="47" t="s">
        <v>947</v>
      </c>
      <c r="T73" s="46" t="str">
        <f aca="false">IF(AND(N73="",ISNUMBER(G73),G73&lt;=100,ISNUMBER(P73),OR(LEFT(C73,3)="IOU",C73="muni/coop",LEFT(C73,5)="other")),P73,"")</f>
        <v/>
      </c>
    </row>
    <row r="74" customFormat="false" ht="42" hidden="false" customHeight="true" outlineLevel="0" collapsed="false">
      <c r="A74" s="13" t="s">
        <v>948</v>
      </c>
      <c r="B74" s="13" t="s">
        <v>560</v>
      </c>
      <c r="C74" s="13" t="s">
        <v>458</v>
      </c>
      <c r="D74" s="13" t="s">
        <v>490</v>
      </c>
      <c r="E74" s="13" t="s">
        <v>491</v>
      </c>
      <c r="F74" s="32" t="n">
        <v>1</v>
      </c>
      <c r="G74" s="32" t="n">
        <v>4</v>
      </c>
      <c r="H74" s="32" t="n">
        <v>2018</v>
      </c>
      <c r="I74" s="27" t="n">
        <v>7600000</v>
      </c>
      <c r="J74" s="13" t="s">
        <v>949</v>
      </c>
      <c r="K74" s="13" t="s">
        <v>950</v>
      </c>
      <c r="L74" s="13" t="s">
        <v>951</v>
      </c>
      <c r="M74" s="13" t="s">
        <v>218</v>
      </c>
      <c r="N74" s="13"/>
      <c r="O74" s="45" t="n">
        <f aca="false">IF(AND(ISNUMBER(F74),ISNUMBER(G74),F74&gt;0),G74/F74,"")</f>
        <v>4</v>
      </c>
      <c r="P74" s="46" t="n">
        <f aca="false">IF(AND(ISNUMBER(G74),ISNUMBER(I74),G74&gt;0),I74/(G74*1000),"")</f>
        <v>1900</v>
      </c>
      <c r="Q74" s="46" t="n">
        <f aca="false">IF(AND(ISNUMBER(F74),ISNUMBER(I74),F74&gt;0),I74/(F74*1000),"")</f>
        <v>7600</v>
      </c>
      <c r="R74" s="47" t="s">
        <v>952</v>
      </c>
      <c r="S74" s="47" t="s">
        <v>953</v>
      </c>
      <c r="T74" s="46" t="n">
        <f aca="false">IF(AND(N74="",ISNUMBER(G74),G74&lt;=100,ISNUMBER(P74),OR(LEFT(C74,3)="IOU",C74="muni/coop",LEFT(C74,5)="other")),P74,"")</f>
        <v>1900</v>
      </c>
    </row>
    <row r="75" customFormat="false" ht="42" hidden="false" customHeight="true" outlineLevel="0" collapsed="false">
      <c r="A75" s="13" t="s">
        <v>954</v>
      </c>
      <c r="B75" s="13" t="s">
        <v>955</v>
      </c>
      <c r="C75" s="13" t="s">
        <v>793</v>
      </c>
      <c r="D75" s="13" t="s">
        <v>490</v>
      </c>
      <c r="E75" s="13" t="s">
        <v>491</v>
      </c>
      <c r="F75" s="32" t="n">
        <v>5</v>
      </c>
      <c r="G75" s="32" t="n">
        <v>40</v>
      </c>
      <c r="H75" s="32" t="n">
        <v>2018</v>
      </c>
      <c r="I75" s="27" t="n">
        <v>55000000</v>
      </c>
      <c r="J75" s="13" t="s">
        <v>956</v>
      </c>
      <c r="K75" s="13" t="s">
        <v>957</v>
      </c>
      <c r="L75" s="13" t="s">
        <v>958</v>
      </c>
      <c r="M75" s="13" t="s">
        <v>198</v>
      </c>
      <c r="N75" s="13"/>
      <c r="O75" s="45" t="n">
        <f aca="false">IF(AND(ISNUMBER(F75),ISNUMBER(G75),F75&gt;0),G75/F75,"")</f>
        <v>8</v>
      </c>
      <c r="P75" s="46" t="n">
        <f aca="false">IF(AND(ISNUMBER(G75),ISNUMBER(I75),G75&gt;0),I75/(G75*1000),"")</f>
        <v>1375</v>
      </c>
      <c r="Q75" s="46" t="n">
        <f aca="false">IF(AND(ISNUMBER(F75),ISNUMBER(I75),F75&gt;0),I75/(F75*1000),"")</f>
        <v>11000</v>
      </c>
      <c r="R75" s="47" t="s">
        <v>959</v>
      </c>
      <c r="S75" s="47" t="s">
        <v>960</v>
      </c>
      <c r="T75" s="46" t="str">
        <f aca="false">IF(AND(N75="",ISNUMBER(G75),G75&lt;=100,ISNUMBER(P75),OR(LEFT(C75,3)="IOU",C75="muni/coop",LEFT(C75,5)="other")),P75,"")</f>
        <v/>
      </c>
    </row>
    <row r="76" customFormat="false" ht="42" hidden="false" customHeight="true" outlineLevel="0" collapsed="false">
      <c r="A76" s="13" t="s">
        <v>961</v>
      </c>
      <c r="B76" s="13" t="s">
        <v>962</v>
      </c>
      <c r="C76" s="13" t="s">
        <v>483</v>
      </c>
      <c r="D76" s="13" t="s">
        <v>593</v>
      </c>
      <c r="E76" s="13" t="s">
        <v>594</v>
      </c>
      <c r="F76" s="32" t="n">
        <v>46.5</v>
      </c>
      <c r="G76" s="32" t="n">
        <v>93</v>
      </c>
      <c r="H76" s="32" t="n">
        <v>2022</v>
      </c>
      <c r="I76" s="27" t="n">
        <v>40000000</v>
      </c>
      <c r="J76" s="13" t="s">
        <v>963</v>
      </c>
      <c r="K76" s="13" t="s">
        <v>964</v>
      </c>
      <c r="L76" s="13" t="s">
        <v>965</v>
      </c>
      <c r="M76" s="13" t="s">
        <v>218</v>
      </c>
      <c r="N76" s="13"/>
      <c r="O76" s="45" t="n">
        <f aca="false">IF(AND(ISNUMBER(F76),ISNUMBER(G76),F76&gt;0),G76/F76,"")</f>
        <v>2</v>
      </c>
      <c r="P76" s="46" t="n">
        <f aca="false">IF(AND(ISNUMBER(G76),ISNUMBER(I76),G76&gt;0),I76/(G76*1000),"")</f>
        <v>430.10752688172</v>
      </c>
      <c r="Q76" s="46" t="n">
        <f aca="false">IF(AND(ISNUMBER(F76),ISNUMBER(I76),F76&gt;0),I76/(F76*1000),"")</f>
        <v>860.215053763441</v>
      </c>
      <c r="R76" s="47" t="s">
        <v>966</v>
      </c>
      <c r="S76" s="47" t="s">
        <v>967</v>
      </c>
      <c r="T76" s="46" t="n">
        <f aca="false">IF(AND(N76="",ISNUMBER(G76),G76&lt;=100,ISNUMBER(P76),OR(LEFT(C76,3)="IOU",C76="muni/coop",LEFT(C76,5)="other")),P76,"")</f>
        <v>430.10752688172</v>
      </c>
    </row>
    <row r="77" customFormat="false" ht="42" hidden="false" customHeight="true" outlineLevel="0" collapsed="false">
      <c r="A77" s="13" t="s">
        <v>968</v>
      </c>
      <c r="B77" s="13" t="s">
        <v>969</v>
      </c>
      <c r="C77" s="13" t="s">
        <v>483</v>
      </c>
      <c r="D77" s="13" t="s">
        <v>593</v>
      </c>
      <c r="E77" s="13" t="s">
        <v>970</v>
      </c>
      <c r="F77" s="32" t="n">
        <v>1</v>
      </c>
      <c r="G77" s="32" t="n">
        <v>0.92</v>
      </c>
      <c r="H77" s="32" t="n">
        <v>2019</v>
      </c>
      <c r="I77" s="27" t="n">
        <v>2000000</v>
      </c>
      <c r="J77" s="13" t="s">
        <v>971</v>
      </c>
      <c r="K77" s="13" t="s">
        <v>972</v>
      </c>
      <c r="L77" s="13" t="s">
        <v>973</v>
      </c>
      <c r="M77" s="13" t="s">
        <v>199</v>
      </c>
      <c r="N77" s="13"/>
      <c r="O77" s="45" t="n">
        <f aca="false">IF(AND(ISNUMBER(F77),ISNUMBER(G77),F77&gt;0),G77/F77,"")</f>
        <v>0.92</v>
      </c>
      <c r="P77" s="46" t="n">
        <f aca="false">IF(AND(ISNUMBER(G77),ISNUMBER(I77),G77&gt;0),I77/(G77*1000),"")</f>
        <v>2173.91304347826</v>
      </c>
      <c r="Q77" s="46" t="n">
        <f aca="false">IF(AND(ISNUMBER(F77),ISNUMBER(I77),F77&gt;0),I77/(F77*1000),"")</f>
        <v>2000</v>
      </c>
      <c r="R77" s="47" t="s">
        <v>974</v>
      </c>
      <c r="S77" s="47" t="s">
        <v>975</v>
      </c>
      <c r="T77" s="46" t="n">
        <f aca="false">IF(AND(N77="",ISNUMBER(G77),G77&lt;=100,ISNUMBER(P77),OR(LEFT(C77,3)="IOU",C77="muni/coop",LEFT(C77,5)="other")),P77,"")</f>
        <v>2173.91304347826</v>
      </c>
    </row>
    <row r="78" customFormat="false" ht="42" hidden="false" customHeight="true" outlineLevel="0" collapsed="false">
      <c r="A78" s="13" t="s">
        <v>976</v>
      </c>
      <c r="B78" s="13" t="s">
        <v>977</v>
      </c>
      <c r="C78" s="13" t="s">
        <v>978</v>
      </c>
      <c r="D78" s="13" t="s">
        <v>687</v>
      </c>
      <c r="E78" s="13" t="s">
        <v>979</v>
      </c>
      <c r="F78" s="32" t="n">
        <v>30</v>
      </c>
      <c r="G78" s="32" t="n">
        <v>20</v>
      </c>
      <c r="H78" s="32" t="n">
        <v>2016</v>
      </c>
      <c r="I78" s="27" t="n">
        <v>38000000</v>
      </c>
      <c r="J78" s="13" t="s">
        <v>980</v>
      </c>
      <c r="K78" s="13" t="s">
        <v>981</v>
      </c>
      <c r="L78" s="13" t="s">
        <v>982</v>
      </c>
      <c r="M78" s="13" t="s">
        <v>218</v>
      </c>
      <c r="N78" s="13"/>
      <c r="O78" s="45" t="n">
        <f aca="false">IF(AND(ISNUMBER(F78),ISNUMBER(G78),F78&gt;0),G78/F78,"")</f>
        <v>0.666666666666667</v>
      </c>
      <c r="P78" s="46" t="n">
        <f aca="false">IF(AND(ISNUMBER(G78),ISNUMBER(I78),G78&gt;0),I78/(G78*1000),"")</f>
        <v>1900</v>
      </c>
      <c r="Q78" s="46" t="n">
        <f aca="false">IF(AND(ISNUMBER(F78),ISNUMBER(I78),F78&gt;0),I78/(F78*1000),"")</f>
        <v>1266.66666666667</v>
      </c>
      <c r="R78" s="47" t="s">
        <v>983</v>
      </c>
      <c r="S78" s="47" t="s">
        <v>984</v>
      </c>
      <c r="T78" s="46" t="str">
        <f aca="false">IF(AND(N78="",ISNUMBER(G78),G78&lt;=100,ISNUMBER(P78),OR(LEFT(C78,3)="IOU",C78="muni/coop",LEFT(C78,5)="other")),P78,"")</f>
        <v/>
      </c>
    </row>
    <row r="79" customFormat="false" ht="42" hidden="false" customHeight="true" outlineLevel="0" collapsed="false">
      <c r="A79" s="13" t="s">
        <v>985</v>
      </c>
      <c r="B79" s="13" t="s">
        <v>986</v>
      </c>
      <c r="C79" s="13" t="s">
        <v>483</v>
      </c>
      <c r="D79" s="13" t="s">
        <v>687</v>
      </c>
      <c r="E79" s="13" t="s">
        <v>987</v>
      </c>
      <c r="F79" s="32" t="n">
        <v>20</v>
      </c>
      <c r="G79" s="32" t="n">
        <v>10</v>
      </c>
      <c r="H79" s="32" t="n">
        <v>2018</v>
      </c>
      <c r="I79" s="27" t="n">
        <v>19200000</v>
      </c>
      <c r="J79" s="13" t="s">
        <v>988</v>
      </c>
      <c r="K79" s="13" t="s">
        <v>989</v>
      </c>
      <c r="L79" s="13" t="s">
        <v>990</v>
      </c>
      <c r="M79" s="13" t="s">
        <v>218</v>
      </c>
      <c r="N79" s="13"/>
      <c r="O79" s="45" t="n">
        <f aca="false">IF(AND(ISNUMBER(F79),ISNUMBER(G79),F79&gt;0),G79/F79,"")</f>
        <v>0.5</v>
      </c>
      <c r="P79" s="46" t="n">
        <f aca="false">IF(AND(ISNUMBER(G79),ISNUMBER(I79),G79&gt;0),I79/(G79*1000),"")</f>
        <v>1920</v>
      </c>
      <c r="Q79" s="46" t="n">
        <f aca="false">IF(AND(ISNUMBER(F79),ISNUMBER(I79),F79&gt;0),I79/(F79*1000),"")</f>
        <v>960</v>
      </c>
      <c r="R79" s="47" t="s">
        <v>991</v>
      </c>
      <c r="S79" s="47" t="s">
        <v>992</v>
      </c>
      <c r="T79" s="46" t="n">
        <f aca="false">IF(AND(N79="",ISNUMBER(G79),G79&lt;=100,ISNUMBER(P79),OR(LEFT(C79,3)="IOU",C79="muni/coop",LEFT(C79,5)="other")),P79,"")</f>
        <v>1920</v>
      </c>
    </row>
    <row r="80" customFormat="false" ht="42" hidden="false" customHeight="true" outlineLevel="0" collapsed="false">
      <c r="A80" s="13" t="s">
        <v>993</v>
      </c>
      <c r="B80" s="13" t="s">
        <v>994</v>
      </c>
      <c r="C80" s="13" t="s">
        <v>793</v>
      </c>
      <c r="D80" s="13" t="s">
        <v>995</v>
      </c>
      <c r="E80" s="13" t="s">
        <v>996</v>
      </c>
      <c r="F80" s="32" t="n">
        <v>50</v>
      </c>
      <c r="G80" s="32" t="n">
        <v>75</v>
      </c>
      <c r="H80" s="32" t="n">
        <v>2020</v>
      </c>
      <c r="I80" s="27" t="n">
        <v>41300000</v>
      </c>
      <c r="J80" s="13" t="s">
        <v>997</v>
      </c>
      <c r="K80" s="13" t="s">
        <v>998</v>
      </c>
      <c r="L80" s="13" t="s">
        <v>844</v>
      </c>
      <c r="M80" s="13" t="s">
        <v>218</v>
      </c>
      <c r="N80" s="13"/>
      <c r="O80" s="45" t="n">
        <f aca="false">IF(AND(ISNUMBER(F80),ISNUMBER(G80),F80&gt;0),G80/F80,"")</f>
        <v>1.5</v>
      </c>
      <c r="P80" s="46" t="n">
        <f aca="false">IF(AND(ISNUMBER(G80),ISNUMBER(I80),G80&gt;0),I80/(G80*1000),"")</f>
        <v>550.666666666667</v>
      </c>
      <c r="Q80" s="46" t="n">
        <f aca="false">IF(AND(ISNUMBER(F80),ISNUMBER(I80),F80&gt;0),I80/(F80*1000),"")</f>
        <v>826</v>
      </c>
      <c r="R80" s="47" t="s">
        <v>999</v>
      </c>
      <c r="S80" s="47" t="s">
        <v>1000</v>
      </c>
      <c r="T80" s="46" t="str">
        <f aca="false">IF(AND(N80="",ISNUMBER(G80),G80&lt;=100,ISNUMBER(P80),OR(LEFT(C80,3)="IOU",C80="muni/coop",LEFT(C80,5)="other")),P80,"")</f>
        <v/>
      </c>
    </row>
    <row r="81" customFormat="false" ht="42" hidden="false" customHeight="true" outlineLevel="0" collapsed="false">
      <c r="A81" s="13" t="s">
        <v>1001</v>
      </c>
      <c r="B81" s="13" t="s">
        <v>994</v>
      </c>
      <c r="C81" s="13" t="s">
        <v>793</v>
      </c>
      <c r="D81" s="13" t="s">
        <v>995</v>
      </c>
      <c r="E81" s="13" t="s">
        <v>996</v>
      </c>
      <c r="F81" s="32" t="n">
        <v>50</v>
      </c>
      <c r="G81" s="32" t="n">
        <v>74</v>
      </c>
      <c r="H81" s="32" t="n">
        <v>2020</v>
      </c>
      <c r="I81" s="27" t="n">
        <v>41600000</v>
      </c>
      <c r="J81" s="13" t="s">
        <v>1002</v>
      </c>
      <c r="K81" s="13" t="s">
        <v>1003</v>
      </c>
      <c r="L81" s="13" t="s">
        <v>844</v>
      </c>
      <c r="M81" s="13" t="s">
        <v>218</v>
      </c>
      <c r="N81" s="13"/>
      <c r="O81" s="45" t="n">
        <f aca="false">IF(AND(ISNUMBER(F81),ISNUMBER(G81),F81&gt;0),G81/F81,"")</f>
        <v>1.48</v>
      </c>
      <c r="P81" s="46" t="n">
        <f aca="false">IF(AND(ISNUMBER(G81),ISNUMBER(I81),G81&gt;0),I81/(G81*1000),"")</f>
        <v>562.162162162162</v>
      </c>
      <c r="Q81" s="46" t="n">
        <f aca="false">IF(AND(ISNUMBER(F81),ISNUMBER(I81),F81&gt;0),I81/(F81*1000),"")</f>
        <v>832</v>
      </c>
      <c r="R81" s="47" t="s">
        <v>1004</v>
      </c>
      <c r="S81" s="47" t="s">
        <v>1005</v>
      </c>
      <c r="T81" s="46" t="str">
        <f aca="false">IF(AND(N81="",ISNUMBER(G81),G81&lt;=100,ISNUMBER(P81),OR(LEFT(C81,3)="IOU",C81="muni/coop",LEFT(C81,5)="other")),P81,"")</f>
        <v/>
      </c>
    </row>
    <row r="82" customFormat="false" ht="42" hidden="false" customHeight="true" outlineLevel="0" collapsed="false">
      <c r="A82" s="13" t="s">
        <v>1006</v>
      </c>
      <c r="B82" s="13" t="s">
        <v>1007</v>
      </c>
      <c r="C82" s="13" t="s">
        <v>793</v>
      </c>
      <c r="D82" s="13" t="s">
        <v>711</v>
      </c>
      <c r="E82" s="13" t="s">
        <v>712</v>
      </c>
      <c r="F82" s="32" t="n">
        <v>25</v>
      </c>
      <c r="G82" s="32" t="n">
        <v>52</v>
      </c>
      <c r="H82" s="32" t="n">
        <v>2019</v>
      </c>
      <c r="I82" s="27" t="n">
        <v>26600000</v>
      </c>
      <c r="J82" s="13" t="s">
        <v>1008</v>
      </c>
      <c r="K82" s="13" t="s">
        <v>1009</v>
      </c>
      <c r="L82" s="13" t="s">
        <v>1010</v>
      </c>
      <c r="M82" s="13" t="s">
        <v>218</v>
      </c>
      <c r="N82" s="13"/>
      <c r="O82" s="45" t="n">
        <f aca="false">IF(AND(ISNUMBER(F82),ISNUMBER(G82),F82&gt;0),G82/F82,"")</f>
        <v>2.08</v>
      </c>
      <c r="P82" s="46" t="n">
        <f aca="false">IF(AND(ISNUMBER(G82),ISNUMBER(I82),G82&gt;0),I82/(G82*1000),"")</f>
        <v>511.538461538462</v>
      </c>
      <c r="Q82" s="46" t="n">
        <f aca="false">IF(AND(ISNUMBER(F82),ISNUMBER(I82),F82&gt;0),I82/(F82*1000),"")</f>
        <v>1064</v>
      </c>
      <c r="R82" s="47" t="s">
        <v>1011</v>
      </c>
      <c r="S82" s="47" t="s">
        <v>1012</v>
      </c>
      <c r="T82" s="46" t="str">
        <f aca="false">IF(AND(N82="",ISNUMBER(G82),G82&lt;=100,ISNUMBER(P82),OR(LEFT(C82,3)="IOU",C82="muni/coop",LEFT(C82,5)="other")),P82,"")</f>
        <v/>
      </c>
    </row>
    <row r="83" customFormat="false" ht="42" hidden="false" customHeight="true" outlineLevel="0" collapsed="false">
      <c r="A83" s="13" t="s">
        <v>1013</v>
      </c>
      <c r="B83" s="13" t="s">
        <v>1014</v>
      </c>
      <c r="C83" s="13" t="s">
        <v>793</v>
      </c>
      <c r="D83" s="13" t="s">
        <v>711</v>
      </c>
      <c r="E83" s="13" t="s">
        <v>712</v>
      </c>
      <c r="F83" s="32" t="n">
        <v>50</v>
      </c>
      <c r="G83" s="32" t="n">
        <v>64.5</v>
      </c>
      <c r="H83" s="32" t="n">
        <v>2020</v>
      </c>
      <c r="I83" s="27" t="n">
        <v>49700000</v>
      </c>
      <c r="J83" s="13" t="s">
        <v>1015</v>
      </c>
      <c r="K83" s="13" t="s">
        <v>1016</v>
      </c>
      <c r="L83" s="13" t="s">
        <v>1017</v>
      </c>
      <c r="M83" s="13" t="s">
        <v>218</v>
      </c>
      <c r="N83" s="13"/>
      <c r="O83" s="45" t="n">
        <f aca="false">IF(AND(ISNUMBER(F83),ISNUMBER(G83),F83&gt;0),G83/F83,"")</f>
        <v>1.29</v>
      </c>
      <c r="P83" s="46" t="n">
        <f aca="false">IF(AND(ISNUMBER(G83),ISNUMBER(I83),G83&gt;0),I83/(G83*1000),"")</f>
        <v>770.542635658915</v>
      </c>
      <c r="Q83" s="46" t="n">
        <f aca="false">IF(AND(ISNUMBER(F83),ISNUMBER(I83),F83&gt;0),I83/(F83*1000),"")</f>
        <v>994</v>
      </c>
      <c r="R83" s="47" t="s">
        <v>1018</v>
      </c>
      <c r="S83" s="47" t="s">
        <v>1019</v>
      </c>
      <c r="T83" s="46" t="str">
        <f aca="false">IF(AND(N83="",ISNUMBER(G83),G83&lt;=100,ISNUMBER(P83),OR(LEFT(C83,3)="IOU",C83="muni/coop",LEFT(C83,5)="other")),P83,"")</f>
        <v/>
      </c>
    </row>
    <row r="84" customFormat="false" ht="42" hidden="false" customHeight="true" outlineLevel="0" collapsed="false">
      <c r="A84" s="13" t="s">
        <v>1020</v>
      </c>
      <c r="B84" s="13" t="s">
        <v>1021</v>
      </c>
      <c r="C84" s="13" t="s">
        <v>458</v>
      </c>
      <c r="D84" s="13" t="s">
        <v>1022</v>
      </c>
      <c r="E84" s="13" t="s">
        <v>712</v>
      </c>
      <c r="F84" s="32" t="n">
        <v>50</v>
      </c>
      <c r="G84" s="32" t="n">
        <v>75</v>
      </c>
      <c r="H84" s="32" t="n">
        <v>2021</v>
      </c>
      <c r="I84" s="27" t="n">
        <v>46400000</v>
      </c>
      <c r="J84" s="13" t="s">
        <v>1023</v>
      </c>
      <c r="K84" s="13" t="s">
        <v>1024</v>
      </c>
      <c r="L84" s="13" t="s">
        <v>1025</v>
      </c>
      <c r="M84" s="13" t="s">
        <v>218</v>
      </c>
      <c r="N84" s="13"/>
      <c r="O84" s="45" t="n">
        <f aca="false">IF(AND(ISNUMBER(F84),ISNUMBER(G84),F84&gt;0),G84/F84,"")</f>
        <v>1.5</v>
      </c>
      <c r="P84" s="46" t="n">
        <f aca="false">IF(AND(ISNUMBER(G84),ISNUMBER(I84),G84&gt;0),I84/(G84*1000),"")</f>
        <v>618.666666666667</v>
      </c>
      <c r="Q84" s="46" t="n">
        <f aca="false">IF(AND(ISNUMBER(F84),ISNUMBER(I84),F84&gt;0),I84/(F84*1000),"")</f>
        <v>928</v>
      </c>
      <c r="R84" s="47" t="s">
        <v>1026</v>
      </c>
      <c r="S84" s="47" t="s">
        <v>1027</v>
      </c>
      <c r="T84" s="46" t="n">
        <f aca="false">IF(AND(N84="",ISNUMBER(G84),G84&lt;=100,ISNUMBER(P84),OR(LEFT(C84,3)="IOU",C84="muni/coop",LEFT(C84,5)="other")),P84,"")</f>
        <v>618.666666666667</v>
      </c>
    </row>
    <row r="85" customFormat="false" ht="42" hidden="false" customHeight="true" outlineLevel="0" collapsed="false">
      <c r="A85" s="13" t="s">
        <v>1028</v>
      </c>
      <c r="B85" s="13" t="s">
        <v>1029</v>
      </c>
      <c r="C85" s="13" t="s">
        <v>793</v>
      </c>
      <c r="D85" s="13" t="s">
        <v>1022</v>
      </c>
      <c r="E85" s="13" t="s">
        <v>712</v>
      </c>
      <c r="F85" s="32" t="n">
        <v>50</v>
      </c>
      <c r="G85" s="32" t="n">
        <v>50</v>
      </c>
      <c r="H85" s="32" t="n">
        <v>2024</v>
      </c>
      <c r="I85" s="27" t="n">
        <v>27500000</v>
      </c>
      <c r="J85" s="13" t="s">
        <v>1030</v>
      </c>
      <c r="K85" s="13" t="s">
        <v>1031</v>
      </c>
      <c r="L85" s="13" t="s">
        <v>844</v>
      </c>
      <c r="M85" s="13" t="s">
        <v>218</v>
      </c>
      <c r="N85" s="13"/>
      <c r="O85" s="45" t="n">
        <f aca="false">IF(AND(ISNUMBER(F85),ISNUMBER(G85),F85&gt;0),G85/F85,"")</f>
        <v>1</v>
      </c>
      <c r="P85" s="46" t="n">
        <f aca="false">IF(AND(ISNUMBER(G85),ISNUMBER(I85),G85&gt;0),I85/(G85*1000),"")</f>
        <v>550</v>
      </c>
      <c r="Q85" s="46" t="n">
        <f aca="false">IF(AND(ISNUMBER(F85),ISNUMBER(I85),F85&gt;0),I85/(F85*1000),"")</f>
        <v>550</v>
      </c>
      <c r="R85" s="47" t="s">
        <v>1032</v>
      </c>
      <c r="S85" s="47" t="s">
        <v>1033</v>
      </c>
      <c r="T85" s="46" t="str">
        <f aca="false">IF(AND(N85="",ISNUMBER(G85),G85&lt;=100,ISNUMBER(P85),OR(LEFT(C85,3)="IOU",C85="muni/coop",LEFT(C85,5)="other")),P85,"")</f>
        <v/>
      </c>
    </row>
    <row r="86" customFormat="false" ht="42" hidden="false" customHeight="true" outlineLevel="0" collapsed="false">
      <c r="A86" s="13" t="s">
        <v>1034</v>
      </c>
      <c r="B86" s="13" t="s">
        <v>1035</v>
      </c>
      <c r="C86" s="13" t="s">
        <v>793</v>
      </c>
      <c r="D86" s="13" t="s">
        <v>1036</v>
      </c>
      <c r="E86" s="13" t="s">
        <v>712</v>
      </c>
      <c r="F86" s="32" t="n">
        <v>50</v>
      </c>
      <c r="G86" s="32" t="n">
        <v>100</v>
      </c>
      <c r="H86" s="32" t="n">
        <v>2023</v>
      </c>
      <c r="I86" s="27" t="n">
        <v>40200000</v>
      </c>
      <c r="J86" s="13" t="s">
        <v>1037</v>
      </c>
      <c r="K86" s="13" t="s">
        <v>1038</v>
      </c>
      <c r="L86" s="13" t="s">
        <v>844</v>
      </c>
      <c r="M86" s="13" t="s">
        <v>218</v>
      </c>
      <c r="N86" s="13"/>
      <c r="O86" s="45" t="n">
        <f aca="false">IF(AND(ISNUMBER(F86),ISNUMBER(G86),F86&gt;0),G86/F86,"")</f>
        <v>2</v>
      </c>
      <c r="P86" s="46" t="n">
        <f aca="false">IF(AND(ISNUMBER(G86),ISNUMBER(I86),G86&gt;0),I86/(G86*1000),"")</f>
        <v>402</v>
      </c>
      <c r="Q86" s="46" t="n">
        <f aca="false">IF(AND(ISNUMBER(F86),ISNUMBER(I86),F86&gt;0),I86/(F86*1000),"")</f>
        <v>804</v>
      </c>
      <c r="R86" s="47" t="s">
        <v>1039</v>
      </c>
      <c r="S86" s="47" t="s">
        <v>1040</v>
      </c>
      <c r="T86" s="46" t="str">
        <f aca="false">IF(AND(N86="",ISNUMBER(G86),G86&lt;=100,ISNUMBER(P86),OR(LEFT(C86,3)="IOU",C86="muni/coop",LEFT(C86,5)="other")),P86,"")</f>
        <v/>
      </c>
    </row>
    <row r="87" customFormat="false" ht="42" hidden="false" customHeight="true" outlineLevel="0" collapsed="false">
      <c r="A87" s="13" t="s">
        <v>1041</v>
      </c>
      <c r="B87" s="13" t="s">
        <v>1042</v>
      </c>
      <c r="C87" s="13" t="s">
        <v>793</v>
      </c>
      <c r="D87" s="13" t="s">
        <v>1036</v>
      </c>
      <c r="E87" s="13" t="s">
        <v>712</v>
      </c>
      <c r="F87" s="32" t="n">
        <v>100</v>
      </c>
      <c r="G87" s="32" t="n">
        <v>150</v>
      </c>
      <c r="H87" s="32" t="n">
        <v>2022</v>
      </c>
      <c r="I87" s="27" t="n">
        <v>90000000</v>
      </c>
      <c r="J87" s="13" t="s">
        <v>1043</v>
      </c>
      <c r="K87" s="13" t="s">
        <v>1044</v>
      </c>
      <c r="L87" s="13" t="s">
        <v>844</v>
      </c>
      <c r="M87" s="13" t="s">
        <v>218</v>
      </c>
      <c r="N87" s="13"/>
      <c r="O87" s="45" t="n">
        <f aca="false">IF(AND(ISNUMBER(F87),ISNUMBER(G87),F87&gt;0),G87/F87,"")</f>
        <v>1.5</v>
      </c>
      <c r="P87" s="46" t="n">
        <f aca="false">IF(AND(ISNUMBER(G87),ISNUMBER(I87),G87&gt;0),I87/(G87*1000),"")</f>
        <v>600</v>
      </c>
      <c r="Q87" s="46" t="n">
        <f aca="false">IF(AND(ISNUMBER(F87),ISNUMBER(I87),F87&gt;0),I87/(F87*1000),"")</f>
        <v>900</v>
      </c>
      <c r="R87" s="47" t="s">
        <v>1045</v>
      </c>
      <c r="S87" s="47" t="s">
        <v>1046</v>
      </c>
      <c r="T87" s="46" t="str">
        <f aca="false">IF(AND(N87="",ISNUMBER(G87),G87&lt;=100,ISNUMBER(P87),OR(LEFT(C87,3)="IOU",C87="muni/coop",LEFT(C87,5)="other")),P87,"")</f>
        <v/>
      </c>
    </row>
    <row r="88" customFormat="false" ht="42" hidden="false" customHeight="true" outlineLevel="0" collapsed="false">
      <c r="A88" s="13" t="s">
        <v>1047</v>
      </c>
      <c r="B88" s="13" t="s">
        <v>1048</v>
      </c>
      <c r="C88" s="13" t="s">
        <v>760</v>
      </c>
      <c r="D88" s="13" t="s">
        <v>1036</v>
      </c>
      <c r="E88" s="13" t="s">
        <v>712</v>
      </c>
      <c r="F88" s="32" t="n">
        <v>100</v>
      </c>
      <c r="G88" s="32" t="n">
        <v>200</v>
      </c>
      <c r="H88" s="32" t="n">
        <v>2024</v>
      </c>
      <c r="I88" s="27" t="n">
        <v>100000000</v>
      </c>
      <c r="J88" s="13" t="s">
        <v>1049</v>
      </c>
      <c r="K88" s="13" t="s">
        <v>1050</v>
      </c>
      <c r="L88" s="13" t="s">
        <v>982</v>
      </c>
      <c r="M88" s="13" t="s">
        <v>218</v>
      </c>
      <c r="N88" s="13"/>
      <c r="O88" s="45" t="n">
        <f aca="false">IF(AND(ISNUMBER(F88),ISNUMBER(G88),F88&gt;0),G88/F88,"")</f>
        <v>2</v>
      </c>
      <c r="P88" s="46" t="n">
        <f aca="false">IF(AND(ISNUMBER(G88),ISNUMBER(I88),G88&gt;0),I88/(G88*1000),"")</f>
        <v>500</v>
      </c>
      <c r="Q88" s="46" t="n">
        <f aca="false">IF(AND(ISNUMBER(F88),ISNUMBER(I88),F88&gt;0),I88/(F88*1000),"")</f>
        <v>1000</v>
      </c>
      <c r="R88" s="47" t="s">
        <v>1051</v>
      </c>
      <c r="S88" s="47" t="s">
        <v>1052</v>
      </c>
      <c r="T88" s="46" t="str">
        <f aca="false">IF(AND(N88="",ISNUMBER(G88),G88&lt;=100,ISNUMBER(P88),OR(LEFT(C88,3)="IOU",C88="muni/coop",LEFT(C88,5)="other")),P88,"")</f>
        <v/>
      </c>
    </row>
    <row r="89" customFormat="false" ht="42" hidden="false" customHeight="true" outlineLevel="0" collapsed="false">
      <c r="A89" s="13" t="s">
        <v>1053</v>
      </c>
      <c r="B89" s="13" t="s">
        <v>1054</v>
      </c>
      <c r="C89" s="13" t="s">
        <v>793</v>
      </c>
      <c r="D89" s="13" t="s">
        <v>1055</v>
      </c>
      <c r="E89" s="13" t="s">
        <v>712</v>
      </c>
      <c r="F89" s="32" t="n">
        <v>150</v>
      </c>
      <c r="G89" s="32" t="n">
        <v>150</v>
      </c>
      <c r="H89" s="32" t="n">
        <v>2023</v>
      </c>
      <c r="I89" s="27" t="n">
        <v>100000000</v>
      </c>
      <c r="J89" s="13" t="s">
        <v>1056</v>
      </c>
      <c r="K89" s="13" t="s">
        <v>1057</v>
      </c>
      <c r="L89" s="13" t="s">
        <v>1058</v>
      </c>
      <c r="M89" s="13" t="s">
        <v>218</v>
      </c>
      <c r="N89" s="13"/>
      <c r="O89" s="45" t="n">
        <f aca="false">IF(AND(ISNUMBER(F89),ISNUMBER(G89),F89&gt;0),G89/F89,"")</f>
        <v>1</v>
      </c>
      <c r="P89" s="46" t="n">
        <f aca="false">IF(AND(ISNUMBER(G89),ISNUMBER(I89),G89&gt;0),I89/(G89*1000),"")</f>
        <v>666.666666666667</v>
      </c>
      <c r="Q89" s="46" t="n">
        <f aca="false">IF(AND(ISNUMBER(F89),ISNUMBER(I89),F89&gt;0),I89/(F89*1000),"")</f>
        <v>666.666666666667</v>
      </c>
      <c r="R89" s="47" t="s">
        <v>1059</v>
      </c>
      <c r="S89" s="47" t="s">
        <v>1052</v>
      </c>
      <c r="T89" s="46" t="str">
        <f aca="false">IF(AND(N89="",ISNUMBER(G89),G89&lt;=100,ISNUMBER(P89),OR(LEFT(C89,3)="IOU",C89="muni/coop",LEFT(C89,5)="other")),P89,"")</f>
        <v/>
      </c>
    </row>
    <row r="90" customFormat="false" ht="42" hidden="false" customHeight="true" outlineLevel="0" collapsed="false">
      <c r="A90" s="13" t="s">
        <v>1060</v>
      </c>
      <c r="B90" s="13" t="s">
        <v>1061</v>
      </c>
      <c r="C90" s="13" t="s">
        <v>458</v>
      </c>
      <c r="D90" s="13" t="s">
        <v>647</v>
      </c>
      <c r="E90" s="13" t="s">
        <v>1062</v>
      </c>
      <c r="F90" s="32" t="n">
        <v>150</v>
      </c>
      <c r="G90" s="32" t="n">
        <v>600</v>
      </c>
      <c r="H90" s="32" t="n">
        <v>2026</v>
      </c>
      <c r="I90" s="27" t="n">
        <v>262000000</v>
      </c>
      <c r="J90" s="13" t="s">
        <v>1063</v>
      </c>
      <c r="K90" s="13" t="s">
        <v>1064</v>
      </c>
      <c r="L90" s="13" t="s">
        <v>1065</v>
      </c>
      <c r="M90" s="13" t="s">
        <v>218</v>
      </c>
      <c r="N90" s="13"/>
      <c r="O90" s="45" t="n">
        <f aca="false">IF(AND(ISNUMBER(F90),ISNUMBER(G90),F90&gt;0),G90/F90,"")</f>
        <v>4</v>
      </c>
      <c r="P90" s="46" t="n">
        <f aca="false">IF(AND(ISNUMBER(G90),ISNUMBER(I90),G90&gt;0),I90/(G90*1000),"")</f>
        <v>436.666666666667</v>
      </c>
      <c r="Q90" s="46" t="n">
        <f aca="false">IF(AND(ISNUMBER(F90),ISNUMBER(I90),F90&gt;0),I90/(F90*1000),"")</f>
        <v>1746.66666666667</v>
      </c>
      <c r="R90" s="47" t="s">
        <v>1066</v>
      </c>
      <c r="S90" s="47" t="s">
        <v>1067</v>
      </c>
      <c r="T90" s="46" t="str">
        <f aca="false">IF(AND(N90="",ISNUMBER(G90),G90&lt;=100,ISNUMBER(P90),OR(LEFT(C90,3)="IOU",C90="muni/coop",LEFT(C90,5)="other")),P90,"")</f>
        <v/>
      </c>
    </row>
    <row r="91" customFormat="false" ht="42" hidden="false" customHeight="true" outlineLevel="0" collapsed="false">
      <c r="A91" s="13" t="s">
        <v>1068</v>
      </c>
      <c r="B91" s="13" t="s">
        <v>1069</v>
      </c>
      <c r="C91" s="13" t="s">
        <v>793</v>
      </c>
      <c r="D91" s="13" t="s">
        <v>719</v>
      </c>
      <c r="E91" s="13" t="s">
        <v>720</v>
      </c>
      <c r="F91" s="32" t="n">
        <v>80</v>
      </c>
      <c r="G91" s="32" t="n">
        <v>320</v>
      </c>
      <c r="H91" s="32" t="n">
        <v>2025</v>
      </c>
      <c r="I91" s="27" t="n">
        <v>125800000</v>
      </c>
      <c r="J91" s="13" t="s">
        <v>1070</v>
      </c>
      <c r="K91" s="13" t="s">
        <v>1071</v>
      </c>
      <c r="L91" s="13" t="s">
        <v>844</v>
      </c>
      <c r="M91" s="13" t="s">
        <v>218</v>
      </c>
      <c r="N91" s="13"/>
      <c r="O91" s="45" t="n">
        <f aca="false">IF(AND(ISNUMBER(F91),ISNUMBER(G91),F91&gt;0),G91/F91,"")</f>
        <v>4</v>
      </c>
      <c r="P91" s="46" t="n">
        <f aca="false">IF(AND(ISNUMBER(G91),ISNUMBER(I91),G91&gt;0),I91/(G91*1000),"")</f>
        <v>393.125</v>
      </c>
      <c r="Q91" s="46" t="n">
        <f aca="false">IF(AND(ISNUMBER(F91),ISNUMBER(I91),F91&gt;0),I91/(F91*1000),"")</f>
        <v>1572.5</v>
      </c>
      <c r="R91" s="47" t="s">
        <v>1072</v>
      </c>
      <c r="S91" s="47" t="s">
        <v>1073</v>
      </c>
      <c r="T91" s="46" t="str">
        <f aca="false">IF(AND(N91="",ISNUMBER(G91),G91&lt;=100,ISNUMBER(P91),OR(LEFT(C91,3)="IOU",C91="muni/coop",LEFT(C91,5)="other")),P91,"")</f>
        <v/>
      </c>
    </row>
    <row r="92" customFormat="false" ht="42" hidden="false" customHeight="true" outlineLevel="0" collapsed="false">
      <c r="A92" s="13" t="s">
        <v>1074</v>
      </c>
      <c r="B92" s="13" t="s">
        <v>1075</v>
      </c>
      <c r="C92" s="13" t="s">
        <v>793</v>
      </c>
      <c r="D92" s="13" t="s">
        <v>769</v>
      </c>
      <c r="E92" s="13" t="s">
        <v>770</v>
      </c>
      <c r="F92" s="32" t="n">
        <v>80</v>
      </c>
      <c r="G92" s="32" t="n">
        <v>160</v>
      </c>
      <c r="H92" s="32" t="n">
        <v>2026</v>
      </c>
      <c r="I92" s="27" t="n">
        <v>88800000</v>
      </c>
      <c r="J92" s="13" t="s">
        <v>1076</v>
      </c>
      <c r="K92" s="13" t="s">
        <v>1077</v>
      </c>
      <c r="L92" s="13" t="s">
        <v>844</v>
      </c>
      <c r="M92" s="13" t="s">
        <v>218</v>
      </c>
      <c r="N92" s="13"/>
      <c r="O92" s="45" t="n">
        <f aca="false">IF(AND(ISNUMBER(F92),ISNUMBER(G92),F92&gt;0),G92/F92,"")</f>
        <v>2</v>
      </c>
      <c r="P92" s="46" t="n">
        <f aca="false">IF(AND(ISNUMBER(G92),ISNUMBER(I92),G92&gt;0),I92/(G92*1000),"")</f>
        <v>555</v>
      </c>
      <c r="Q92" s="46" t="n">
        <f aca="false">IF(AND(ISNUMBER(F92),ISNUMBER(I92),F92&gt;0),I92/(F92*1000),"")</f>
        <v>1110</v>
      </c>
      <c r="R92" s="47" t="s">
        <v>1078</v>
      </c>
      <c r="S92" s="47" t="s">
        <v>1073</v>
      </c>
      <c r="T92" s="46" t="str">
        <f aca="false">IF(AND(N92="",ISNUMBER(G92),G92&lt;=100,ISNUMBER(P92),OR(LEFT(C92,3)="IOU",C92="muni/coop",LEFT(C92,5)="other")),P92,"")</f>
        <v/>
      </c>
    </row>
    <row r="93" customFormat="false" ht="42" hidden="false" customHeight="true" outlineLevel="0" collapsed="false">
      <c r="A93" s="13" t="s">
        <v>1079</v>
      </c>
      <c r="B93" s="13" t="s">
        <v>1080</v>
      </c>
      <c r="C93" s="13" t="s">
        <v>793</v>
      </c>
      <c r="D93" s="13" t="s">
        <v>509</v>
      </c>
      <c r="E93" s="13" t="s">
        <v>1081</v>
      </c>
      <c r="F93" s="32" t="n">
        <v>185</v>
      </c>
      <c r="G93" s="32" t="n">
        <v>565</v>
      </c>
      <c r="H93" s="32" t="n">
        <v>2023</v>
      </c>
      <c r="I93" s="27" t="n">
        <v>251800000</v>
      </c>
      <c r="J93" s="13" t="s">
        <v>1082</v>
      </c>
      <c r="K93" s="13" t="s">
        <v>1083</v>
      </c>
      <c r="L93" s="13" t="s">
        <v>844</v>
      </c>
      <c r="M93" s="13" t="s">
        <v>198</v>
      </c>
      <c r="N93" s="13"/>
      <c r="O93" s="45" t="n">
        <f aca="false">IF(AND(ISNUMBER(F93),ISNUMBER(G93),F93&gt;0),G93/F93,"")</f>
        <v>3.05405405405405</v>
      </c>
      <c r="P93" s="46" t="n">
        <f aca="false">IF(AND(ISNUMBER(G93),ISNUMBER(I93),G93&gt;0),I93/(G93*1000),"")</f>
        <v>445.663716814159</v>
      </c>
      <c r="Q93" s="46" t="n">
        <f aca="false">IF(AND(ISNUMBER(F93),ISNUMBER(I93),F93&gt;0),I93/(F93*1000),"")</f>
        <v>1361.08108108108</v>
      </c>
      <c r="R93" s="47" t="s">
        <v>1084</v>
      </c>
      <c r="S93" s="47" t="s">
        <v>1085</v>
      </c>
      <c r="T93" s="46" t="str">
        <f aca="false">IF(AND(N93="",ISNUMBER(G93),G93&lt;=100,ISNUMBER(P93),OR(LEFT(C93,3)="IOU",C93="muni/coop",LEFT(C93,5)="other")),P93,"")</f>
        <v/>
      </c>
    </row>
    <row r="94" customFormat="false" ht="42" hidden="false" customHeight="true" outlineLevel="0" collapsed="false">
      <c r="A94" s="13" t="s">
        <v>1086</v>
      </c>
      <c r="B94" s="13" t="s">
        <v>1087</v>
      </c>
      <c r="C94" s="13" t="s">
        <v>458</v>
      </c>
      <c r="D94" s="13" t="s">
        <v>1088</v>
      </c>
      <c r="E94" s="13" t="s">
        <v>778</v>
      </c>
      <c r="F94" s="32" t="n">
        <v>80</v>
      </c>
      <c r="G94" s="32" t="n">
        <v>320</v>
      </c>
      <c r="H94" s="32" t="n">
        <v>2023</v>
      </c>
      <c r="I94" s="27" t="n">
        <v>100456659</v>
      </c>
      <c r="J94" s="13" t="s">
        <v>1089</v>
      </c>
      <c r="K94" s="13" t="s">
        <v>1090</v>
      </c>
      <c r="L94" s="13" t="s">
        <v>1091</v>
      </c>
      <c r="M94" s="13" t="s">
        <v>199</v>
      </c>
      <c r="N94" s="13"/>
      <c r="O94" s="45" t="n">
        <f aca="false">IF(AND(ISNUMBER(F94),ISNUMBER(G94),F94&gt;0),G94/F94,"")</f>
        <v>4</v>
      </c>
      <c r="P94" s="46" t="n">
        <f aca="false">IF(AND(ISNUMBER(G94),ISNUMBER(I94),G94&gt;0),I94/(G94*1000),"")</f>
        <v>313.927059375</v>
      </c>
      <c r="Q94" s="46" t="n">
        <f aca="false">IF(AND(ISNUMBER(F94),ISNUMBER(I94),F94&gt;0),I94/(F94*1000),"")</f>
        <v>1255.7082375</v>
      </c>
      <c r="R94" s="47" t="s">
        <v>1092</v>
      </c>
      <c r="S94" s="47" t="s">
        <v>1093</v>
      </c>
      <c r="T94" s="46" t="str">
        <f aca="false">IF(AND(N94="",ISNUMBER(G94),G94&lt;=100,ISNUMBER(P94),OR(LEFT(C94,3)="IOU",C94="muni/coop",LEFT(C94,5)="other")),P94,"")</f>
        <v/>
      </c>
    </row>
    <row r="95" customFormat="false" ht="42" hidden="false" customHeight="true" outlineLevel="0" collapsed="false">
      <c r="A95" s="13" t="s">
        <v>1094</v>
      </c>
      <c r="B95" s="13" t="s">
        <v>608</v>
      </c>
      <c r="C95" s="13" t="s">
        <v>458</v>
      </c>
      <c r="D95" s="13" t="s">
        <v>609</v>
      </c>
      <c r="E95" s="13" t="s">
        <v>778</v>
      </c>
      <c r="F95" s="32" t="n">
        <v>200</v>
      </c>
      <c r="G95" s="32" t="n">
        <v>800</v>
      </c>
      <c r="H95" s="32" t="n">
        <v>2025</v>
      </c>
      <c r="I95" s="27" t="n">
        <v>294000000</v>
      </c>
      <c r="J95" s="13" t="s">
        <v>1095</v>
      </c>
      <c r="K95" s="13" t="s">
        <v>1096</v>
      </c>
      <c r="L95" s="13" t="s">
        <v>844</v>
      </c>
      <c r="M95" s="13" t="s">
        <v>218</v>
      </c>
      <c r="N95" s="13"/>
      <c r="O95" s="45" t="n">
        <f aca="false">IF(AND(ISNUMBER(F95),ISNUMBER(G95),F95&gt;0),G95/F95,"")</f>
        <v>4</v>
      </c>
      <c r="P95" s="46" t="n">
        <f aca="false">IF(AND(ISNUMBER(G95),ISNUMBER(I95),G95&gt;0),I95/(G95*1000),"")</f>
        <v>367.5</v>
      </c>
      <c r="Q95" s="46" t="n">
        <f aca="false">IF(AND(ISNUMBER(F95),ISNUMBER(I95),F95&gt;0),I95/(F95*1000),"")</f>
        <v>1470</v>
      </c>
      <c r="R95" s="47" t="s">
        <v>1097</v>
      </c>
      <c r="S95" s="47" t="s">
        <v>1098</v>
      </c>
      <c r="T95" s="46" t="str">
        <f aca="false">IF(AND(N95="",ISNUMBER(G95),G95&lt;=100,ISNUMBER(P95),OR(LEFT(C95,3)="IOU",C95="muni/coop",LEFT(C95,5)="other")),P95,"")</f>
        <v/>
      </c>
    </row>
    <row r="96" customFormat="false" ht="42" hidden="false" customHeight="true" outlineLevel="0" collapsed="false">
      <c r="A96" s="13" t="s">
        <v>1099</v>
      </c>
      <c r="B96" s="13" t="s">
        <v>608</v>
      </c>
      <c r="C96" s="13" t="s">
        <v>458</v>
      </c>
      <c r="D96" s="13" t="s">
        <v>609</v>
      </c>
      <c r="E96" s="13" t="s">
        <v>778</v>
      </c>
      <c r="F96" s="32" t="n">
        <v>200</v>
      </c>
      <c r="G96" s="32" t="n">
        <v>800</v>
      </c>
      <c r="H96" s="32" t="n">
        <v>2026</v>
      </c>
      <c r="I96" s="27" t="n">
        <v>350000000</v>
      </c>
      <c r="J96" s="13" t="s">
        <v>1100</v>
      </c>
      <c r="K96" s="13" t="s">
        <v>1101</v>
      </c>
      <c r="L96" s="13" t="s">
        <v>844</v>
      </c>
      <c r="M96" s="13" t="s">
        <v>218</v>
      </c>
      <c r="N96" s="13"/>
      <c r="O96" s="45" t="n">
        <f aca="false">IF(AND(ISNUMBER(F96),ISNUMBER(G96),F96&gt;0),G96/F96,"")</f>
        <v>4</v>
      </c>
      <c r="P96" s="46" t="n">
        <f aca="false">IF(AND(ISNUMBER(G96),ISNUMBER(I96),G96&gt;0),I96/(G96*1000),"")</f>
        <v>437.5</v>
      </c>
      <c r="Q96" s="46" t="n">
        <f aca="false">IF(AND(ISNUMBER(F96),ISNUMBER(I96),F96&gt;0),I96/(F96*1000),"")</f>
        <v>1750</v>
      </c>
      <c r="R96" s="47" t="s">
        <v>1102</v>
      </c>
      <c r="S96" s="47" t="s">
        <v>1098</v>
      </c>
      <c r="T96" s="46" t="str">
        <f aca="false">IF(AND(N96="",ISNUMBER(G96),G96&lt;=100,ISNUMBER(P96),OR(LEFT(C96,3)="IOU",C96="muni/coop",LEFT(C96,5)="other")),P96,"")</f>
        <v/>
      </c>
    </row>
    <row r="97" customFormat="false" ht="42" hidden="false" customHeight="true" outlineLevel="0" collapsed="false">
      <c r="A97" s="13" t="s">
        <v>1103</v>
      </c>
      <c r="B97" s="13" t="s">
        <v>599</v>
      </c>
      <c r="C97" s="13" t="s">
        <v>458</v>
      </c>
      <c r="D97" s="13" t="s">
        <v>600</v>
      </c>
      <c r="E97" s="13" t="s">
        <v>601</v>
      </c>
      <c r="F97" s="32" t="n">
        <v>220</v>
      </c>
      <c r="G97" s="32" t="n">
        <v>880</v>
      </c>
      <c r="H97" s="32" t="n">
        <v>2026</v>
      </c>
      <c r="I97" s="27" t="n">
        <v>460000000</v>
      </c>
      <c r="J97" s="13" t="s">
        <v>1104</v>
      </c>
      <c r="K97" s="13" t="s">
        <v>1105</v>
      </c>
      <c r="L97" s="13" t="s">
        <v>1106</v>
      </c>
      <c r="M97" s="13" t="s">
        <v>218</v>
      </c>
      <c r="N97" s="13"/>
      <c r="O97" s="45" t="n">
        <f aca="false">IF(AND(ISNUMBER(F97),ISNUMBER(G97),F97&gt;0),G97/F97,"")</f>
        <v>4</v>
      </c>
      <c r="P97" s="46" t="n">
        <f aca="false">IF(AND(ISNUMBER(G97),ISNUMBER(I97),G97&gt;0),I97/(G97*1000),"")</f>
        <v>522.727272727273</v>
      </c>
      <c r="Q97" s="46" t="n">
        <f aca="false">IF(AND(ISNUMBER(F97),ISNUMBER(I97),F97&gt;0),I97/(F97*1000),"")</f>
        <v>2090.90909090909</v>
      </c>
      <c r="R97" s="47" t="s">
        <v>605</v>
      </c>
      <c r="S97" s="47" t="s">
        <v>1107</v>
      </c>
      <c r="T97" s="46" t="str">
        <f aca="false">IF(AND(N97="",ISNUMBER(G97),G97&lt;=100,ISNUMBER(P97),OR(LEFT(C97,3)="IOU",C97="muni/coop",LEFT(C97,5)="other")),P97,"")</f>
        <v/>
      </c>
    </row>
    <row r="98" customFormat="false" ht="42" hidden="false" customHeight="true" outlineLevel="0" collapsed="false">
      <c r="A98" s="13" t="s">
        <v>1108</v>
      </c>
      <c r="B98" s="13" t="s">
        <v>1109</v>
      </c>
      <c r="C98" s="13" t="s">
        <v>458</v>
      </c>
      <c r="D98" s="13" t="s">
        <v>600</v>
      </c>
      <c r="E98" s="13" t="s">
        <v>601</v>
      </c>
      <c r="F98" s="32" t="n">
        <v>45</v>
      </c>
      <c r="G98" s="32" t="n">
        <v>180</v>
      </c>
      <c r="H98" s="32" t="n">
        <v>2026</v>
      </c>
      <c r="I98" s="27" t="n">
        <v>70000000</v>
      </c>
      <c r="J98" s="13" t="s">
        <v>1110</v>
      </c>
      <c r="K98" s="13" t="s">
        <v>1111</v>
      </c>
      <c r="L98" s="13" t="s">
        <v>1106</v>
      </c>
      <c r="M98" s="13" t="s">
        <v>198</v>
      </c>
      <c r="N98" s="13"/>
      <c r="O98" s="45" t="n">
        <f aca="false">IF(AND(ISNUMBER(F98),ISNUMBER(G98),F98&gt;0),G98/F98,"")</f>
        <v>4</v>
      </c>
      <c r="P98" s="46" t="n">
        <f aca="false">IF(AND(ISNUMBER(G98),ISNUMBER(I98),G98&gt;0),I98/(G98*1000),"")</f>
        <v>388.888888888889</v>
      </c>
      <c r="Q98" s="46" t="n">
        <f aca="false">IF(AND(ISNUMBER(F98),ISNUMBER(I98),F98&gt;0),I98/(F98*1000),"")</f>
        <v>1555.55555555556</v>
      </c>
      <c r="R98" s="47" t="s">
        <v>1112</v>
      </c>
      <c r="S98" s="47" t="s">
        <v>1113</v>
      </c>
      <c r="T98" s="46" t="str">
        <f aca="false">IF(AND(N98="",ISNUMBER(G98),G98&lt;=100,ISNUMBER(P98),OR(LEFT(C98,3)="IOU",C98="muni/coop",LEFT(C98,5)="other")),P98,"")</f>
        <v/>
      </c>
    </row>
    <row r="99" customFormat="false" ht="42" hidden="false" customHeight="true" outlineLevel="0" collapsed="false">
      <c r="A99" s="13" t="s">
        <v>1114</v>
      </c>
      <c r="B99" s="13" t="s">
        <v>1115</v>
      </c>
      <c r="C99" s="13" t="s">
        <v>458</v>
      </c>
      <c r="D99" s="13" t="s">
        <v>1116</v>
      </c>
      <c r="E99" s="13" t="s">
        <v>1117</v>
      </c>
      <c r="F99" s="32" t="n">
        <v>302</v>
      </c>
      <c r="G99" s="32" t="n">
        <v>1208</v>
      </c>
      <c r="H99" s="32" t="n">
        <v>2027</v>
      </c>
      <c r="I99" s="27" t="n">
        <v>394000000</v>
      </c>
      <c r="J99" s="13" t="s">
        <v>1118</v>
      </c>
      <c r="K99" s="13" t="s">
        <v>1119</v>
      </c>
      <c r="L99" s="13" t="s">
        <v>844</v>
      </c>
      <c r="M99" s="13" t="s">
        <v>218</v>
      </c>
      <c r="N99" s="13"/>
      <c r="O99" s="45" t="n">
        <f aca="false">IF(AND(ISNUMBER(F99),ISNUMBER(G99),F99&gt;0),G99/F99,"")</f>
        <v>4</v>
      </c>
      <c r="P99" s="46" t="n">
        <f aca="false">IF(AND(ISNUMBER(G99),ISNUMBER(I99),G99&gt;0),I99/(G99*1000),"")</f>
        <v>326.158940397351</v>
      </c>
      <c r="Q99" s="46" t="n">
        <f aca="false">IF(AND(ISNUMBER(F99),ISNUMBER(I99),F99&gt;0),I99/(F99*1000),"")</f>
        <v>1304.6357615894</v>
      </c>
      <c r="R99" s="47" t="s">
        <v>1120</v>
      </c>
      <c r="S99" s="47" t="s">
        <v>1098</v>
      </c>
      <c r="T99" s="46" t="str">
        <f aca="false">IF(AND(N99="",ISNUMBER(G99),G99&lt;=100,ISNUMBER(P99),OR(LEFT(C99,3)="IOU",C99="muni/coop",LEFT(C99,5)="other")),P99,"")</f>
        <v/>
      </c>
    </row>
    <row r="100" customFormat="false" ht="42" hidden="false" customHeight="true" outlineLevel="0" collapsed="false">
      <c r="A100" s="13" t="s">
        <v>1121</v>
      </c>
      <c r="B100" s="13" t="s">
        <v>1122</v>
      </c>
      <c r="C100" s="13" t="s">
        <v>458</v>
      </c>
      <c r="D100" s="13" t="s">
        <v>1123</v>
      </c>
      <c r="E100" s="13" t="s">
        <v>601</v>
      </c>
      <c r="F100" s="32" t="n">
        <v>99</v>
      </c>
      <c r="G100" s="32" t="n">
        <v>396</v>
      </c>
      <c r="H100" s="32" t="n">
        <v>2025</v>
      </c>
      <c r="I100" s="27" t="n">
        <v>200000000</v>
      </c>
      <c r="J100" s="13" t="s">
        <v>1124</v>
      </c>
      <c r="K100" s="13" t="s">
        <v>1125</v>
      </c>
      <c r="L100" s="13" t="s">
        <v>1106</v>
      </c>
      <c r="M100" s="13" t="s">
        <v>218</v>
      </c>
      <c r="N100" s="13"/>
      <c r="O100" s="45" t="n">
        <f aca="false">IF(AND(ISNUMBER(F100),ISNUMBER(G100),F100&gt;0),G100/F100,"")</f>
        <v>4</v>
      </c>
      <c r="P100" s="46" t="n">
        <f aca="false">IF(AND(ISNUMBER(G100),ISNUMBER(I100),G100&gt;0),I100/(G100*1000),"")</f>
        <v>505.050505050505</v>
      </c>
      <c r="Q100" s="46" t="n">
        <f aca="false">IF(AND(ISNUMBER(F100),ISNUMBER(I100),F100&gt;0),I100/(F100*1000),"")</f>
        <v>2020.20202020202</v>
      </c>
      <c r="R100" s="47" t="s">
        <v>1126</v>
      </c>
      <c r="S100" s="47" t="s">
        <v>1127</v>
      </c>
      <c r="T100" s="46" t="str">
        <f aca="false">IF(AND(N100="",ISNUMBER(G100),G100&lt;=100,ISNUMBER(P100),OR(LEFT(C100,3)="IOU",C100="muni/coop",LEFT(C100,5)="other")),P100,"")</f>
        <v/>
      </c>
    </row>
    <row r="101" customFormat="false" ht="42" hidden="false" customHeight="true" outlineLevel="0" collapsed="false">
      <c r="A101" s="13" t="s">
        <v>1128</v>
      </c>
      <c r="B101" s="13" t="s">
        <v>1129</v>
      </c>
      <c r="C101" s="13" t="s">
        <v>458</v>
      </c>
      <c r="D101" s="13" t="s">
        <v>526</v>
      </c>
      <c r="E101" s="13" t="s">
        <v>778</v>
      </c>
      <c r="F101" s="32" t="n">
        <v>400</v>
      </c>
      <c r="G101" s="32" t="n">
        <v>1600</v>
      </c>
      <c r="H101" s="32" t="n">
        <v>2026</v>
      </c>
      <c r="I101" s="27" t="n">
        <v>731000000</v>
      </c>
      <c r="J101" s="13" t="s">
        <v>1130</v>
      </c>
      <c r="K101" s="13" t="s">
        <v>1131</v>
      </c>
      <c r="L101" s="13" t="s">
        <v>1132</v>
      </c>
      <c r="M101" s="13" t="s">
        <v>218</v>
      </c>
      <c r="N101" s="13"/>
      <c r="O101" s="45" t="n">
        <f aca="false">IF(AND(ISNUMBER(F101),ISNUMBER(G101),F101&gt;0),G101/F101,"")</f>
        <v>4</v>
      </c>
      <c r="P101" s="46" t="n">
        <f aca="false">IF(AND(ISNUMBER(G101),ISNUMBER(I101),G101&gt;0),I101/(G101*1000),"")</f>
        <v>456.875</v>
      </c>
      <c r="Q101" s="46" t="n">
        <f aca="false">IF(AND(ISNUMBER(F101),ISNUMBER(I101),F101&gt;0),I101/(F101*1000),"")</f>
        <v>1827.5</v>
      </c>
      <c r="R101" s="47" t="s">
        <v>1133</v>
      </c>
      <c r="S101" s="47" t="s">
        <v>1098</v>
      </c>
      <c r="T101" s="46" t="str">
        <f aca="false">IF(AND(N101="",ISNUMBER(G101),G101&lt;=100,ISNUMBER(P101),OR(LEFT(C101,3)="IOU",C101="muni/coop",LEFT(C101,5)="other")),P101,"")</f>
        <v/>
      </c>
    </row>
    <row r="102" customFormat="false" ht="42" hidden="false" customHeight="true" outlineLevel="0" collapsed="false">
      <c r="A102" s="13" t="s">
        <v>1134</v>
      </c>
      <c r="B102" s="13" t="s">
        <v>567</v>
      </c>
      <c r="C102" s="13" t="s">
        <v>458</v>
      </c>
      <c r="D102" s="13" t="s">
        <v>568</v>
      </c>
      <c r="E102" s="13" t="s">
        <v>1135</v>
      </c>
      <c r="F102" s="32" t="n">
        <v>9</v>
      </c>
      <c r="G102" s="32" t="n">
        <v>9</v>
      </c>
      <c r="H102" s="32" t="n">
        <v>2020</v>
      </c>
      <c r="I102" s="27" t="n">
        <v>15000000</v>
      </c>
      <c r="J102" s="13" t="s">
        <v>1136</v>
      </c>
      <c r="K102" s="13" t="s">
        <v>1137</v>
      </c>
      <c r="L102" s="13" t="s">
        <v>1025</v>
      </c>
      <c r="M102" s="13" t="s">
        <v>218</v>
      </c>
      <c r="N102" s="13"/>
      <c r="O102" s="45" t="n">
        <f aca="false">IF(AND(ISNUMBER(F102),ISNUMBER(G102),F102&gt;0),G102/F102,"")</f>
        <v>1</v>
      </c>
      <c r="P102" s="46" t="n">
        <f aca="false">IF(AND(ISNUMBER(G102),ISNUMBER(I102),G102&gt;0),I102/(G102*1000),"")</f>
        <v>1666.66666666667</v>
      </c>
      <c r="Q102" s="46" t="n">
        <f aca="false">IF(AND(ISNUMBER(F102),ISNUMBER(I102),F102&gt;0),I102/(F102*1000),"")</f>
        <v>1666.66666666667</v>
      </c>
      <c r="R102" s="47" t="s">
        <v>1138</v>
      </c>
      <c r="S102" s="47" t="s">
        <v>1139</v>
      </c>
      <c r="T102" s="46" t="n">
        <f aca="false">IF(AND(N102="",ISNUMBER(G102),G102&lt;=100,ISNUMBER(P102),OR(LEFT(C102,3)="IOU",C102="muni/coop",LEFT(C102,5)="other")),P102,"")</f>
        <v>1666.66666666667</v>
      </c>
    </row>
    <row r="103" customFormat="false" ht="42" hidden="false" customHeight="true" outlineLevel="0" collapsed="false">
      <c r="A103" s="13" t="s">
        <v>1140</v>
      </c>
      <c r="B103" s="13" t="s">
        <v>1141</v>
      </c>
      <c r="C103" s="13" t="s">
        <v>458</v>
      </c>
      <c r="D103" s="13" t="s">
        <v>1142</v>
      </c>
      <c r="E103" s="13" t="s">
        <v>1143</v>
      </c>
      <c r="F103" s="32" t="n">
        <v>10</v>
      </c>
      <c r="G103" s="32" t="n">
        <v>40</v>
      </c>
      <c r="H103" s="32" t="n">
        <v>2018</v>
      </c>
      <c r="I103" s="27" t="n">
        <v>15000000</v>
      </c>
      <c r="J103" s="13" t="s">
        <v>1144</v>
      </c>
      <c r="K103" s="13" t="s">
        <v>1145</v>
      </c>
      <c r="L103" s="13" t="s">
        <v>1146</v>
      </c>
      <c r="M103" s="13" t="s">
        <v>218</v>
      </c>
      <c r="N103" s="13"/>
      <c r="O103" s="45" t="n">
        <f aca="false">IF(AND(ISNUMBER(F103),ISNUMBER(G103),F103&gt;0),G103/F103,"")</f>
        <v>4</v>
      </c>
      <c r="P103" s="46" t="n">
        <f aca="false">IF(AND(ISNUMBER(G103),ISNUMBER(I103),G103&gt;0),I103/(G103*1000),"")</f>
        <v>375</v>
      </c>
      <c r="Q103" s="46" t="n">
        <f aca="false">IF(AND(ISNUMBER(F103),ISNUMBER(I103),F103&gt;0),I103/(F103*1000),"")</f>
        <v>1500</v>
      </c>
      <c r="R103" s="47" t="s">
        <v>1147</v>
      </c>
      <c r="S103" s="47" t="s">
        <v>1148</v>
      </c>
      <c r="T103" s="46" t="n">
        <f aca="false">IF(AND(N103="",ISNUMBER(G103),G103&lt;=100,ISNUMBER(P103),OR(LEFT(C103,3)="IOU",C103="muni/coop",LEFT(C103,5)="other")),P103,"")</f>
        <v>375</v>
      </c>
    </row>
    <row r="104" customFormat="false" ht="42" hidden="false" customHeight="true" outlineLevel="0" collapsed="false">
      <c r="A104" s="13" t="s">
        <v>1149</v>
      </c>
      <c r="B104" s="13" t="s">
        <v>544</v>
      </c>
      <c r="C104" s="13" t="s">
        <v>458</v>
      </c>
      <c r="D104" s="13" t="s">
        <v>545</v>
      </c>
      <c r="E104" s="13" t="s">
        <v>460</v>
      </c>
      <c r="F104" s="32" t="n">
        <v>1</v>
      </c>
      <c r="G104" s="32" t="n">
        <v>4</v>
      </c>
      <c r="H104" s="32" t="n">
        <v>2018</v>
      </c>
      <c r="I104" s="27" t="n">
        <v>3000000</v>
      </c>
      <c r="J104" s="13" t="s">
        <v>1150</v>
      </c>
      <c r="K104" s="13" t="s">
        <v>1151</v>
      </c>
      <c r="L104" s="13" t="s">
        <v>1132</v>
      </c>
      <c r="M104" s="13" t="s">
        <v>218</v>
      </c>
      <c r="N104" s="13"/>
      <c r="O104" s="45" t="n">
        <f aca="false">IF(AND(ISNUMBER(F104),ISNUMBER(G104),F104&gt;0),G104/F104,"")</f>
        <v>4</v>
      </c>
      <c r="P104" s="46" t="n">
        <f aca="false">IF(AND(ISNUMBER(G104),ISNUMBER(I104),G104&gt;0),I104/(G104*1000),"")</f>
        <v>750</v>
      </c>
      <c r="Q104" s="46" t="n">
        <f aca="false">IF(AND(ISNUMBER(F104),ISNUMBER(I104),F104&gt;0),I104/(F104*1000),"")</f>
        <v>3000</v>
      </c>
      <c r="R104" s="47" t="s">
        <v>1152</v>
      </c>
      <c r="S104" s="47" t="s">
        <v>1148</v>
      </c>
      <c r="T104" s="46" t="n">
        <f aca="false">IF(AND(N104="",ISNUMBER(G104),G104&lt;=100,ISNUMBER(P104),OR(LEFT(C104,3)="IOU",C104="muni/coop",LEFT(C104,5)="other")),P104,"")</f>
        <v>750</v>
      </c>
    </row>
    <row r="105" customFormat="false" ht="42" hidden="false" customHeight="true" outlineLevel="0" collapsed="false">
      <c r="A105" s="13" t="s">
        <v>1153</v>
      </c>
      <c r="B105" s="13" t="s">
        <v>1154</v>
      </c>
      <c r="C105" s="13" t="s">
        <v>483</v>
      </c>
      <c r="D105" s="13" t="s">
        <v>1155</v>
      </c>
      <c r="E105" s="13" t="s">
        <v>569</v>
      </c>
      <c r="F105" s="32" t="n">
        <v>75</v>
      </c>
      <c r="G105" s="32" t="n">
        <v>300</v>
      </c>
      <c r="H105" s="32" t="n">
        <v>2030</v>
      </c>
      <c r="I105" s="27" t="n">
        <v>240000000</v>
      </c>
      <c r="J105" s="13" t="s">
        <v>1156</v>
      </c>
      <c r="K105" s="13" t="s">
        <v>1157</v>
      </c>
      <c r="L105" s="13" t="s">
        <v>1065</v>
      </c>
      <c r="M105" s="13" t="s">
        <v>218</v>
      </c>
      <c r="N105" s="13"/>
      <c r="O105" s="45" t="n">
        <f aca="false">IF(AND(ISNUMBER(F105),ISNUMBER(G105),F105&gt;0),G105/F105,"")</f>
        <v>4</v>
      </c>
      <c r="P105" s="46" t="n">
        <f aca="false">IF(AND(ISNUMBER(G105),ISNUMBER(I105),G105&gt;0),I105/(G105*1000),"")</f>
        <v>800</v>
      </c>
      <c r="Q105" s="46" t="n">
        <f aca="false">IF(AND(ISNUMBER(F105),ISNUMBER(I105),F105&gt;0),I105/(F105*1000),"")</f>
        <v>3200</v>
      </c>
      <c r="R105" s="47" t="s">
        <v>1158</v>
      </c>
      <c r="S105" s="47" t="s">
        <v>1159</v>
      </c>
      <c r="T105" s="46" t="str">
        <f aca="false">IF(AND(N105="",ISNUMBER(G105),G105&lt;=100,ISNUMBER(P105),OR(LEFT(C105,3)="IOU",C105="muni/coop",LEFT(C105,5)="other")),P105,"")</f>
        <v/>
      </c>
    </row>
    <row r="106" customFormat="false" ht="42" hidden="false" customHeight="true" outlineLevel="0" collapsed="false">
      <c r="A106" s="13" t="s">
        <v>1160</v>
      </c>
      <c r="B106" s="13" t="s">
        <v>962</v>
      </c>
      <c r="C106" s="13" t="s">
        <v>483</v>
      </c>
      <c r="D106" s="13" t="s">
        <v>593</v>
      </c>
      <c r="E106" s="13" t="s">
        <v>594</v>
      </c>
      <c r="F106" s="32" t="n">
        <v>45</v>
      </c>
      <c r="G106" s="32" t="n">
        <v>180</v>
      </c>
      <c r="H106" s="32" t="n">
        <v>2027</v>
      </c>
      <c r="I106" s="27" t="n">
        <v>112000000</v>
      </c>
      <c r="J106" s="13" t="s">
        <v>1161</v>
      </c>
      <c r="K106" s="13" t="s">
        <v>1162</v>
      </c>
      <c r="L106" s="13" t="s">
        <v>844</v>
      </c>
      <c r="M106" s="13" t="s">
        <v>218</v>
      </c>
      <c r="N106" s="13"/>
      <c r="O106" s="45" t="n">
        <f aca="false">IF(AND(ISNUMBER(F106),ISNUMBER(G106),F106&gt;0),G106/F106,"")</f>
        <v>4</v>
      </c>
      <c r="P106" s="46" t="n">
        <f aca="false">IF(AND(ISNUMBER(G106),ISNUMBER(I106),G106&gt;0),I106/(G106*1000),"")</f>
        <v>622.222222222222</v>
      </c>
      <c r="Q106" s="46" t="n">
        <f aca="false">IF(AND(ISNUMBER(F106),ISNUMBER(I106),F106&gt;0),I106/(F106*1000),"")</f>
        <v>2488.88888888889</v>
      </c>
      <c r="R106" s="47" t="s">
        <v>1163</v>
      </c>
      <c r="S106" s="47" t="s">
        <v>1164</v>
      </c>
      <c r="T106" s="46" t="str">
        <f aca="false">IF(AND(N106="",ISNUMBER(G106),G106&lt;=100,ISNUMBER(P106),OR(LEFT(C106,3)="IOU",C106="muni/coop",LEFT(C106,5)="other")),P106,"")</f>
        <v/>
      </c>
    </row>
    <row r="108" customFormat="false" ht="15" hidden="false" customHeight="false" outlineLevel="0" collapsed="false">
      <c r="A108" s="7" t="s">
        <v>1165</v>
      </c>
      <c r="P108" s="48" t="n">
        <f aca="false">MEDIAN(T4:T106)</f>
        <v>992.957746478873</v>
      </c>
      <c r="Q108" s="49" t="n">
        <f aca="false">COUNT(T4:T106)</f>
        <v>32</v>
      </c>
    </row>
    <row r="109" customFormat="false" ht="15" hidden="false" customHeight="false" outlineLevel="0" collapsed="false">
      <c r="A109" s="50" t="s">
        <v>1166</v>
      </c>
    </row>
  </sheetData>
  <autoFilter ref="A3:S106"/>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7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46"/>
    <col collapsed="false" customWidth="true" hidden="false" outlineLevel="0" max="3" min="2" style="0" width="12"/>
    <col collapsed="false" customWidth="true" hidden="false" outlineLevel="0" max="8" min="4" style="0" width="11"/>
    <col collapsed="false" customWidth="true" hidden="false" outlineLevel="0" max="11" min="9" style="0" width="10"/>
    <col collapsed="false" customWidth="true" hidden="false" outlineLevel="0" max="12" min="12" style="0" width="14"/>
    <col collapsed="false" customWidth="true" hidden="false" outlineLevel="0" max="15" min="13" style="0" width="12"/>
    <col collapsed="false" customWidth="true" hidden="false" outlineLevel="0" max="16" min="16" style="0" width="14"/>
  </cols>
  <sheetData>
    <row r="1" customFormat="false" ht="17.35" hidden="false" customHeight="false" outlineLevel="0" collapsed="false">
      <c r="A1" s="51" t="s">
        <v>1167</v>
      </c>
    </row>
    <row r="2" customFormat="false" ht="15" hidden="false" customHeight="false" outlineLevel="0" collapsed="false">
      <c r="A2" s="52" t="s">
        <v>1168</v>
      </c>
    </row>
    <row r="4" customFormat="false" ht="15" hidden="false" customHeight="false" outlineLevel="0" collapsed="false">
      <c r="A4" s="1" t="s">
        <v>1169</v>
      </c>
      <c r="B4" s="53" t="n">
        <v>0.4</v>
      </c>
    </row>
    <row r="5" customFormat="false" ht="15" hidden="false" customHeight="false" outlineLevel="0" collapsed="false">
      <c r="A5" s="1" t="s">
        <v>1170</v>
      </c>
      <c r="B5" s="53" t="n">
        <v>0.55</v>
      </c>
    </row>
    <row r="6" customFormat="false" ht="15" hidden="false" customHeight="false" outlineLevel="0" collapsed="false">
      <c r="A6" s="1" t="s">
        <v>1171</v>
      </c>
      <c r="B6" s="54" t="n">
        <v>1</v>
      </c>
    </row>
    <row r="7" customFormat="false" ht="15" hidden="false" customHeight="false" outlineLevel="0" collapsed="false">
      <c r="A7" s="1" t="s">
        <v>1172</v>
      </c>
      <c r="B7" s="54" t="n">
        <v>2024</v>
      </c>
    </row>
    <row r="9" customFormat="false" ht="15" hidden="false" customHeight="false" outlineLevel="0" collapsed="false">
      <c r="A9" s="55" t="s">
        <v>1173</v>
      </c>
    </row>
    <row r="10" customFormat="false" ht="46.25" hidden="false" customHeight="false" outlineLevel="0" collapsed="false">
      <c r="A10" s="35" t="s">
        <v>204</v>
      </c>
      <c r="B10" s="35" t="s">
        <v>1174</v>
      </c>
      <c r="C10" s="35" t="s">
        <v>1175</v>
      </c>
      <c r="D10" s="35" t="s">
        <v>1176</v>
      </c>
      <c r="E10" s="35" t="s">
        <v>1177</v>
      </c>
      <c r="F10" s="35" t="s">
        <v>1178</v>
      </c>
      <c r="G10" s="35" t="s">
        <v>1179</v>
      </c>
      <c r="H10" s="35" t="s">
        <v>387</v>
      </c>
    </row>
    <row r="11" customFormat="false" ht="15" hidden="false" customHeight="false" outlineLevel="0" collapsed="false">
      <c r="A11" s="56" t="n">
        <v>2015</v>
      </c>
      <c r="B11" s="54" t="n">
        <v>2102.5</v>
      </c>
      <c r="C11" s="54" t="n">
        <v>350</v>
      </c>
      <c r="D11" s="56" t="n">
        <v>244</v>
      </c>
      <c r="E11" s="56" t="n">
        <v>238</v>
      </c>
      <c r="F11" s="56" t="n">
        <v>482</v>
      </c>
      <c r="G11" s="54" t="n">
        <v>700</v>
      </c>
      <c r="H11" s="52" t="s">
        <v>1180</v>
      </c>
    </row>
    <row r="12" customFormat="false" ht="15" hidden="false" customHeight="false" outlineLevel="0" collapsed="false">
      <c r="A12" s="56" t="n">
        <v>2016</v>
      </c>
      <c r="B12" s="54" t="n">
        <v>1269.9</v>
      </c>
      <c r="C12" s="54" t="n">
        <v>273</v>
      </c>
      <c r="D12" s="56" t="n">
        <v>244</v>
      </c>
      <c r="E12" s="56" t="n">
        <v>238</v>
      </c>
      <c r="F12" s="56" t="n">
        <v>482</v>
      </c>
      <c r="G12" s="54" t="n">
        <v>714</v>
      </c>
      <c r="H12" s="52" t="s">
        <v>1180</v>
      </c>
    </row>
    <row r="13" customFormat="false" ht="15" hidden="false" customHeight="false" outlineLevel="0" collapsed="false">
      <c r="A13" s="56" t="n">
        <v>2017</v>
      </c>
      <c r="B13" s="54" t="n">
        <v>833.9</v>
      </c>
      <c r="C13" s="54" t="n">
        <v>209</v>
      </c>
      <c r="D13" s="56" t="n">
        <v>244</v>
      </c>
      <c r="E13" s="56" t="n">
        <v>238</v>
      </c>
      <c r="F13" s="56" t="n">
        <v>482</v>
      </c>
      <c r="G13" s="54" t="n">
        <v>711</v>
      </c>
      <c r="H13" s="52" t="s">
        <v>1180</v>
      </c>
    </row>
    <row r="14" customFormat="false" ht="15" hidden="false" customHeight="false" outlineLevel="0" collapsed="false">
      <c r="A14" s="56" t="n">
        <v>2018</v>
      </c>
      <c r="B14" s="54" t="n">
        <v>625.2</v>
      </c>
      <c r="C14" s="54" t="n">
        <v>176</v>
      </c>
      <c r="D14" s="56" t="n">
        <v>244</v>
      </c>
      <c r="E14" s="56" t="n">
        <v>238</v>
      </c>
      <c r="F14" s="56" t="n">
        <v>482</v>
      </c>
      <c r="G14" s="54" t="n">
        <v>745</v>
      </c>
      <c r="H14" s="52" t="s">
        <v>1180</v>
      </c>
    </row>
    <row r="15" customFormat="false" ht="15" hidden="false" customHeight="false" outlineLevel="0" collapsed="false">
      <c r="A15" s="56" t="n">
        <v>2019</v>
      </c>
      <c r="B15" s="54" t="n">
        <v>589</v>
      </c>
      <c r="C15" s="54" t="n">
        <v>156</v>
      </c>
      <c r="D15" s="54" t="n">
        <v>244</v>
      </c>
      <c r="E15" s="56" t="n">
        <v>238</v>
      </c>
      <c r="F15" s="56" t="n">
        <v>482</v>
      </c>
      <c r="G15" s="54" t="n">
        <v>760</v>
      </c>
      <c r="H15" s="52" t="s">
        <v>1180</v>
      </c>
    </row>
    <row r="16" customFormat="false" ht="15" hidden="false" customHeight="false" outlineLevel="0" collapsed="false">
      <c r="A16" s="56" t="n">
        <v>2020</v>
      </c>
      <c r="B16" s="54" t="n">
        <v>645.1</v>
      </c>
      <c r="C16" s="54" t="n">
        <v>137</v>
      </c>
      <c r="D16" s="54" t="n">
        <v>191</v>
      </c>
      <c r="E16" s="56" t="n">
        <v>238</v>
      </c>
      <c r="F16" s="56" t="n">
        <v>482</v>
      </c>
      <c r="G16" s="54" t="n">
        <v>779</v>
      </c>
      <c r="H16" s="52" t="s">
        <v>1180</v>
      </c>
    </row>
    <row r="17" customFormat="false" ht="15" hidden="false" customHeight="false" outlineLevel="0" collapsed="false">
      <c r="A17" s="56" t="n">
        <v>2021</v>
      </c>
      <c r="B17" s="54" t="n">
        <v>671.3</v>
      </c>
      <c r="C17" s="54" t="n">
        <v>132</v>
      </c>
      <c r="D17" s="54" t="n">
        <v>181.5</v>
      </c>
      <c r="E17" s="54" t="n">
        <v>238</v>
      </c>
      <c r="F17" s="56" t="n">
        <v>482</v>
      </c>
      <c r="G17" s="54" t="n">
        <v>861</v>
      </c>
      <c r="H17" s="52" t="s">
        <v>1180</v>
      </c>
    </row>
    <row r="18" customFormat="false" ht="15" hidden="false" customHeight="false" outlineLevel="0" collapsed="false">
      <c r="A18" s="56" t="n">
        <v>2022</v>
      </c>
      <c r="B18" s="54" t="n">
        <v>395.8</v>
      </c>
      <c r="C18" s="54" t="n">
        <v>151</v>
      </c>
      <c r="D18" s="56" t="n">
        <v>198.7</v>
      </c>
      <c r="E18" s="54" t="n">
        <v>324</v>
      </c>
      <c r="F18" s="54" t="n">
        <v>482</v>
      </c>
      <c r="G18" s="54" t="n">
        <v>953</v>
      </c>
      <c r="H18" s="52" t="s">
        <v>1180</v>
      </c>
    </row>
    <row r="19" customFormat="false" ht="15" hidden="false" customHeight="false" outlineLevel="0" collapsed="false">
      <c r="A19" s="56" t="n">
        <v>2023</v>
      </c>
      <c r="B19" s="56" t="n">
        <v>426.9</v>
      </c>
      <c r="C19" s="54" t="n">
        <v>139</v>
      </c>
      <c r="D19" s="56" t="n">
        <v>215.8</v>
      </c>
      <c r="E19" s="54" t="n">
        <v>263</v>
      </c>
      <c r="F19" s="56" t="n">
        <v>408</v>
      </c>
      <c r="G19" s="54" t="n">
        <v>1015</v>
      </c>
      <c r="H19" s="52" t="s">
        <v>1180</v>
      </c>
    </row>
    <row r="20" customFormat="false" ht="15" hidden="false" customHeight="false" outlineLevel="0" collapsed="false">
      <c r="A20" s="56" t="n">
        <v>2024</v>
      </c>
      <c r="B20" s="54" t="n">
        <v>458</v>
      </c>
      <c r="C20" s="54" t="n">
        <v>115</v>
      </c>
      <c r="D20" s="54" t="n">
        <v>233</v>
      </c>
      <c r="E20" s="54" t="n">
        <v>165</v>
      </c>
      <c r="F20" s="54" t="n">
        <v>334</v>
      </c>
      <c r="G20" s="54" t="n">
        <v>1056</v>
      </c>
      <c r="H20" s="52" t="s">
        <v>1180</v>
      </c>
    </row>
    <row r="21" customFormat="false" ht="15" hidden="false" customHeight="false" outlineLevel="0" collapsed="false">
      <c r="A21" s="56" t="n">
        <v>2025</v>
      </c>
      <c r="B21" s="56" t="n">
        <v>458</v>
      </c>
      <c r="C21" s="54" t="n">
        <v>108</v>
      </c>
      <c r="D21" s="54" t="n">
        <v>184.5</v>
      </c>
      <c r="E21" s="54" t="n">
        <v>117</v>
      </c>
      <c r="F21" s="56" t="n">
        <v>334</v>
      </c>
      <c r="G21" s="54" t="n">
        <v>1066</v>
      </c>
      <c r="H21" s="52" t="s">
        <v>1180</v>
      </c>
    </row>
    <row r="22" customFormat="false" ht="15" hidden="false" customHeight="false" outlineLevel="0" collapsed="false">
      <c r="A22" s="56" t="n">
        <v>2026</v>
      </c>
      <c r="B22" s="56" t="n">
        <v>458</v>
      </c>
      <c r="C22" s="56" t="n">
        <v>108</v>
      </c>
      <c r="D22" s="54" t="n">
        <v>251</v>
      </c>
      <c r="E22" s="56" t="n">
        <v>117</v>
      </c>
      <c r="F22" s="56" t="n">
        <v>334</v>
      </c>
      <c r="G22" s="54" t="n">
        <v>1112</v>
      </c>
      <c r="H22" s="52" t="s">
        <v>1180</v>
      </c>
    </row>
    <row r="23" customFormat="false" ht="15" hidden="false" customHeight="false" outlineLevel="0" collapsed="false">
      <c r="A23" s="52" t="s">
        <v>1181</v>
      </c>
    </row>
    <row r="25" customFormat="false" ht="15" hidden="false" customHeight="false" outlineLevel="0" collapsed="false">
      <c r="A25" s="55" t="s">
        <v>1182</v>
      </c>
    </row>
    <row r="26" customFormat="false" ht="35.05" hidden="false" customHeight="false" outlineLevel="0" collapsed="false">
      <c r="A26" s="35" t="s">
        <v>440</v>
      </c>
      <c r="B26" s="35" t="s">
        <v>447</v>
      </c>
      <c r="C26" s="35" t="s">
        <v>1183</v>
      </c>
      <c r="D26" s="35" t="s">
        <v>441</v>
      </c>
      <c r="E26" s="35" t="s">
        <v>1184</v>
      </c>
      <c r="F26" s="35" t="s">
        <v>1185</v>
      </c>
      <c r="G26" s="35" t="s">
        <v>1186</v>
      </c>
      <c r="H26" s="35" t="s">
        <v>1187</v>
      </c>
      <c r="I26" s="35" t="s">
        <v>1188</v>
      </c>
      <c r="J26" s="35" t="s">
        <v>1189</v>
      </c>
      <c r="K26" s="35" t="s">
        <v>1190</v>
      </c>
      <c r="L26" s="35" t="s">
        <v>1191</v>
      </c>
      <c r="M26" s="35" t="s">
        <v>1192</v>
      </c>
      <c r="N26" s="35" t="s">
        <v>1193</v>
      </c>
      <c r="O26" s="35" t="s">
        <v>1194</v>
      </c>
      <c r="P26" s="35" t="s">
        <v>1195</v>
      </c>
    </row>
    <row r="27" customFormat="false" ht="15" hidden="false" customHeight="false" outlineLevel="0" collapsed="false">
      <c r="A27" s="56" t="s">
        <v>1140</v>
      </c>
      <c r="B27" s="54" t="n">
        <v>2018</v>
      </c>
      <c r="C27" s="57" t="n">
        <v>375</v>
      </c>
      <c r="D27" s="56" t="s">
        <v>1196</v>
      </c>
      <c r="E27" s="58" t="n">
        <f aca="false">IF(D27="utility",$B$4,$B$5)</f>
        <v>0.4</v>
      </c>
      <c r="F27" s="1" t="n">
        <f aca="false">INDEX(CHOOSE($B$6,$B$11:$B$22,$C$11:$C$22,$D$11:$D$22,$E$11:$E$22,$F$11:$F$22),MATCH(MIN(B27,2026),$A$11:$A$22,0))</f>
        <v>625.2</v>
      </c>
      <c r="G27" s="1" t="n">
        <f aca="false">INDEX(CHOOSE($B$6,$B$11:$B$22,$C$11:$C$22,$D$11:$D$22,$E$11:$E$22,$F$11:$F$22),MATCH($B$7,$A$11:$A$22,0))</f>
        <v>458</v>
      </c>
      <c r="H27" s="1" t="n">
        <f aca="false">INDEX(CHOOSE($B$6,$B$11:$B$22,$C$11:$C$22,$D$11:$D$22,$E$11:$E$22,$F$11:$F$22),MATCH(2026,$A$11:$A$22,0))</f>
        <v>458</v>
      </c>
      <c r="I27" s="1" t="n">
        <f aca="false">INDEX($G$11:$G$22,MATCH(MIN(B27,2026),$A$11:$A$22,0))</f>
        <v>745</v>
      </c>
      <c r="J27" s="1" t="n">
        <f aca="false">INDEX($G$11:$G$22,MATCH($B$7,$A$11:$A$22,0))</f>
        <v>1056</v>
      </c>
      <c r="K27" s="1" t="n">
        <f aca="false">INDEX($G$11:$G$22,MATCH(2026,$A$11:$A$22,0))</f>
        <v>1112</v>
      </c>
      <c r="L27" s="59" t="n">
        <f aca="false">(E27*H27/G27+(1-E27)*K27/J27)/(E27*F27/G27+(1-E27)*I27/J27)</f>
        <v>1.06447449724247</v>
      </c>
      <c r="M27" s="60" t="n">
        <f aca="false">C27*L27</f>
        <v>399.177936465925</v>
      </c>
      <c r="N27" s="58" t="n">
        <f aca="false">E27*F27/G27/(E27*F27/G27+(1-E27)*I27/J27)</f>
        <v>0.563307543807468</v>
      </c>
      <c r="O27" s="59" t="n">
        <f aca="false">0.4*H27/F27+0.6*K27/I27</f>
        <v>1.18859670140454</v>
      </c>
      <c r="P27" s="60" t="n">
        <f aca="false">C27*H27/F27</f>
        <v>274.712092130518</v>
      </c>
    </row>
    <row r="28" customFormat="false" ht="15" hidden="false" customHeight="false" outlineLevel="0" collapsed="false">
      <c r="A28" s="56" t="s">
        <v>1034</v>
      </c>
      <c r="B28" s="54" t="n">
        <v>2023</v>
      </c>
      <c r="C28" s="57" t="n">
        <v>402</v>
      </c>
      <c r="D28" s="56" t="s">
        <v>793</v>
      </c>
      <c r="E28" s="58" t="n">
        <f aca="false">IF(D28="utility",$B$4,$B$5)</f>
        <v>0.55</v>
      </c>
      <c r="F28" s="1" t="n">
        <f aca="false">INDEX(CHOOSE($B$6,$B$11:$B$22,$C$11:$C$22,$D$11:$D$22,$E$11:$E$22,$F$11:$F$22),MATCH(MIN(B28,2026),$A$11:$A$22,0))</f>
        <v>426.9</v>
      </c>
      <c r="G28" s="1" t="n">
        <f aca="false">INDEX(CHOOSE($B$6,$B$11:$B$22,$C$11:$C$22,$D$11:$D$22,$E$11:$E$22,$F$11:$F$22),MATCH($B$7,$A$11:$A$22,0))</f>
        <v>458</v>
      </c>
      <c r="H28" s="1" t="n">
        <f aca="false">INDEX(CHOOSE($B$6,$B$11:$B$22,$C$11:$C$22,$D$11:$D$22,$E$11:$E$22,$F$11:$F$22),MATCH(2026,$A$11:$A$22,0))</f>
        <v>458</v>
      </c>
      <c r="I28" s="1" t="n">
        <f aca="false">INDEX($G$11:$G$22,MATCH(MIN(B28,2026),$A$11:$A$22,0))</f>
        <v>1015</v>
      </c>
      <c r="J28" s="1" t="n">
        <f aca="false">INDEX($G$11:$G$22,MATCH($B$7,$A$11:$A$22,0))</f>
        <v>1056</v>
      </c>
      <c r="K28" s="1" t="n">
        <f aca="false">INDEX($G$11:$G$22,MATCH(2026,$A$11:$A$22,0))</f>
        <v>1112</v>
      </c>
      <c r="L28" s="59" t="n">
        <f aca="false">(E28*H28/G28+(1-E28)*K28/J28)/(E28*F28/G28+(1-E28)*I28/J28)</f>
        <v>1.08324582089554</v>
      </c>
      <c r="M28" s="60" t="n">
        <f aca="false">C28*L28</f>
        <v>435.464820000008</v>
      </c>
      <c r="N28" s="58" t="n">
        <f aca="false">E28*F28/G28/(E28*F28/G28+(1-E28)*I28/J28)</f>
        <v>0.542385748525676</v>
      </c>
      <c r="O28" s="59" t="n">
        <f aca="false">0.4*H28/F28+0.6*K28/I28</f>
        <v>1.08648021536867</v>
      </c>
      <c r="P28" s="60" t="n">
        <f aca="false">C28*H28/F28</f>
        <v>431.286015460295</v>
      </c>
    </row>
    <row r="29" customFormat="false" ht="15" hidden="false" customHeight="false" outlineLevel="0" collapsed="false">
      <c r="A29" s="56" t="s">
        <v>961</v>
      </c>
      <c r="B29" s="54" t="n">
        <v>2022</v>
      </c>
      <c r="C29" s="57" t="n">
        <v>430.1</v>
      </c>
      <c r="D29" s="56" t="s">
        <v>1196</v>
      </c>
      <c r="E29" s="58" t="n">
        <f aca="false">IF(D29="utility",$B$4,$B$5)</f>
        <v>0.4</v>
      </c>
      <c r="F29" s="1" t="n">
        <f aca="false">INDEX(CHOOSE($B$6,$B$11:$B$22,$C$11:$C$22,$D$11:$D$22,$E$11:$E$22,$F$11:$F$22),MATCH(MIN(B29,2026),$A$11:$A$22,0))</f>
        <v>395.8</v>
      </c>
      <c r="G29" s="1" t="n">
        <f aca="false">INDEX(CHOOSE($B$6,$B$11:$B$22,$C$11:$C$22,$D$11:$D$22,$E$11:$E$22,$F$11:$F$22),MATCH($B$7,$A$11:$A$22,0))</f>
        <v>458</v>
      </c>
      <c r="H29" s="1" t="n">
        <f aca="false">INDEX(CHOOSE($B$6,$B$11:$B$22,$C$11:$C$22,$D$11:$D$22,$E$11:$E$22,$F$11:$F$22),MATCH(2026,$A$11:$A$22,0))</f>
        <v>458</v>
      </c>
      <c r="I29" s="1" t="n">
        <f aca="false">INDEX($G$11:$G$22,MATCH(MIN(B29,2026),$A$11:$A$22,0))</f>
        <v>953</v>
      </c>
      <c r="J29" s="1" t="n">
        <f aca="false">INDEX($G$11:$G$22,MATCH($B$7,$A$11:$A$22,0))</f>
        <v>1056</v>
      </c>
      <c r="K29" s="1" t="n">
        <f aca="false">INDEX($G$11:$G$22,MATCH(2026,$A$11:$A$22,0))</f>
        <v>1112</v>
      </c>
      <c r="L29" s="59" t="n">
        <f aca="false">(E29*H29/G29+(1-E29)*K29/J29)/(E29*F29/G29+(1-E29)*I29/J29)</f>
        <v>1.1630652989468</v>
      </c>
      <c r="M29" s="60" t="n">
        <f aca="false">C29*L29</f>
        <v>500.23438507702</v>
      </c>
      <c r="N29" s="58" t="n">
        <f aca="false">E29*F29/G29/(E29*F29/G29+(1-E29)*I29/J29)</f>
        <v>0.389646899836838</v>
      </c>
      <c r="O29" s="59" t="n">
        <f aca="false">0.4*H29/F29+0.6*K29/I29</f>
        <v>1.16296496211268</v>
      </c>
      <c r="P29" s="60" t="n">
        <f aca="false">C29*H29/F29</f>
        <v>497.690247599798</v>
      </c>
    </row>
    <row r="30" customFormat="false" ht="15" hidden="false" customHeight="false" outlineLevel="0" collapsed="false">
      <c r="A30" s="56" t="s">
        <v>847</v>
      </c>
      <c r="B30" s="54" t="n">
        <v>2024</v>
      </c>
      <c r="C30" s="57" t="n">
        <v>500</v>
      </c>
      <c r="D30" s="56" t="s">
        <v>1196</v>
      </c>
      <c r="E30" s="58" t="n">
        <f aca="false">IF(D30="utility",$B$4,$B$5)</f>
        <v>0.4</v>
      </c>
      <c r="F30" s="1" t="n">
        <f aca="false">INDEX(CHOOSE($B$6,$B$11:$B$22,$C$11:$C$22,$D$11:$D$22,$E$11:$E$22,$F$11:$F$22),MATCH(MIN(B30,2026),$A$11:$A$22,0))</f>
        <v>458</v>
      </c>
      <c r="G30" s="1" t="n">
        <f aca="false">INDEX(CHOOSE($B$6,$B$11:$B$22,$C$11:$C$22,$D$11:$D$22,$E$11:$E$22,$F$11:$F$22),MATCH($B$7,$A$11:$A$22,0))</f>
        <v>458</v>
      </c>
      <c r="H30" s="1" t="n">
        <f aca="false">INDEX(CHOOSE($B$6,$B$11:$B$22,$C$11:$C$22,$D$11:$D$22,$E$11:$E$22,$F$11:$F$22),MATCH(2026,$A$11:$A$22,0))</f>
        <v>458</v>
      </c>
      <c r="I30" s="1" t="n">
        <f aca="false">INDEX($G$11:$G$22,MATCH(MIN(B30,2026),$A$11:$A$22,0))</f>
        <v>1056</v>
      </c>
      <c r="J30" s="1" t="n">
        <f aca="false">INDEX($G$11:$G$22,MATCH($B$7,$A$11:$A$22,0))</f>
        <v>1056</v>
      </c>
      <c r="K30" s="1" t="n">
        <f aca="false">INDEX($G$11:$G$22,MATCH(2026,$A$11:$A$22,0))</f>
        <v>1112</v>
      </c>
      <c r="L30" s="59" t="n">
        <f aca="false">(E30*H30/G30+(1-E30)*K30/J30)/(E30*F30/G30+(1-E30)*I30/J30)</f>
        <v>1.03181818181818</v>
      </c>
      <c r="M30" s="60" t="n">
        <f aca="false">C30*L30</f>
        <v>515.909090909091</v>
      </c>
      <c r="N30" s="58" t="n">
        <f aca="false">E30*F30/G30/(E30*F30/G30+(1-E30)*I30/J30)</f>
        <v>0.4</v>
      </c>
      <c r="O30" s="59" t="n">
        <f aca="false">0.4*H30/F30+0.6*K30/I30</f>
        <v>1.03181818181818</v>
      </c>
      <c r="P30" s="60" t="n">
        <f aca="false">C30*H30/F30</f>
        <v>500</v>
      </c>
    </row>
    <row r="31" customFormat="false" ht="15" hidden="false" customHeight="false" outlineLevel="0" collapsed="false">
      <c r="A31" s="56" t="s">
        <v>1006</v>
      </c>
      <c r="B31" s="54" t="n">
        <v>2019</v>
      </c>
      <c r="C31" s="57" t="n">
        <v>511.5</v>
      </c>
      <c r="D31" s="56" t="s">
        <v>793</v>
      </c>
      <c r="E31" s="58" t="n">
        <f aca="false">IF(D31="utility",$B$4,$B$5)</f>
        <v>0.55</v>
      </c>
      <c r="F31" s="1" t="n">
        <f aca="false">INDEX(CHOOSE($B$6,$B$11:$B$22,$C$11:$C$22,$D$11:$D$22,$E$11:$E$22,$F$11:$F$22),MATCH(MIN(B31,2026),$A$11:$A$22,0))</f>
        <v>589</v>
      </c>
      <c r="G31" s="1" t="n">
        <f aca="false">INDEX(CHOOSE($B$6,$B$11:$B$22,$C$11:$C$22,$D$11:$D$22,$E$11:$E$22,$F$11:$F$22),MATCH($B$7,$A$11:$A$22,0))</f>
        <v>458</v>
      </c>
      <c r="H31" s="1" t="n">
        <f aca="false">INDEX(CHOOSE($B$6,$B$11:$B$22,$C$11:$C$22,$D$11:$D$22,$E$11:$E$22,$F$11:$F$22),MATCH(2026,$A$11:$A$22,0))</f>
        <v>458</v>
      </c>
      <c r="I31" s="1" t="n">
        <f aca="false">INDEX($G$11:$G$22,MATCH(MIN(B31,2026),$A$11:$A$22,0))</f>
        <v>760</v>
      </c>
      <c r="J31" s="1" t="n">
        <f aca="false">INDEX($G$11:$G$22,MATCH($B$7,$A$11:$A$22,0))</f>
        <v>1056</v>
      </c>
      <c r="K31" s="1" t="n">
        <f aca="false">INDEX($G$11:$G$22,MATCH(2026,$A$11:$A$22,0))</f>
        <v>1112</v>
      </c>
      <c r="L31" s="59" t="n">
        <f aca="false">(E31*H31/G31+(1-E31)*K31/J31)/(E31*F31/G31+(1-E31)*I31/J31)</f>
        <v>0.992906743406014</v>
      </c>
      <c r="M31" s="60" t="n">
        <f aca="false">C31*L31</f>
        <v>507.871799252176</v>
      </c>
      <c r="N31" s="58" t="n">
        <f aca="false">E31*F31/G31/(E31*F31/G31+(1-E31)*I31/J31)</f>
        <v>0.685928499588553</v>
      </c>
      <c r="O31" s="59" t="n">
        <f aca="false">0.4*H31/F31+0.6*K31/I31</f>
        <v>1.18893039049236</v>
      </c>
      <c r="P31" s="60" t="n">
        <f aca="false">C31*H31/F31</f>
        <v>397.736842105263</v>
      </c>
    </row>
    <row r="32" customFormat="false" ht="15" hidden="false" customHeight="false" outlineLevel="0" collapsed="false">
      <c r="A32" s="56" t="s">
        <v>767</v>
      </c>
      <c r="B32" s="54" t="n">
        <v>2020</v>
      </c>
      <c r="C32" s="57" t="n">
        <v>550</v>
      </c>
      <c r="D32" s="56" t="s">
        <v>793</v>
      </c>
      <c r="E32" s="58" t="n">
        <f aca="false">IF(D32="utility",$B$4,$B$5)</f>
        <v>0.55</v>
      </c>
      <c r="F32" s="1" t="n">
        <f aca="false">INDEX(CHOOSE($B$6,$B$11:$B$22,$C$11:$C$22,$D$11:$D$22,$E$11:$E$22,$F$11:$F$22),MATCH(MIN(B32,2026),$A$11:$A$22,0))</f>
        <v>645.1</v>
      </c>
      <c r="G32" s="1" t="n">
        <f aca="false">INDEX(CHOOSE($B$6,$B$11:$B$22,$C$11:$C$22,$D$11:$D$22,$E$11:$E$22,$F$11:$F$22),MATCH($B$7,$A$11:$A$22,0))</f>
        <v>458</v>
      </c>
      <c r="H32" s="1" t="n">
        <f aca="false">INDEX(CHOOSE($B$6,$B$11:$B$22,$C$11:$C$22,$D$11:$D$22,$E$11:$E$22,$F$11:$F$22),MATCH(2026,$A$11:$A$22,0))</f>
        <v>458</v>
      </c>
      <c r="I32" s="1" t="n">
        <f aca="false">INDEX($G$11:$G$22,MATCH(MIN(B32,2026),$A$11:$A$22,0))</f>
        <v>779</v>
      </c>
      <c r="J32" s="1" t="n">
        <f aca="false">INDEX($G$11:$G$22,MATCH($B$7,$A$11:$A$22,0))</f>
        <v>1056</v>
      </c>
      <c r="K32" s="1" t="n">
        <f aca="false">INDEX($G$11:$G$22,MATCH(2026,$A$11:$A$22,0))</f>
        <v>1112</v>
      </c>
      <c r="L32" s="59" t="n">
        <f aca="false">(E32*H32/G32+(1-E32)*K32/J32)/(E32*F32/G32+(1-E32)*I32/J32)</f>
        <v>0.925197240985948</v>
      </c>
      <c r="M32" s="60" t="n">
        <f aca="false">C32*L32</f>
        <v>508.858482542271</v>
      </c>
      <c r="N32" s="58" t="n">
        <f aca="false">E32*F32/G32/(E32*F32/G32+(1-E32)*I32/J32)</f>
        <v>0.700029695867903</v>
      </c>
      <c r="O32" s="59" t="n">
        <f aca="false">0.4*H32/F32+0.6*K32/I32</f>
        <v>1.14046964885284</v>
      </c>
      <c r="P32" s="60" t="n">
        <f aca="false">C32*H32/F32</f>
        <v>390.482095799101</v>
      </c>
    </row>
    <row r="33" customFormat="false" ht="15" hidden="false" customHeight="false" outlineLevel="0" collapsed="false">
      <c r="A33" s="56" t="s">
        <v>1028</v>
      </c>
      <c r="B33" s="54" t="n">
        <v>2024</v>
      </c>
      <c r="C33" s="57" t="n">
        <v>550</v>
      </c>
      <c r="D33" s="56" t="s">
        <v>793</v>
      </c>
      <c r="E33" s="58" t="n">
        <f aca="false">IF(D33="utility",$B$4,$B$5)</f>
        <v>0.55</v>
      </c>
      <c r="F33" s="1" t="n">
        <f aca="false">INDEX(CHOOSE($B$6,$B$11:$B$22,$C$11:$C$22,$D$11:$D$22,$E$11:$E$22,$F$11:$F$22),MATCH(MIN(B33,2026),$A$11:$A$22,0))</f>
        <v>458</v>
      </c>
      <c r="G33" s="1" t="n">
        <f aca="false">INDEX(CHOOSE($B$6,$B$11:$B$22,$C$11:$C$22,$D$11:$D$22,$E$11:$E$22,$F$11:$F$22),MATCH($B$7,$A$11:$A$22,0))</f>
        <v>458</v>
      </c>
      <c r="H33" s="1" t="n">
        <f aca="false">INDEX(CHOOSE($B$6,$B$11:$B$22,$C$11:$C$22,$D$11:$D$22,$E$11:$E$22,$F$11:$F$22),MATCH(2026,$A$11:$A$22,0))</f>
        <v>458</v>
      </c>
      <c r="I33" s="1" t="n">
        <f aca="false">INDEX($G$11:$G$22,MATCH(MIN(B33,2026),$A$11:$A$22,0))</f>
        <v>1056</v>
      </c>
      <c r="J33" s="1" t="n">
        <f aca="false">INDEX($G$11:$G$22,MATCH($B$7,$A$11:$A$22,0))</f>
        <v>1056</v>
      </c>
      <c r="K33" s="1" t="n">
        <f aca="false">INDEX($G$11:$G$22,MATCH(2026,$A$11:$A$22,0))</f>
        <v>1112</v>
      </c>
      <c r="L33" s="59" t="n">
        <f aca="false">(E33*H33/G33+(1-E33)*K33/J33)/(E33*F33/G33+(1-E33)*I33/J33)</f>
        <v>1.02386363636364</v>
      </c>
      <c r="M33" s="60" t="n">
        <f aca="false">C33*L33</f>
        <v>563.125</v>
      </c>
      <c r="N33" s="58" t="n">
        <f aca="false">E33*F33/G33/(E33*F33/G33+(1-E33)*I33/J33)</f>
        <v>0.55</v>
      </c>
      <c r="O33" s="59" t="n">
        <f aca="false">0.4*H33/F33+0.6*K33/I33</f>
        <v>1.03181818181818</v>
      </c>
      <c r="P33" s="60" t="n">
        <f aca="false">C33*H33/F33</f>
        <v>550</v>
      </c>
    </row>
    <row r="34" customFormat="false" ht="15" hidden="false" customHeight="false" outlineLevel="0" collapsed="false">
      <c r="A34" s="56" t="s">
        <v>826</v>
      </c>
      <c r="B34" s="54" t="n">
        <v>2024</v>
      </c>
      <c r="C34" s="57" t="n">
        <v>550</v>
      </c>
      <c r="D34" s="56" t="s">
        <v>793</v>
      </c>
      <c r="E34" s="58" t="n">
        <f aca="false">IF(D34="utility",$B$4,$B$5)</f>
        <v>0.55</v>
      </c>
      <c r="F34" s="1" t="n">
        <f aca="false">INDEX(CHOOSE($B$6,$B$11:$B$22,$C$11:$C$22,$D$11:$D$22,$E$11:$E$22,$F$11:$F$22),MATCH(MIN(B34,2026),$A$11:$A$22,0))</f>
        <v>458</v>
      </c>
      <c r="G34" s="1" t="n">
        <f aca="false">INDEX(CHOOSE($B$6,$B$11:$B$22,$C$11:$C$22,$D$11:$D$22,$E$11:$E$22,$F$11:$F$22),MATCH($B$7,$A$11:$A$22,0))</f>
        <v>458</v>
      </c>
      <c r="H34" s="1" t="n">
        <f aca="false">INDEX(CHOOSE($B$6,$B$11:$B$22,$C$11:$C$22,$D$11:$D$22,$E$11:$E$22,$F$11:$F$22),MATCH(2026,$A$11:$A$22,0))</f>
        <v>458</v>
      </c>
      <c r="I34" s="1" t="n">
        <f aca="false">INDEX($G$11:$G$22,MATCH(MIN(B34,2026),$A$11:$A$22,0))</f>
        <v>1056</v>
      </c>
      <c r="J34" s="1" t="n">
        <f aca="false">INDEX($G$11:$G$22,MATCH($B$7,$A$11:$A$22,0))</f>
        <v>1056</v>
      </c>
      <c r="K34" s="1" t="n">
        <f aca="false">INDEX($G$11:$G$22,MATCH(2026,$A$11:$A$22,0))</f>
        <v>1112</v>
      </c>
      <c r="L34" s="59" t="n">
        <f aca="false">(E34*H34/G34+(1-E34)*K34/J34)/(E34*F34/G34+(1-E34)*I34/J34)</f>
        <v>1.02386363636364</v>
      </c>
      <c r="M34" s="60" t="n">
        <f aca="false">C34*L34</f>
        <v>563.125</v>
      </c>
      <c r="N34" s="58" t="n">
        <f aca="false">E34*F34/G34/(E34*F34/G34+(1-E34)*I34/J34)</f>
        <v>0.55</v>
      </c>
      <c r="O34" s="59" t="n">
        <f aca="false">0.4*H34/F34+0.6*K34/I34</f>
        <v>1.03181818181818</v>
      </c>
      <c r="P34" s="60" t="n">
        <f aca="false">C34*H34/F34</f>
        <v>550</v>
      </c>
    </row>
    <row r="35" customFormat="false" ht="15" hidden="false" customHeight="false" outlineLevel="0" collapsed="false">
      <c r="A35" s="56" t="s">
        <v>993</v>
      </c>
      <c r="B35" s="54" t="n">
        <v>2020</v>
      </c>
      <c r="C35" s="57" t="n">
        <v>550.7</v>
      </c>
      <c r="D35" s="56" t="s">
        <v>793</v>
      </c>
      <c r="E35" s="58" t="n">
        <f aca="false">IF(D35="utility",$B$4,$B$5)</f>
        <v>0.55</v>
      </c>
      <c r="F35" s="1" t="n">
        <f aca="false">INDEX(CHOOSE($B$6,$B$11:$B$22,$C$11:$C$22,$D$11:$D$22,$E$11:$E$22,$F$11:$F$22),MATCH(MIN(B35,2026),$A$11:$A$22,0))</f>
        <v>645.1</v>
      </c>
      <c r="G35" s="1" t="n">
        <f aca="false">INDEX(CHOOSE($B$6,$B$11:$B$22,$C$11:$C$22,$D$11:$D$22,$E$11:$E$22,$F$11:$F$22),MATCH($B$7,$A$11:$A$22,0))</f>
        <v>458</v>
      </c>
      <c r="H35" s="1" t="n">
        <f aca="false">INDEX(CHOOSE($B$6,$B$11:$B$22,$C$11:$C$22,$D$11:$D$22,$E$11:$E$22,$F$11:$F$22),MATCH(2026,$A$11:$A$22,0))</f>
        <v>458</v>
      </c>
      <c r="I35" s="1" t="n">
        <f aca="false">INDEX($G$11:$G$22,MATCH(MIN(B35,2026),$A$11:$A$22,0))</f>
        <v>779</v>
      </c>
      <c r="J35" s="1" t="n">
        <f aca="false">INDEX($G$11:$G$22,MATCH($B$7,$A$11:$A$22,0))</f>
        <v>1056</v>
      </c>
      <c r="K35" s="1" t="n">
        <f aca="false">INDEX($G$11:$G$22,MATCH(2026,$A$11:$A$22,0))</f>
        <v>1112</v>
      </c>
      <c r="L35" s="59" t="n">
        <f aca="false">(E35*H35/G35+(1-E35)*K35/J35)/(E35*F35/G35+(1-E35)*I35/J35)</f>
        <v>0.925197240985948</v>
      </c>
      <c r="M35" s="60" t="n">
        <f aca="false">C35*L35</f>
        <v>509.506120610961</v>
      </c>
      <c r="N35" s="58" t="n">
        <f aca="false">E35*F35/G35/(E35*F35/G35+(1-E35)*I35/J35)</f>
        <v>0.700029695867903</v>
      </c>
      <c r="O35" s="59" t="n">
        <f aca="false">0.4*H35/F35+0.6*K35/I35</f>
        <v>1.14046964885284</v>
      </c>
      <c r="P35" s="60" t="n">
        <f aca="false">C35*H35/F35</f>
        <v>390.979073011936</v>
      </c>
    </row>
    <row r="36" customFormat="false" ht="15" hidden="false" customHeight="false" outlineLevel="0" collapsed="false">
      <c r="A36" s="56" t="s">
        <v>1001</v>
      </c>
      <c r="B36" s="54" t="n">
        <v>2020</v>
      </c>
      <c r="C36" s="57" t="n">
        <v>562.2</v>
      </c>
      <c r="D36" s="56" t="s">
        <v>793</v>
      </c>
      <c r="E36" s="58" t="n">
        <f aca="false">IF(D36="utility",$B$4,$B$5)</f>
        <v>0.55</v>
      </c>
      <c r="F36" s="1" t="n">
        <f aca="false">INDEX(CHOOSE($B$6,$B$11:$B$22,$C$11:$C$22,$D$11:$D$22,$E$11:$E$22,$F$11:$F$22),MATCH(MIN(B36,2026),$A$11:$A$22,0))</f>
        <v>645.1</v>
      </c>
      <c r="G36" s="1" t="n">
        <f aca="false">INDEX(CHOOSE($B$6,$B$11:$B$22,$C$11:$C$22,$D$11:$D$22,$E$11:$E$22,$F$11:$F$22),MATCH($B$7,$A$11:$A$22,0))</f>
        <v>458</v>
      </c>
      <c r="H36" s="1" t="n">
        <f aca="false">INDEX(CHOOSE($B$6,$B$11:$B$22,$C$11:$C$22,$D$11:$D$22,$E$11:$E$22,$F$11:$F$22),MATCH(2026,$A$11:$A$22,0))</f>
        <v>458</v>
      </c>
      <c r="I36" s="1" t="n">
        <f aca="false">INDEX($G$11:$G$22,MATCH(MIN(B36,2026),$A$11:$A$22,0))</f>
        <v>779</v>
      </c>
      <c r="J36" s="1" t="n">
        <f aca="false">INDEX($G$11:$G$22,MATCH($B$7,$A$11:$A$22,0))</f>
        <v>1056</v>
      </c>
      <c r="K36" s="1" t="n">
        <f aca="false">INDEX($G$11:$G$22,MATCH(2026,$A$11:$A$22,0))</f>
        <v>1112</v>
      </c>
      <c r="L36" s="59" t="n">
        <f aca="false">(E36*H36/G36+(1-E36)*K36/J36)/(E36*F36/G36+(1-E36)*I36/J36)</f>
        <v>0.925197240985948</v>
      </c>
      <c r="M36" s="60" t="n">
        <f aca="false">C36*L36</f>
        <v>520.1458888823</v>
      </c>
      <c r="N36" s="58" t="n">
        <f aca="false">E36*F36/G36/(E36*F36/G36+(1-E36)*I36/J36)</f>
        <v>0.700029695867903</v>
      </c>
      <c r="O36" s="59" t="n">
        <f aca="false">0.4*H36/F36+0.6*K36/I36</f>
        <v>1.14046964885284</v>
      </c>
      <c r="P36" s="60" t="n">
        <f aca="false">C36*H36/F36</f>
        <v>399.143698651372</v>
      </c>
    </row>
    <row r="37" customFormat="false" ht="15" hidden="false" customHeight="false" outlineLevel="0" collapsed="false">
      <c r="A37" s="56" t="s">
        <v>575</v>
      </c>
      <c r="B37" s="54" t="n">
        <v>2021</v>
      </c>
      <c r="C37" s="57" t="n">
        <v>589.3</v>
      </c>
      <c r="D37" s="56" t="s">
        <v>1196</v>
      </c>
      <c r="E37" s="58" t="n">
        <f aca="false">IF(D37="utility",$B$4,$B$5)</f>
        <v>0.4</v>
      </c>
      <c r="F37" s="1" t="n">
        <f aca="false">INDEX(CHOOSE($B$6,$B$11:$B$22,$C$11:$C$22,$D$11:$D$22,$E$11:$E$22,$F$11:$F$22),MATCH(MIN(B37,2026),$A$11:$A$22,0))</f>
        <v>671.3</v>
      </c>
      <c r="G37" s="1" t="n">
        <f aca="false">INDEX(CHOOSE($B$6,$B$11:$B$22,$C$11:$C$22,$D$11:$D$22,$E$11:$E$22,$F$11:$F$22),MATCH($B$7,$A$11:$A$22,0))</f>
        <v>458</v>
      </c>
      <c r="H37" s="1" t="n">
        <f aca="false">INDEX(CHOOSE($B$6,$B$11:$B$22,$C$11:$C$22,$D$11:$D$22,$E$11:$E$22,$F$11:$F$22),MATCH(2026,$A$11:$A$22,0))</f>
        <v>458</v>
      </c>
      <c r="I37" s="1" t="n">
        <f aca="false">INDEX($G$11:$G$22,MATCH(MIN(B37,2026),$A$11:$A$22,0))</f>
        <v>861</v>
      </c>
      <c r="J37" s="1" t="n">
        <f aca="false">INDEX($G$11:$G$22,MATCH($B$7,$A$11:$A$22,0))</f>
        <v>1056</v>
      </c>
      <c r="K37" s="1" t="n">
        <f aca="false">INDEX($G$11:$G$22,MATCH(2026,$A$11:$A$22,0))</f>
        <v>1112</v>
      </c>
      <c r="L37" s="59" t="n">
        <f aca="false">(E37*H37/G37+(1-E37)*K37/J37)/(E37*F37/G37+(1-E37)*I37/J37)</f>
        <v>0.95939110418196</v>
      </c>
      <c r="M37" s="60" t="n">
        <f aca="false">C37*L37</f>
        <v>565.369177694429</v>
      </c>
      <c r="N37" s="58" t="n">
        <f aca="false">E37*F37/G37/(E37*F37/G37+(1-E37)*I37/J37)</f>
        <v>0.545134504019456</v>
      </c>
      <c r="O37" s="59" t="n">
        <f aca="false">0.4*H37/F37+0.6*K37/I37</f>
        <v>1.04781621389877</v>
      </c>
      <c r="P37" s="60" t="n">
        <f aca="false">C37*H37/F37</f>
        <v>402.054819007895</v>
      </c>
    </row>
    <row r="38" customFormat="false" ht="15" hidden="false" customHeight="false" outlineLevel="0" collapsed="false">
      <c r="A38" s="56" t="s">
        <v>488</v>
      </c>
      <c r="B38" s="54" t="n">
        <v>2021</v>
      </c>
      <c r="C38" s="57" t="n">
        <v>616.7</v>
      </c>
      <c r="D38" s="56" t="s">
        <v>1196</v>
      </c>
      <c r="E38" s="58" t="n">
        <f aca="false">IF(D38="utility",$B$4,$B$5)</f>
        <v>0.4</v>
      </c>
      <c r="F38" s="1" t="n">
        <f aca="false">INDEX(CHOOSE($B$6,$B$11:$B$22,$C$11:$C$22,$D$11:$D$22,$E$11:$E$22,$F$11:$F$22),MATCH(MIN(B38,2026),$A$11:$A$22,0))</f>
        <v>671.3</v>
      </c>
      <c r="G38" s="1" t="n">
        <f aca="false">INDEX(CHOOSE($B$6,$B$11:$B$22,$C$11:$C$22,$D$11:$D$22,$E$11:$E$22,$F$11:$F$22),MATCH($B$7,$A$11:$A$22,0))</f>
        <v>458</v>
      </c>
      <c r="H38" s="1" t="n">
        <f aca="false">INDEX(CHOOSE($B$6,$B$11:$B$22,$C$11:$C$22,$D$11:$D$22,$E$11:$E$22,$F$11:$F$22),MATCH(2026,$A$11:$A$22,0))</f>
        <v>458</v>
      </c>
      <c r="I38" s="1" t="n">
        <f aca="false">INDEX($G$11:$G$22,MATCH(MIN(B38,2026),$A$11:$A$22,0))</f>
        <v>861</v>
      </c>
      <c r="J38" s="1" t="n">
        <f aca="false">INDEX($G$11:$G$22,MATCH($B$7,$A$11:$A$22,0))</f>
        <v>1056</v>
      </c>
      <c r="K38" s="1" t="n">
        <f aca="false">INDEX($G$11:$G$22,MATCH(2026,$A$11:$A$22,0))</f>
        <v>1112</v>
      </c>
      <c r="L38" s="59" t="n">
        <f aca="false">(E38*H38/G38+(1-E38)*K38/J38)/(E38*F38/G38+(1-E38)*I38/J38)</f>
        <v>0.95939110418196</v>
      </c>
      <c r="M38" s="60" t="n">
        <f aca="false">C38*L38</f>
        <v>591.656493949015</v>
      </c>
      <c r="N38" s="58" t="n">
        <f aca="false">E38*F38/G38/(E38*F38/G38+(1-E38)*I38/J38)</f>
        <v>0.545134504019456</v>
      </c>
      <c r="O38" s="59" t="n">
        <f aca="false">0.4*H38/F38+0.6*K38/I38</f>
        <v>1.04781621389877</v>
      </c>
      <c r="P38" s="60" t="n">
        <f aca="false">C38*H38/F38</f>
        <v>420.748696558916</v>
      </c>
    </row>
    <row r="39" customFormat="false" ht="15" hidden="false" customHeight="false" outlineLevel="0" collapsed="false">
      <c r="A39" s="56" t="s">
        <v>1020</v>
      </c>
      <c r="B39" s="54" t="n">
        <v>2021</v>
      </c>
      <c r="C39" s="57" t="n">
        <v>618.7</v>
      </c>
      <c r="D39" s="56" t="s">
        <v>1196</v>
      </c>
      <c r="E39" s="58" t="n">
        <f aca="false">IF(D39="utility",$B$4,$B$5)</f>
        <v>0.4</v>
      </c>
      <c r="F39" s="1" t="n">
        <f aca="false">INDEX(CHOOSE($B$6,$B$11:$B$22,$C$11:$C$22,$D$11:$D$22,$E$11:$E$22,$F$11:$F$22),MATCH(MIN(B39,2026),$A$11:$A$22,0))</f>
        <v>671.3</v>
      </c>
      <c r="G39" s="1" t="n">
        <f aca="false">INDEX(CHOOSE($B$6,$B$11:$B$22,$C$11:$C$22,$D$11:$D$22,$E$11:$E$22,$F$11:$F$22),MATCH($B$7,$A$11:$A$22,0))</f>
        <v>458</v>
      </c>
      <c r="H39" s="1" t="n">
        <f aca="false">INDEX(CHOOSE($B$6,$B$11:$B$22,$C$11:$C$22,$D$11:$D$22,$E$11:$E$22,$F$11:$F$22),MATCH(2026,$A$11:$A$22,0))</f>
        <v>458</v>
      </c>
      <c r="I39" s="1" t="n">
        <f aca="false">INDEX($G$11:$G$22,MATCH(MIN(B39,2026),$A$11:$A$22,0))</f>
        <v>861</v>
      </c>
      <c r="J39" s="1" t="n">
        <f aca="false">INDEX($G$11:$G$22,MATCH($B$7,$A$11:$A$22,0))</f>
        <v>1056</v>
      </c>
      <c r="K39" s="1" t="n">
        <f aca="false">INDEX($G$11:$G$22,MATCH(2026,$A$11:$A$22,0))</f>
        <v>1112</v>
      </c>
      <c r="L39" s="59" t="n">
        <f aca="false">(E39*H39/G39+(1-E39)*K39/J39)/(E39*F39/G39+(1-E39)*I39/J39)</f>
        <v>0.95939110418196</v>
      </c>
      <c r="M39" s="60" t="n">
        <f aca="false">C39*L39</f>
        <v>593.575276157379</v>
      </c>
      <c r="N39" s="58" t="n">
        <f aca="false">E39*F39/G39/(E39*F39/G39+(1-E39)*I39/J39)</f>
        <v>0.545134504019456</v>
      </c>
      <c r="O39" s="59" t="n">
        <f aca="false">0.4*H39/F39+0.6*K39/I39</f>
        <v>1.04781621389877</v>
      </c>
      <c r="P39" s="60" t="n">
        <f aca="false">C39*H39/F39</f>
        <v>422.113213168479</v>
      </c>
    </row>
    <row r="40" customFormat="false" ht="15" hidden="false" customHeight="false" outlineLevel="0" collapsed="false">
      <c r="A40" s="56" t="s">
        <v>819</v>
      </c>
      <c r="B40" s="54" t="n">
        <v>2018</v>
      </c>
      <c r="C40" s="57" t="n">
        <v>619</v>
      </c>
      <c r="D40" s="56" t="s">
        <v>1196</v>
      </c>
      <c r="E40" s="58" t="n">
        <f aca="false">IF(D40="utility",$B$4,$B$5)</f>
        <v>0.4</v>
      </c>
      <c r="F40" s="1" t="n">
        <f aca="false">INDEX(CHOOSE($B$6,$B$11:$B$22,$C$11:$C$22,$D$11:$D$22,$E$11:$E$22,$F$11:$F$22),MATCH(MIN(B40,2026),$A$11:$A$22,0))</f>
        <v>625.2</v>
      </c>
      <c r="G40" s="1" t="n">
        <f aca="false">INDEX(CHOOSE($B$6,$B$11:$B$22,$C$11:$C$22,$D$11:$D$22,$E$11:$E$22,$F$11:$F$22),MATCH($B$7,$A$11:$A$22,0))</f>
        <v>458</v>
      </c>
      <c r="H40" s="1" t="n">
        <f aca="false">INDEX(CHOOSE($B$6,$B$11:$B$22,$C$11:$C$22,$D$11:$D$22,$E$11:$E$22,$F$11:$F$22),MATCH(2026,$A$11:$A$22,0))</f>
        <v>458</v>
      </c>
      <c r="I40" s="1" t="n">
        <f aca="false">INDEX($G$11:$G$22,MATCH(MIN(B40,2026),$A$11:$A$22,0))</f>
        <v>745</v>
      </c>
      <c r="J40" s="1" t="n">
        <f aca="false">INDEX($G$11:$G$22,MATCH($B$7,$A$11:$A$22,0))</f>
        <v>1056</v>
      </c>
      <c r="K40" s="1" t="n">
        <f aca="false">INDEX($G$11:$G$22,MATCH(2026,$A$11:$A$22,0))</f>
        <v>1112</v>
      </c>
      <c r="L40" s="59" t="n">
        <f aca="false">(E40*H40/G40+(1-E40)*K40/J40)/(E40*F40/G40+(1-E40)*I40/J40)</f>
        <v>1.06447449724247</v>
      </c>
      <c r="M40" s="60" t="n">
        <f aca="false">C40*L40</f>
        <v>658.909713793088</v>
      </c>
      <c r="N40" s="58" t="n">
        <f aca="false">E40*F40/G40/(E40*F40/G40+(1-E40)*I40/J40)</f>
        <v>0.563307543807468</v>
      </c>
      <c r="O40" s="59" t="n">
        <f aca="false">0.4*H40/F40+0.6*K40/I40</f>
        <v>1.18859670140454</v>
      </c>
      <c r="P40" s="60" t="n">
        <f aca="false">C40*H40/F40</f>
        <v>453.458093410109</v>
      </c>
    </row>
    <row r="41" customFormat="false" ht="15" hidden="false" customHeight="false" outlineLevel="0" collapsed="false">
      <c r="A41" s="56" t="s">
        <v>481</v>
      </c>
      <c r="B41" s="54" t="n">
        <v>2016</v>
      </c>
      <c r="C41" s="57" t="n">
        <v>692.3</v>
      </c>
      <c r="D41" s="56" t="s">
        <v>1196</v>
      </c>
      <c r="E41" s="58" t="n">
        <f aca="false">IF(D41="utility",$B$4,$B$5)</f>
        <v>0.4</v>
      </c>
      <c r="F41" s="1" t="n">
        <f aca="false">INDEX(CHOOSE($B$6,$B$11:$B$22,$C$11:$C$22,$D$11:$D$22,$E$11:$E$22,$F$11:$F$22),MATCH(MIN(B41,2026),$A$11:$A$22,0))</f>
        <v>1269.9</v>
      </c>
      <c r="G41" s="1" t="n">
        <f aca="false">INDEX(CHOOSE($B$6,$B$11:$B$22,$C$11:$C$22,$D$11:$D$22,$E$11:$E$22,$F$11:$F$22),MATCH($B$7,$A$11:$A$22,0))</f>
        <v>458</v>
      </c>
      <c r="H41" s="1" t="n">
        <f aca="false">INDEX(CHOOSE($B$6,$B$11:$B$22,$C$11:$C$22,$D$11:$D$22,$E$11:$E$22,$F$11:$F$22),MATCH(2026,$A$11:$A$22,0))</f>
        <v>458</v>
      </c>
      <c r="I41" s="1" t="n">
        <f aca="false">INDEX($G$11:$G$22,MATCH(MIN(B41,2026),$A$11:$A$22,0))</f>
        <v>714</v>
      </c>
      <c r="J41" s="1" t="n">
        <f aca="false">INDEX($G$11:$G$22,MATCH($B$7,$A$11:$A$22,0))</f>
        <v>1056</v>
      </c>
      <c r="K41" s="1" t="n">
        <f aca="false">INDEX($G$11:$G$22,MATCH(2026,$A$11:$A$22,0))</f>
        <v>1112</v>
      </c>
      <c r="L41" s="59" t="n">
        <f aca="false">(E41*H41/G41+(1-E41)*K41/J41)/(E41*F41/G41+(1-E41)*I41/J41)</f>
        <v>0.681173862935758</v>
      </c>
      <c r="M41" s="60" t="n">
        <f aca="false">C41*L41</f>
        <v>471.576665310425</v>
      </c>
      <c r="N41" s="58" t="n">
        <f aca="false">E41*F41/G41/(E41*F41/G41+(1-E41)*I41/J41)</f>
        <v>0.732181641995523</v>
      </c>
      <c r="O41" s="59" t="n">
        <f aca="false">0.4*H41/F41+0.6*K41/I41</f>
        <v>1.07871710933369</v>
      </c>
      <c r="P41" s="60" t="n">
        <f aca="false">C41*H41/F41</f>
        <v>249.683754626348</v>
      </c>
    </row>
    <row r="42" customFormat="false" ht="15" hidden="false" customHeight="false" outlineLevel="0" collapsed="false">
      <c r="A42" s="56" t="s">
        <v>812</v>
      </c>
      <c r="B42" s="54" t="n">
        <v>2019</v>
      </c>
      <c r="C42" s="57" t="n">
        <v>700</v>
      </c>
      <c r="D42" s="56" t="s">
        <v>1196</v>
      </c>
      <c r="E42" s="58" t="n">
        <f aca="false">IF(D42="utility",$B$4,$B$5)</f>
        <v>0.4</v>
      </c>
      <c r="F42" s="1" t="n">
        <f aca="false">INDEX(CHOOSE($B$6,$B$11:$B$22,$C$11:$C$22,$D$11:$D$22,$E$11:$E$22,$F$11:$F$22),MATCH(MIN(B42,2026),$A$11:$A$22,0))</f>
        <v>589</v>
      </c>
      <c r="G42" s="1" t="n">
        <f aca="false">INDEX(CHOOSE($B$6,$B$11:$B$22,$C$11:$C$22,$D$11:$D$22,$E$11:$E$22,$F$11:$F$22),MATCH($B$7,$A$11:$A$22,0))</f>
        <v>458</v>
      </c>
      <c r="H42" s="1" t="n">
        <f aca="false">INDEX(CHOOSE($B$6,$B$11:$B$22,$C$11:$C$22,$D$11:$D$22,$E$11:$E$22,$F$11:$F$22),MATCH(2026,$A$11:$A$22,0))</f>
        <v>458</v>
      </c>
      <c r="I42" s="1" t="n">
        <f aca="false">INDEX($G$11:$G$22,MATCH(MIN(B42,2026),$A$11:$A$22,0))</f>
        <v>760</v>
      </c>
      <c r="J42" s="1" t="n">
        <f aca="false">INDEX($G$11:$G$22,MATCH($B$7,$A$11:$A$22,0))</f>
        <v>1056</v>
      </c>
      <c r="K42" s="1" t="n">
        <f aca="false">INDEX($G$11:$G$22,MATCH(2026,$A$11:$A$22,0))</f>
        <v>1112</v>
      </c>
      <c r="L42" s="59" t="n">
        <f aca="false">(E42*H42/G42+(1-E42)*K42/J42)/(E42*F42/G42+(1-E42)*I42/J42)</f>
        <v>1.09045331543286</v>
      </c>
      <c r="M42" s="60" t="n">
        <f aca="false">C42*L42</f>
        <v>763.317320803004</v>
      </c>
      <c r="N42" s="58" t="n">
        <f aca="false">E42*F42/G42/(E42*F42/G42+(1-E42)*I42/J42)</f>
        <v>0.543642885611798</v>
      </c>
      <c r="O42" s="59" t="n">
        <f aca="false">0.4*H42/F42+0.6*K42/I42</f>
        <v>1.18893039049236</v>
      </c>
      <c r="P42" s="60" t="n">
        <f aca="false">C42*H42/F42</f>
        <v>544.312393887946</v>
      </c>
    </row>
    <row r="43" customFormat="false" ht="15" hidden="false" customHeight="false" outlineLevel="0" collapsed="false">
      <c r="A43" s="56" t="s">
        <v>869</v>
      </c>
      <c r="B43" s="54" t="n">
        <v>2025</v>
      </c>
      <c r="C43" s="57" t="n">
        <v>728.2</v>
      </c>
      <c r="D43" s="56" t="s">
        <v>793</v>
      </c>
      <c r="E43" s="58" t="n">
        <f aca="false">IF(D43="utility",$B$4,$B$5)</f>
        <v>0.55</v>
      </c>
      <c r="F43" s="1" t="n">
        <f aca="false">INDEX(CHOOSE($B$6,$B$11:$B$22,$C$11:$C$22,$D$11:$D$22,$E$11:$E$22,$F$11:$F$22),MATCH(MIN(B43,2026),$A$11:$A$22,0))</f>
        <v>458</v>
      </c>
      <c r="G43" s="1" t="n">
        <f aca="false">INDEX(CHOOSE($B$6,$B$11:$B$22,$C$11:$C$22,$D$11:$D$22,$E$11:$E$22,$F$11:$F$22),MATCH($B$7,$A$11:$A$22,0))</f>
        <v>458</v>
      </c>
      <c r="H43" s="1" t="n">
        <f aca="false">INDEX(CHOOSE($B$6,$B$11:$B$22,$C$11:$C$22,$D$11:$D$22,$E$11:$E$22,$F$11:$F$22),MATCH(2026,$A$11:$A$22,0))</f>
        <v>458</v>
      </c>
      <c r="I43" s="1" t="n">
        <f aca="false">INDEX($G$11:$G$22,MATCH(MIN(B43,2026),$A$11:$A$22,0))</f>
        <v>1066</v>
      </c>
      <c r="J43" s="1" t="n">
        <f aca="false">INDEX($G$11:$G$22,MATCH($B$7,$A$11:$A$22,0))</f>
        <v>1056</v>
      </c>
      <c r="K43" s="1" t="n">
        <f aca="false">INDEX($G$11:$G$22,MATCH(2026,$A$11:$A$22,0))</f>
        <v>1112</v>
      </c>
      <c r="L43" s="59" t="n">
        <f aca="false">(E43*H43/G43+(1-E43)*K43/J43)/(E43*F43/G43+(1-E43)*I43/J43)</f>
        <v>1.01951909476662</v>
      </c>
      <c r="M43" s="60" t="n">
        <f aca="false">C43*L43</f>
        <v>742.413804809053</v>
      </c>
      <c r="N43" s="58" t="n">
        <f aca="false">E43*F43/G43/(E43*F43/G43+(1-E43)*I43/J43)</f>
        <v>0.547666195190948</v>
      </c>
      <c r="O43" s="59" t="n">
        <f aca="false">0.4*H43/F43+0.6*K43/I43</f>
        <v>1.02589118198874</v>
      </c>
      <c r="P43" s="60" t="n">
        <f aca="false">C43*H43/F43</f>
        <v>728.2</v>
      </c>
    </row>
    <row r="44" customFormat="false" ht="15" hidden="false" customHeight="false" outlineLevel="0" collapsed="false">
      <c r="A44" s="56" t="s">
        <v>1149</v>
      </c>
      <c r="B44" s="54" t="n">
        <v>2018</v>
      </c>
      <c r="C44" s="57" t="n">
        <v>750</v>
      </c>
      <c r="D44" s="56" t="s">
        <v>1196</v>
      </c>
      <c r="E44" s="58" t="n">
        <f aca="false">IF(D44="utility",$B$4,$B$5)</f>
        <v>0.4</v>
      </c>
      <c r="F44" s="1" t="n">
        <f aca="false">INDEX(CHOOSE($B$6,$B$11:$B$22,$C$11:$C$22,$D$11:$D$22,$E$11:$E$22,$F$11:$F$22),MATCH(MIN(B44,2026),$A$11:$A$22,0))</f>
        <v>625.2</v>
      </c>
      <c r="G44" s="1" t="n">
        <f aca="false">INDEX(CHOOSE($B$6,$B$11:$B$22,$C$11:$C$22,$D$11:$D$22,$E$11:$E$22,$F$11:$F$22),MATCH($B$7,$A$11:$A$22,0))</f>
        <v>458</v>
      </c>
      <c r="H44" s="1" t="n">
        <f aca="false">INDEX(CHOOSE($B$6,$B$11:$B$22,$C$11:$C$22,$D$11:$D$22,$E$11:$E$22,$F$11:$F$22),MATCH(2026,$A$11:$A$22,0))</f>
        <v>458</v>
      </c>
      <c r="I44" s="1" t="n">
        <f aca="false">INDEX($G$11:$G$22,MATCH(MIN(B44,2026),$A$11:$A$22,0))</f>
        <v>745</v>
      </c>
      <c r="J44" s="1" t="n">
        <f aca="false">INDEX($G$11:$G$22,MATCH($B$7,$A$11:$A$22,0))</f>
        <v>1056</v>
      </c>
      <c r="K44" s="1" t="n">
        <f aca="false">INDEX($G$11:$G$22,MATCH(2026,$A$11:$A$22,0))</f>
        <v>1112</v>
      </c>
      <c r="L44" s="59" t="n">
        <f aca="false">(E44*H44/G44+(1-E44)*K44/J44)/(E44*F44/G44+(1-E44)*I44/J44)</f>
        <v>1.06447449724247</v>
      </c>
      <c r="M44" s="60" t="n">
        <f aca="false">C44*L44</f>
        <v>798.355872931851</v>
      </c>
      <c r="N44" s="58" t="n">
        <f aca="false">E44*F44/G44/(E44*F44/G44+(1-E44)*I44/J44)</f>
        <v>0.563307543807468</v>
      </c>
      <c r="O44" s="59" t="n">
        <f aca="false">0.4*H44/F44+0.6*K44/I44</f>
        <v>1.18859670140454</v>
      </c>
      <c r="P44" s="60" t="n">
        <f aca="false">C44*H44/F44</f>
        <v>549.424184261036</v>
      </c>
    </row>
    <row r="45" customFormat="false" ht="15" hidden="false" customHeight="false" outlineLevel="0" collapsed="false">
      <c r="A45" s="56" t="s">
        <v>1013</v>
      </c>
      <c r="B45" s="54" t="n">
        <v>2020</v>
      </c>
      <c r="C45" s="57" t="n">
        <v>770.5</v>
      </c>
      <c r="D45" s="56" t="s">
        <v>793</v>
      </c>
      <c r="E45" s="58" t="n">
        <f aca="false">IF(D45="utility",$B$4,$B$5)</f>
        <v>0.55</v>
      </c>
      <c r="F45" s="1" t="n">
        <f aca="false">INDEX(CHOOSE($B$6,$B$11:$B$22,$C$11:$C$22,$D$11:$D$22,$E$11:$E$22,$F$11:$F$22),MATCH(MIN(B45,2026),$A$11:$A$22,0))</f>
        <v>645.1</v>
      </c>
      <c r="G45" s="1" t="n">
        <f aca="false">INDEX(CHOOSE($B$6,$B$11:$B$22,$C$11:$C$22,$D$11:$D$22,$E$11:$E$22,$F$11:$F$22),MATCH($B$7,$A$11:$A$22,0))</f>
        <v>458</v>
      </c>
      <c r="H45" s="1" t="n">
        <f aca="false">INDEX(CHOOSE($B$6,$B$11:$B$22,$C$11:$C$22,$D$11:$D$22,$E$11:$E$22,$F$11:$F$22),MATCH(2026,$A$11:$A$22,0))</f>
        <v>458</v>
      </c>
      <c r="I45" s="1" t="n">
        <f aca="false">INDEX($G$11:$G$22,MATCH(MIN(B45,2026),$A$11:$A$22,0))</f>
        <v>779</v>
      </c>
      <c r="J45" s="1" t="n">
        <f aca="false">INDEX($G$11:$G$22,MATCH($B$7,$A$11:$A$22,0))</f>
        <v>1056</v>
      </c>
      <c r="K45" s="1" t="n">
        <f aca="false">INDEX($G$11:$G$22,MATCH(2026,$A$11:$A$22,0))</f>
        <v>1112</v>
      </c>
      <c r="L45" s="59" t="n">
        <f aca="false">(E45*H45/G45+(1-E45)*K45/J45)/(E45*F45/G45+(1-E45)*I45/J45)</f>
        <v>0.925197240985948</v>
      </c>
      <c r="M45" s="60" t="n">
        <f aca="false">C45*L45</f>
        <v>712.864474179673</v>
      </c>
      <c r="N45" s="58" t="n">
        <f aca="false">E45*F45/G45/(E45*F45/G45+(1-E45)*I45/J45)</f>
        <v>0.700029695867903</v>
      </c>
      <c r="O45" s="59" t="n">
        <f aca="false">0.4*H45/F45+0.6*K45/I45</f>
        <v>1.14046964885284</v>
      </c>
      <c r="P45" s="60" t="n">
        <f aca="false">C45*H45/F45</f>
        <v>547.029917842195</v>
      </c>
    </row>
    <row r="46" customFormat="false" ht="15" hidden="false" customHeight="false" outlineLevel="0" collapsed="false">
      <c r="A46" s="56" t="s">
        <v>591</v>
      </c>
      <c r="B46" s="54" t="n">
        <v>2024</v>
      </c>
      <c r="C46" s="57" t="n">
        <v>812.5</v>
      </c>
      <c r="D46" s="56" t="s">
        <v>1196</v>
      </c>
      <c r="E46" s="58" t="n">
        <f aca="false">IF(D46="utility",$B$4,$B$5)</f>
        <v>0.4</v>
      </c>
      <c r="F46" s="1" t="n">
        <f aca="false">INDEX(CHOOSE($B$6,$B$11:$B$22,$C$11:$C$22,$D$11:$D$22,$E$11:$E$22,$F$11:$F$22),MATCH(MIN(B46,2026),$A$11:$A$22,0))</f>
        <v>458</v>
      </c>
      <c r="G46" s="1" t="n">
        <f aca="false">INDEX(CHOOSE($B$6,$B$11:$B$22,$C$11:$C$22,$D$11:$D$22,$E$11:$E$22,$F$11:$F$22),MATCH($B$7,$A$11:$A$22,0))</f>
        <v>458</v>
      </c>
      <c r="H46" s="1" t="n">
        <f aca="false">INDEX(CHOOSE($B$6,$B$11:$B$22,$C$11:$C$22,$D$11:$D$22,$E$11:$E$22,$F$11:$F$22),MATCH(2026,$A$11:$A$22,0))</f>
        <v>458</v>
      </c>
      <c r="I46" s="1" t="n">
        <f aca="false">INDEX($G$11:$G$22,MATCH(MIN(B46,2026),$A$11:$A$22,0))</f>
        <v>1056</v>
      </c>
      <c r="J46" s="1" t="n">
        <f aca="false">INDEX($G$11:$G$22,MATCH($B$7,$A$11:$A$22,0))</f>
        <v>1056</v>
      </c>
      <c r="K46" s="1" t="n">
        <f aca="false">INDEX($G$11:$G$22,MATCH(2026,$A$11:$A$22,0))</f>
        <v>1112</v>
      </c>
      <c r="L46" s="59" t="n">
        <f aca="false">(E46*H46/G46+(1-E46)*K46/J46)/(E46*F46/G46+(1-E46)*I46/J46)</f>
        <v>1.03181818181818</v>
      </c>
      <c r="M46" s="60" t="n">
        <f aca="false">C46*L46</f>
        <v>838.352272727273</v>
      </c>
      <c r="N46" s="58" t="n">
        <f aca="false">E46*F46/G46/(E46*F46/G46+(1-E46)*I46/J46)</f>
        <v>0.4</v>
      </c>
      <c r="O46" s="59" t="n">
        <f aca="false">0.4*H46/F46+0.6*K46/I46</f>
        <v>1.03181818181818</v>
      </c>
      <c r="P46" s="60" t="n">
        <f aca="false">C46*H46/F46</f>
        <v>812.5</v>
      </c>
    </row>
    <row r="47" customFormat="false" ht="15" hidden="false" customHeight="false" outlineLevel="0" collapsed="false">
      <c r="A47" s="56" t="s">
        <v>637</v>
      </c>
      <c r="B47" s="54" t="n">
        <v>2018</v>
      </c>
      <c r="C47" s="57" t="n">
        <v>1000</v>
      </c>
      <c r="D47" s="56" t="s">
        <v>1196</v>
      </c>
      <c r="E47" s="58" t="n">
        <f aca="false">IF(D47="utility",$B$4,$B$5)</f>
        <v>0.4</v>
      </c>
      <c r="F47" s="1" t="n">
        <f aca="false">INDEX(CHOOSE($B$6,$B$11:$B$22,$C$11:$C$22,$D$11:$D$22,$E$11:$E$22,$F$11:$F$22),MATCH(MIN(B47,2026),$A$11:$A$22,0))</f>
        <v>625.2</v>
      </c>
      <c r="G47" s="1" t="n">
        <f aca="false">INDEX(CHOOSE($B$6,$B$11:$B$22,$C$11:$C$22,$D$11:$D$22,$E$11:$E$22,$F$11:$F$22),MATCH($B$7,$A$11:$A$22,0))</f>
        <v>458</v>
      </c>
      <c r="H47" s="1" t="n">
        <f aca="false">INDEX(CHOOSE($B$6,$B$11:$B$22,$C$11:$C$22,$D$11:$D$22,$E$11:$E$22,$F$11:$F$22),MATCH(2026,$A$11:$A$22,0))</f>
        <v>458</v>
      </c>
      <c r="I47" s="1" t="n">
        <f aca="false">INDEX($G$11:$G$22,MATCH(MIN(B47,2026),$A$11:$A$22,0))</f>
        <v>745</v>
      </c>
      <c r="J47" s="1" t="n">
        <f aca="false">INDEX($G$11:$G$22,MATCH($B$7,$A$11:$A$22,0))</f>
        <v>1056</v>
      </c>
      <c r="K47" s="1" t="n">
        <f aca="false">INDEX($G$11:$G$22,MATCH(2026,$A$11:$A$22,0))</f>
        <v>1112</v>
      </c>
      <c r="L47" s="59" t="n">
        <f aca="false">(E47*H47/G47+(1-E47)*K47/J47)/(E47*F47/G47+(1-E47)*I47/J47)</f>
        <v>1.06447449724247</v>
      </c>
      <c r="M47" s="60" t="n">
        <f aca="false">C47*L47</f>
        <v>1064.47449724247</v>
      </c>
      <c r="N47" s="58" t="n">
        <f aca="false">E47*F47/G47/(E47*F47/G47+(1-E47)*I47/J47)</f>
        <v>0.563307543807468</v>
      </c>
      <c r="O47" s="59" t="n">
        <f aca="false">0.4*H47/F47+0.6*K47/I47</f>
        <v>1.18859670140454</v>
      </c>
      <c r="P47" s="60" t="n">
        <f aca="false">C47*H47/F47</f>
        <v>732.565579014715</v>
      </c>
    </row>
    <row r="48" customFormat="false" ht="15" hidden="false" customHeight="false" outlineLevel="0" collapsed="false">
      <c r="A48" s="56" t="s">
        <v>791</v>
      </c>
      <c r="B48" s="54" t="n">
        <v>2025</v>
      </c>
      <c r="C48" s="57" t="n">
        <v>1008.7</v>
      </c>
      <c r="D48" s="56" t="s">
        <v>793</v>
      </c>
      <c r="E48" s="58" t="n">
        <f aca="false">IF(D48="utility",$B$4,$B$5)</f>
        <v>0.55</v>
      </c>
      <c r="F48" s="1" t="n">
        <f aca="false">INDEX(CHOOSE($B$6,$B$11:$B$22,$C$11:$C$22,$D$11:$D$22,$E$11:$E$22,$F$11:$F$22),MATCH(MIN(B48,2026),$A$11:$A$22,0))</f>
        <v>458</v>
      </c>
      <c r="G48" s="1" t="n">
        <f aca="false">INDEX(CHOOSE($B$6,$B$11:$B$22,$C$11:$C$22,$D$11:$D$22,$E$11:$E$22,$F$11:$F$22),MATCH($B$7,$A$11:$A$22,0))</f>
        <v>458</v>
      </c>
      <c r="H48" s="1" t="n">
        <f aca="false">INDEX(CHOOSE($B$6,$B$11:$B$22,$C$11:$C$22,$D$11:$D$22,$E$11:$E$22,$F$11:$F$22),MATCH(2026,$A$11:$A$22,0))</f>
        <v>458</v>
      </c>
      <c r="I48" s="1" t="n">
        <f aca="false">INDEX($G$11:$G$22,MATCH(MIN(B48,2026),$A$11:$A$22,0))</f>
        <v>1066</v>
      </c>
      <c r="J48" s="1" t="n">
        <f aca="false">INDEX($G$11:$G$22,MATCH($B$7,$A$11:$A$22,0))</f>
        <v>1056</v>
      </c>
      <c r="K48" s="1" t="n">
        <f aca="false">INDEX($G$11:$G$22,MATCH(2026,$A$11:$A$22,0))</f>
        <v>1112</v>
      </c>
      <c r="L48" s="59" t="n">
        <f aca="false">(E48*H48/G48+(1-E48)*K48/J48)/(E48*F48/G48+(1-E48)*I48/J48)</f>
        <v>1.01951909476662</v>
      </c>
      <c r="M48" s="60" t="n">
        <f aca="false">C48*L48</f>
        <v>1028.38891089109</v>
      </c>
      <c r="N48" s="58" t="n">
        <f aca="false">E48*F48/G48/(E48*F48/G48+(1-E48)*I48/J48)</f>
        <v>0.547666195190948</v>
      </c>
      <c r="O48" s="59" t="n">
        <f aca="false">0.4*H48/F48+0.6*K48/I48</f>
        <v>1.02589118198874</v>
      </c>
      <c r="P48" s="60" t="n">
        <f aca="false">C48*H48/F48</f>
        <v>1008.7</v>
      </c>
    </row>
    <row r="49" customFormat="false" ht="15" hidden="false" customHeight="false" outlineLevel="0" collapsed="false">
      <c r="A49" s="56" t="s">
        <v>679</v>
      </c>
      <c r="B49" s="54" t="n">
        <v>2015</v>
      </c>
      <c r="C49" s="57" t="n">
        <v>1235.3</v>
      </c>
      <c r="D49" s="56" t="s">
        <v>1196</v>
      </c>
      <c r="E49" s="58" t="n">
        <f aca="false">IF(D49="utility",$B$4,$B$5)</f>
        <v>0.4</v>
      </c>
      <c r="F49" s="1" t="n">
        <f aca="false">INDEX(CHOOSE($B$6,$B$11:$B$22,$C$11:$C$22,$D$11:$D$22,$E$11:$E$22,$F$11:$F$22),MATCH(MIN(B49,2026),$A$11:$A$22,0))</f>
        <v>2102.5</v>
      </c>
      <c r="G49" s="1" t="n">
        <f aca="false">INDEX(CHOOSE($B$6,$B$11:$B$22,$C$11:$C$22,$D$11:$D$22,$E$11:$E$22,$F$11:$F$22),MATCH($B$7,$A$11:$A$22,0))</f>
        <v>458</v>
      </c>
      <c r="H49" s="1" t="n">
        <f aca="false">INDEX(CHOOSE($B$6,$B$11:$B$22,$C$11:$C$22,$D$11:$D$22,$E$11:$E$22,$F$11:$F$22),MATCH(2026,$A$11:$A$22,0))</f>
        <v>458</v>
      </c>
      <c r="I49" s="1" t="n">
        <f aca="false">INDEX($G$11:$G$22,MATCH(MIN(B49,2026),$A$11:$A$22,0))</f>
        <v>700</v>
      </c>
      <c r="J49" s="1" t="n">
        <f aca="false">INDEX($G$11:$G$22,MATCH($B$7,$A$11:$A$22,0))</f>
        <v>1056</v>
      </c>
      <c r="K49" s="1" t="n">
        <f aca="false">INDEX($G$11:$G$22,MATCH(2026,$A$11:$A$22,0))</f>
        <v>1112</v>
      </c>
      <c r="L49" s="59" t="n">
        <f aca="false">(E49*H49/G49+(1-E49)*K49/J49)/(E49*F49/G49+(1-E49)*I49/J49)</f>
        <v>0.461876096759146</v>
      </c>
      <c r="M49" s="60" t="n">
        <f aca="false">C49*L49</f>
        <v>570.555542326573</v>
      </c>
      <c r="N49" s="58" t="n">
        <f aca="false">E49*F49/G49/(E49*F49/G49+(1-E49)*I49/J49)</f>
        <v>0.821964059619272</v>
      </c>
      <c r="O49" s="59" t="n">
        <f aca="false">0.4*H49/F49+0.6*K49/I49</f>
        <v>1.04027722099541</v>
      </c>
      <c r="P49" s="60" t="n">
        <f aca="false">C49*H49/F49</f>
        <v>269.092699167658</v>
      </c>
    </row>
    <row r="50" customFormat="false" ht="15" hidden="false" customHeight="false" outlineLevel="0" collapsed="false">
      <c r="A50" s="56" t="s">
        <v>630</v>
      </c>
      <c r="B50" s="54" t="n">
        <v>2016</v>
      </c>
      <c r="C50" s="57" t="n">
        <v>1250</v>
      </c>
      <c r="D50" s="56" t="s">
        <v>1196</v>
      </c>
      <c r="E50" s="58" t="n">
        <f aca="false">IF(D50="utility",$B$4,$B$5)</f>
        <v>0.4</v>
      </c>
      <c r="F50" s="1" t="n">
        <f aca="false">INDEX(CHOOSE($B$6,$B$11:$B$22,$C$11:$C$22,$D$11:$D$22,$E$11:$E$22,$F$11:$F$22),MATCH(MIN(B50,2026),$A$11:$A$22,0))</f>
        <v>1269.9</v>
      </c>
      <c r="G50" s="1" t="n">
        <f aca="false">INDEX(CHOOSE($B$6,$B$11:$B$22,$C$11:$C$22,$D$11:$D$22,$E$11:$E$22,$F$11:$F$22),MATCH($B$7,$A$11:$A$22,0))</f>
        <v>458</v>
      </c>
      <c r="H50" s="1" t="n">
        <f aca="false">INDEX(CHOOSE($B$6,$B$11:$B$22,$C$11:$C$22,$D$11:$D$22,$E$11:$E$22,$F$11:$F$22),MATCH(2026,$A$11:$A$22,0))</f>
        <v>458</v>
      </c>
      <c r="I50" s="1" t="n">
        <f aca="false">INDEX($G$11:$G$22,MATCH(MIN(B50,2026),$A$11:$A$22,0))</f>
        <v>714</v>
      </c>
      <c r="J50" s="1" t="n">
        <f aca="false">INDEX($G$11:$G$22,MATCH($B$7,$A$11:$A$22,0))</f>
        <v>1056</v>
      </c>
      <c r="K50" s="1" t="n">
        <f aca="false">INDEX($G$11:$G$22,MATCH(2026,$A$11:$A$22,0))</f>
        <v>1112</v>
      </c>
      <c r="L50" s="59" t="n">
        <f aca="false">(E50*H50/G50+(1-E50)*K50/J50)/(E50*F50/G50+(1-E50)*I50/J50)</f>
        <v>0.681173862935758</v>
      </c>
      <c r="M50" s="60" t="n">
        <f aca="false">C50*L50</f>
        <v>851.467328669698</v>
      </c>
      <c r="N50" s="58" t="n">
        <f aca="false">E50*F50/G50/(E50*F50/G50+(1-E50)*I50/J50)</f>
        <v>0.732181641995523</v>
      </c>
      <c r="O50" s="59" t="n">
        <f aca="false">0.4*H50/F50+0.6*K50/I50</f>
        <v>1.07871710933369</v>
      </c>
      <c r="P50" s="60" t="n">
        <f aca="false">C50*H50/F50</f>
        <v>450.822899440901</v>
      </c>
    </row>
    <row r="51" customFormat="false" ht="15" hidden="false" customHeight="false" outlineLevel="0" collapsed="false">
      <c r="A51" s="56" t="s">
        <v>559</v>
      </c>
      <c r="B51" s="54" t="n">
        <v>2019</v>
      </c>
      <c r="C51" s="57" t="n">
        <v>1250</v>
      </c>
      <c r="D51" s="56" t="s">
        <v>1196</v>
      </c>
      <c r="E51" s="58" t="n">
        <f aca="false">IF(D51="utility",$B$4,$B$5)</f>
        <v>0.4</v>
      </c>
      <c r="F51" s="1" t="n">
        <f aca="false">INDEX(CHOOSE($B$6,$B$11:$B$22,$C$11:$C$22,$D$11:$D$22,$E$11:$E$22,$F$11:$F$22),MATCH(MIN(B51,2026),$A$11:$A$22,0))</f>
        <v>589</v>
      </c>
      <c r="G51" s="1" t="n">
        <f aca="false">INDEX(CHOOSE($B$6,$B$11:$B$22,$C$11:$C$22,$D$11:$D$22,$E$11:$E$22,$F$11:$F$22),MATCH($B$7,$A$11:$A$22,0))</f>
        <v>458</v>
      </c>
      <c r="H51" s="1" t="n">
        <f aca="false">INDEX(CHOOSE($B$6,$B$11:$B$22,$C$11:$C$22,$D$11:$D$22,$E$11:$E$22,$F$11:$F$22),MATCH(2026,$A$11:$A$22,0))</f>
        <v>458</v>
      </c>
      <c r="I51" s="1" t="n">
        <f aca="false">INDEX($G$11:$G$22,MATCH(MIN(B51,2026),$A$11:$A$22,0))</f>
        <v>760</v>
      </c>
      <c r="J51" s="1" t="n">
        <f aca="false">INDEX($G$11:$G$22,MATCH($B$7,$A$11:$A$22,0))</f>
        <v>1056</v>
      </c>
      <c r="K51" s="1" t="n">
        <f aca="false">INDEX($G$11:$G$22,MATCH(2026,$A$11:$A$22,0))</f>
        <v>1112</v>
      </c>
      <c r="L51" s="59" t="n">
        <f aca="false">(E51*H51/G51+(1-E51)*K51/J51)/(E51*F51/G51+(1-E51)*I51/J51)</f>
        <v>1.09045331543286</v>
      </c>
      <c r="M51" s="60" t="n">
        <f aca="false">C51*L51</f>
        <v>1363.06664429108</v>
      </c>
      <c r="N51" s="58" t="n">
        <f aca="false">E51*F51/G51/(E51*F51/G51+(1-E51)*I51/J51)</f>
        <v>0.543642885611798</v>
      </c>
      <c r="O51" s="59" t="n">
        <f aca="false">0.4*H51/F51+0.6*K51/I51</f>
        <v>1.18893039049236</v>
      </c>
      <c r="P51" s="60" t="n">
        <f aca="false">C51*H51/F51</f>
        <v>971.986417657046</v>
      </c>
    </row>
    <row r="52" customFormat="false" ht="15" hidden="false" customHeight="false" outlineLevel="0" collapsed="false">
      <c r="A52" s="56" t="s">
        <v>670</v>
      </c>
      <c r="B52" s="54" t="n">
        <v>2024</v>
      </c>
      <c r="C52" s="57" t="n">
        <v>1260</v>
      </c>
      <c r="D52" s="56" t="s">
        <v>1196</v>
      </c>
      <c r="E52" s="58" t="n">
        <f aca="false">IF(D52="utility",$B$4,$B$5)</f>
        <v>0.4</v>
      </c>
      <c r="F52" s="1" t="n">
        <f aca="false">INDEX(CHOOSE($B$6,$B$11:$B$22,$C$11:$C$22,$D$11:$D$22,$E$11:$E$22,$F$11:$F$22),MATCH(MIN(B52,2026),$A$11:$A$22,0))</f>
        <v>458</v>
      </c>
      <c r="G52" s="1" t="n">
        <f aca="false">INDEX(CHOOSE($B$6,$B$11:$B$22,$C$11:$C$22,$D$11:$D$22,$E$11:$E$22,$F$11:$F$22),MATCH($B$7,$A$11:$A$22,0))</f>
        <v>458</v>
      </c>
      <c r="H52" s="1" t="n">
        <f aca="false">INDEX(CHOOSE($B$6,$B$11:$B$22,$C$11:$C$22,$D$11:$D$22,$E$11:$E$22,$F$11:$F$22),MATCH(2026,$A$11:$A$22,0))</f>
        <v>458</v>
      </c>
      <c r="I52" s="1" t="n">
        <f aca="false">INDEX($G$11:$G$22,MATCH(MIN(B52,2026),$A$11:$A$22,0))</f>
        <v>1056</v>
      </c>
      <c r="J52" s="1" t="n">
        <f aca="false">INDEX($G$11:$G$22,MATCH($B$7,$A$11:$A$22,0))</f>
        <v>1056</v>
      </c>
      <c r="K52" s="1" t="n">
        <f aca="false">INDEX($G$11:$G$22,MATCH(2026,$A$11:$A$22,0))</f>
        <v>1112</v>
      </c>
      <c r="L52" s="59" t="n">
        <f aca="false">(E52*H52/G52+(1-E52)*K52/J52)/(E52*F52/G52+(1-E52)*I52/J52)</f>
        <v>1.03181818181818</v>
      </c>
      <c r="M52" s="60" t="n">
        <f aca="false">C52*L52</f>
        <v>1300.09090909091</v>
      </c>
      <c r="N52" s="58" t="n">
        <f aca="false">E52*F52/G52/(E52*F52/G52+(1-E52)*I52/J52)</f>
        <v>0.4</v>
      </c>
      <c r="O52" s="59" t="n">
        <f aca="false">0.4*H52/F52+0.6*K52/I52</f>
        <v>1.03181818181818</v>
      </c>
      <c r="P52" s="60" t="n">
        <f aca="false">C52*H52/F52</f>
        <v>1260</v>
      </c>
    </row>
    <row r="53" customFormat="false" ht="15" hidden="false" customHeight="false" outlineLevel="0" collapsed="false">
      <c r="A53" s="56" t="s">
        <v>456</v>
      </c>
      <c r="B53" s="54" t="n">
        <v>2022</v>
      </c>
      <c r="C53" s="57" t="n">
        <v>1289.5</v>
      </c>
      <c r="D53" s="56" t="s">
        <v>1196</v>
      </c>
      <c r="E53" s="58" t="n">
        <f aca="false">IF(D53="utility",$B$4,$B$5)</f>
        <v>0.4</v>
      </c>
      <c r="F53" s="1" t="n">
        <f aca="false">INDEX(CHOOSE($B$6,$B$11:$B$22,$C$11:$C$22,$D$11:$D$22,$E$11:$E$22,$F$11:$F$22),MATCH(MIN(B53,2026),$A$11:$A$22,0))</f>
        <v>395.8</v>
      </c>
      <c r="G53" s="1" t="n">
        <f aca="false">INDEX(CHOOSE($B$6,$B$11:$B$22,$C$11:$C$22,$D$11:$D$22,$E$11:$E$22,$F$11:$F$22),MATCH($B$7,$A$11:$A$22,0))</f>
        <v>458</v>
      </c>
      <c r="H53" s="1" t="n">
        <f aca="false">INDEX(CHOOSE($B$6,$B$11:$B$22,$C$11:$C$22,$D$11:$D$22,$E$11:$E$22,$F$11:$F$22),MATCH(2026,$A$11:$A$22,0))</f>
        <v>458</v>
      </c>
      <c r="I53" s="1" t="n">
        <f aca="false">INDEX($G$11:$G$22,MATCH(MIN(B53,2026),$A$11:$A$22,0))</f>
        <v>953</v>
      </c>
      <c r="J53" s="1" t="n">
        <f aca="false">INDEX($G$11:$G$22,MATCH($B$7,$A$11:$A$22,0))</f>
        <v>1056</v>
      </c>
      <c r="K53" s="1" t="n">
        <f aca="false">INDEX($G$11:$G$22,MATCH(2026,$A$11:$A$22,0))</f>
        <v>1112</v>
      </c>
      <c r="L53" s="59" t="n">
        <f aca="false">(E53*H53/G53+(1-E53)*K53/J53)/(E53*F53/G53+(1-E53)*I53/J53)</f>
        <v>1.1630652989468</v>
      </c>
      <c r="M53" s="60" t="n">
        <f aca="false">C53*L53</f>
        <v>1499.7727029919</v>
      </c>
      <c r="N53" s="58" t="n">
        <f aca="false">E53*F53/G53/(E53*F53/G53+(1-E53)*I53/J53)</f>
        <v>0.389646899836838</v>
      </c>
      <c r="O53" s="59" t="n">
        <f aca="false">0.4*H53/F53+0.6*K53/I53</f>
        <v>1.16296496211268</v>
      </c>
      <c r="P53" s="60" t="n">
        <f aca="false">C53*H53/F53</f>
        <v>1492.14502273876</v>
      </c>
    </row>
    <row r="54" customFormat="false" ht="15" hidden="false" customHeight="false" outlineLevel="0" collapsed="false">
      <c r="A54" s="56" t="s">
        <v>552</v>
      </c>
      <c r="B54" s="54" t="n">
        <v>2023</v>
      </c>
      <c r="C54" s="57" t="n">
        <v>1490</v>
      </c>
      <c r="D54" s="56" t="s">
        <v>1196</v>
      </c>
      <c r="E54" s="58" t="n">
        <f aca="false">IF(D54="utility",$B$4,$B$5)</f>
        <v>0.4</v>
      </c>
      <c r="F54" s="1" t="n">
        <f aca="false">INDEX(CHOOSE($B$6,$B$11:$B$22,$C$11:$C$22,$D$11:$D$22,$E$11:$E$22,$F$11:$F$22),MATCH(MIN(B54,2026),$A$11:$A$22,0))</f>
        <v>426.9</v>
      </c>
      <c r="G54" s="1" t="n">
        <f aca="false">INDEX(CHOOSE($B$6,$B$11:$B$22,$C$11:$C$22,$D$11:$D$22,$E$11:$E$22,$F$11:$F$22),MATCH($B$7,$A$11:$A$22,0))</f>
        <v>458</v>
      </c>
      <c r="H54" s="1" t="n">
        <f aca="false">INDEX(CHOOSE($B$6,$B$11:$B$22,$C$11:$C$22,$D$11:$D$22,$E$11:$E$22,$F$11:$F$22),MATCH(2026,$A$11:$A$22,0))</f>
        <v>458</v>
      </c>
      <c r="I54" s="1" t="n">
        <f aca="false">INDEX($G$11:$G$22,MATCH(MIN(B54,2026),$A$11:$A$22,0))</f>
        <v>1015</v>
      </c>
      <c r="J54" s="1" t="n">
        <f aca="false">INDEX($G$11:$G$22,MATCH($B$7,$A$11:$A$22,0))</f>
        <v>1056</v>
      </c>
      <c r="K54" s="1" t="n">
        <f aca="false">INDEX($G$11:$G$22,MATCH(2026,$A$11:$A$22,0))</f>
        <v>1112</v>
      </c>
      <c r="L54" s="59" t="n">
        <f aca="false">(E54*H54/G54+(1-E54)*K54/J54)/(E54*F54/G54+(1-E54)*I54/J54)</f>
        <v>1.08664716681674</v>
      </c>
      <c r="M54" s="60" t="n">
        <f aca="false">C54*L54</f>
        <v>1619.10427855694</v>
      </c>
      <c r="N54" s="58" t="n">
        <f aca="false">E54*F54/G54/(E54*F54/G54+(1-E54)*I54/J54)</f>
        <v>0.39265039960408</v>
      </c>
      <c r="O54" s="59" t="n">
        <f aca="false">0.4*H54/F54+0.6*K54/I54</f>
        <v>1.08648021536867</v>
      </c>
      <c r="P54" s="60" t="n">
        <f aca="false">C54*H54/F54</f>
        <v>1598.54766924338</v>
      </c>
    </row>
    <row r="55" customFormat="false" ht="15" hidden="false" customHeight="false" outlineLevel="0" collapsed="false">
      <c r="A55" s="56" t="s">
        <v>662</v>
      </c>
      <c r="B55" s="54" t="n">
        <v>2023</v>
      </c>
      <c r="C55" s="57" t="n">
        <v>1659.3</v>
      </c>
      <c r="D55" s="56" t="s">
        <v>1196</v>
      </c>
      <c r="E55" s="58" t="n">
        <f aca="false">IF(D55="utility",$B$4,$B$5)</f>
        <v>0.4</v>
      </c>
      <c r="F55" s="1" t="n">
        <f aca="false">INDEX(CHOOSE($B$6,$B$11:$B$22,$C$11:$C$22,$D$11:$D$22,$E$11:$E$22,$F$11:$F$22),MATCH(MIN(B55,2026),$A$11:$A$22,0))</f>
        <v>426.9</v>
      </c>
      <c r="G55" s="1" t="n">
        <f aca="false">INDEX(CHOOSE($B$6,$B$11:$B$22,$C$11:$C$22,$D$11:$D$22,$E$11:$E$22,$F$11:$F$22),MATCH($B$7,$A$11:$A$22,0))</f>
        <v>458</v>
      </c>
      <c r="H55" s="1" t="n">
        <f aca="false">INDEX(CHOOSE($B$6,$B$11:$B$22,$C$11:$C$22,$D$11:$D$22,$E$11:$E$22,$F$11:$F$22),MATCH(2026,$A$11:$A$22,0))</f>
        <v>458</v>
      </c>
      <c r="I55" s="1" t="n">
        <f aca="false">INDEX($G$11:$G$22,MATCH(MIN(B55,2026),$A$11:$A$22,0))</f>
        <v>1015</v>
      </c>
      <c r="J55" s="1" t="n">
        <f aca="false">INDEX($G$11:$G$22,MATCH($B$7,$A$11:$A$22,0))</f>
        <v>1056</v>
      </c>
      <c r="K55" s="1" t="n">
        <f aca="false">INDEX($G$11:$G$22,MATCH(2026,$A$11:$A$22,0))</f>
        <v>1112</v>
      </c>
      <c r="L55" s="59" t="n">
        <f aca="false">(E55*H55/G55+(1-E55)*K55/J55)/(E55*F55/G55+(1-E55)*I55/J55)</f>
        <v>1.08664716681674</v>
      </c>
      <c r="M55" s="60" t="n">
        <f aca="false">C55*L55</f>
        <v>1803.07364389902</v>
      </c>
      <c r="N55" s="58" t="n">
        <f aca="false">E55*F55/G55/(E55*F55/G55+(1-E55)*I55/J55)</f>
        <v>0.39265039960408</v>
      </c>
      <c r="O55" s="59" t="n">
        <f aca="false">0.4*H55/F55+0.6*K55/I55</f>
        <v>1.08648021536867</v>
      </c>
      <c r="P55" s="60" t="n">
        <f aca="false">C55*H55/F55</f>
        <v>1780.18130709768</v>
      </c>
    </row>
    <row r="56" customFormat="false" ht="15" hidden="false" customHeight="false" outlineLevel="0" collapsed="false">
      <c r="A56" s="56" t="s">
        <v>1134</v>
      </c>
      <c r="B56" s="54" t="n">
        <v>2020</v>
      </c>
      <c r="C56" s="57" t="n">
        <v>1666.7</v>
      </c>
      <c r="D56" s="56" t="s">
        <v>1196</v>
      </c>
      <c r="E56" s="58" t="n">
        <f aca="false">IF(D56="utility",$B$4,$B$5)</f>
        <v>0.4</v>
      </c>
      <c r="F56" s="1" t="n">
        <f aca="false">INDEX(CHOOSE($B$6,$B$11:$B$22,$C$11:$C$22,$D$11:$D$22,$E$11:$E$22,$F$11:$F$22),MATCH(MIN(B56,2026),$A$11:$A$22,0))</f>
        <v>645.1</v>
      </c>
      <c r="G56" s="1" t="n">
        <f aca="false">INDEX(CHOOSE($B$6,$B$11:$B$22,$C$11:$C$22,$D$11:$D$22,$E$11:$E$22,$F$11:$F$22),MATCH($B$7,$A$11:$A$22,0))</f>
        <v>458</v>
      </c>
      <c r="H56" s="1" t="n">
        <f aca="false">INDEX(CHOOSE($B$6,$B$11:$B$22,$C$11:$C$22,$D$11:$D$22,$E$11:$E$22,$F$11:$F$22),MATCH(2026,$A$11:$A$22,0))</f>
        <v>458</v>
      </c>
      <c r="I56" s="1" t="n">
        <f aca="false">INDEX($G$11:$G$22,MATCH(MIN(B56,2026),$A$11:$A$22,0))</f>
        <v>779</v>
      </c>
      <c r="J56" s="1" t="n">
        <f aca="false">INDEX($G$11:$G$22,MATCH($B$7,$A$11:$A$22,0))</f>
        <v>1056</v>
      </c>
      <c r="K56" s="1" t="n">
        <f aca="false">INDEX($G$11:$G$22,MATCH(2026,$A$11:$A$22,0))</f>
        <v>1112</v>
      </c>
      <c r="L56" s="59" t="n">
        <f aca="false">(E56*H56/G56+(1-E56)*K56/J56)/(E56*F56/G56+(1-E56)*I56/J56)</f>
        <v>1.02564406108327</v>
      </c>
      <c r="M56" s="60" t="n">
        <f aca="false">C56*L56</f>
        <v>1709.44095660748</v>
      </c>
      <c r="N56" s="58" t="n">
        <f aca="false">E56*F56/G56/(E56*F56/G56+(1-E56)*I56/J56)</f>
        <v>0.560034843841484</v>
      </c>
      <c r="O56" s="59" t="n">
        <f aca="false">0.4*H56/F56+0.6*K56/I56</f>
        <v>1.14046964885284</v>
      </c>
      <c r="P56" s="60" t="n">
        <f aca="false">C56*H56/F56</f>
        <v>1183.30274376066</v>
      </c>
    </row>
    <row r="57" customFormat="false" ht="15" hidden="false" customHeight="false" outlineLevel="0" collapsed="false">
      <c r="A57" s="56" t="s">
        <v>976</v>
      </c>
      <c r="B57" s="54" t="n">
        <v>2016</v>
      </c>
      <c r="C57" s="57" t="n">
        <v>1900</v>
      </c>
      <c r="D57" s="56" t="s">
        <v>1196</v>
      </c>
      <c r="E57" s="58" t="n">
        <f aca="false">IF(D57="utility",$B$4,$B$5)</f>
        <v>0.4</v>
      </c>
      <c r="F57" s="1" t="n">
        <f aca="false">INDEX(CHOOSE($B$6,$B$11:$B$22,$C$11:$C$22,$D$11:$D$22,$E$11:$E$22,$F$11:$F$22),MATCH(MIN(B57,2026),$A$11:$A$22,0))</f>
        <v>1269.9</v>
      </c>
      <c r="G57" s="1" t="n">
        <f aca="false">INDEX(CHOOSE($B$6,$B$11:$B$22,$C$11:$C$22,$D$11:$D$22,$E$11:$E$22,$F$11:$F$22),MATCH($B$7,$A$11:$A$22,0))</f>
        <v>458</v>
      </c>
      <c r="H57" s="1" t="n">
        <f aca="false">INDEX(CHOOSE($B$6,$B$11:$B$22,$C$11:$C$22,$D$11:$D$22,$E$11:$E$22,$F$11:$F$22),MATCH(2026,$A$11:$A$22,0))</f>
        <v>458</v>
      </c>
      <c r="I57" s="1" t="n">
        <f aca="false">INDEX($G$11:$G$22,MATCH(MIN(B57,2026),$A$11:$A$22,0))</f>
        <v>714</v>
      </c>
      <c r="J57" s="1" t="n">
        <f aca="false">INDEX($G$11:$G$22,MATCH($B$7,$A$11:$A$22,0))</f>
        <v>1056</v>
      </c>
      <c r="K57" s="1" t="n">
        <f aca="false">INDEX($G$11:$G$22,MATCH(2026,$A$11:$A$22,0))</f>
        <v>1112</v>
      </c>
      <c r="L57" s="59" t="n">
        <f aca="false">(E57*H57/G57+(1-E57)*K57/J57)/(E57*F57/G57+(1-E57)*I57/J57)</f>
        <v>0.681173862935758</v>
      </c>
      <c r="M57" s="60" t="n">
        <f aca="false">C57*L57</f>
        <v>1294.23033957794</v>
      </c>
      <c r="N57" s="58" t="n">
        <f aca="false">E57*F57/G57/(E57*F57/G57+(1-E57)*I57/J57)</f>
        <v>0.732181641995523</v>
      </c>
      <c r="O57" s="59" t="n">
        <f aca="false">0.4*H57/F57+0.6*K57/I57</f>
        <v>1.07871710933369</v>
      </c>
      <c r="P57" s="60" t="n">
        <f aca="false">C57*H57/F57</f>
        <v>685.250807150169</v>
      </c>
    </row>
    <row r="58" customFormat="false" ht="15" hidden="false" customHeight="false" outlineLevel="0" collapsed="false">
      <c r="A58" s="56" t="s">
        <v>985</v>
      </c>
      <c r="B58" s="54" t="n">
        <v>2018</v>
      </c>
      <c r="C58" s="57" t="n">
        <v>1920</v>
      </c>
      <c r="D58" s="56" t="s">
        <v>1196</v>
      </c>
      <c r="E58" s="58" t="n">
        <f aca="false">IF(D58="utility",$B$4,$B$5)</f>
        <v>0.4</v>
      </c>
      <c r="F58" s="1" t="n">
        <f aca="false">INDEX(CHOOSE($B$6,$B$11:$B$22,$C$11:$C$22,$D$11:$D$22,$E$11:$E$22,$F$11:$F$22),MATCH(MIN(B58,2026),$A$11:$A$22,0))</f>
        <v>625.2</v>
      </c>
      <c r="G58" s="1" t="n">
        <f aca="false">INDEX(CHOOSE($B$6,$B$11:$B$22,$C$11:$C$22,$D$11:$D$22,$E$11:$E$22,$F$11:$F$22),MATCH($B$7,$A$11:$A$22,0))</f>
        <v>458</v>
      </c>
      <c r="H58" s="1" t="n">
        <f aca="false">INDEX(CHOOSE($B$6,$B$11:$B$22,$C$11:$C$22,$D$11:$D$22,$E$11:$E$22,$F$11:$F$22),MATCH(2026,$A$11:$A$22,0))</f>
        <v>458</v>
      </c>
      <c r="I58" s="1" t="n">
        <f aca="false">INDEX($G$11:$G$22,MATCH(MIN(B58,2026),$A$11:$A$22,0))</f>
        <v>745</v>
      </c>
      <c r="J58" s="1" t="n">
        <f aca="false">INDEX($G$11:$G$22,MATCH($B$7,$A$11:$A$22,0))</f>
        <v>1056</v>
      </c>
      <c r="K58" s="1" t="n">
        <f aca="false">INDEX($G$11:$G$22,MATCH(2026,$A$11:$A$22,0))</f>
        <v>1112</v>
      </c>
      <c r="L58" s="59" t="n">
        <f aca="false">(E58*H58/G58+(1-E58)*K58/J58)/(E58*F58/G58+(1-E58)*I58/J58)</f>
        <v>1.06447449724247</v>
      </c>
      <c r="M58" s="60" t="n">
        <f aca="false">C58*L58</f>
        <v>2043.79103470554</v>
      </c>
      <c r="N58" s="58" t="n">
        <f aca="false">E58*F58/G58/(E58*F58/G58+(1-E58)*I58/J58)</f>
        <v>0.563307543807468</v>
      </c>
      <c r="O58" s="59" t="n">
        <f aca="false">0.4*H58/F58+0.6*K58/I58</f>
        <v>1.18859670140454</v>
      </c>
      <c r="P58" s="60" t="n">
        <f aca="false">C58*H58/F58</f>
        <v>1406.52591170825</v>
      </c>
    </row>
    <row r="59" customFormat="false" ht="15" hidden="false" customHeight="false" outlineLevel="0" collapsed="false">
      <c r="A59" s="56" t="s">
        <v>968</v>
      </c>
      <c r="B59" s="54" t="n">
        <v>2019</v>
      </c>
      <c r="C59" s="57" t="n">
        <v>2173.9</v>
      </c>
      <c r="D59" s="56" t="s">
        <v>1196</v>
      </c>
      <c r="E59" s="58" t="n">
        <f aca="false">IF(D59="utility",$B$4,$B$5)</f>
        <v>0.4</v>
      </c>
      <c r="F59" s="1" t="n">
        <f aca="false">INDEX(CHOOSE($B$6,$B$11:$B$22,$C$11:$C$22,$D$11:$D$22,$E$11:$E$22,$F$11:$F$22),MATCH(MIN(B59,2026),$A$11:$A$22,0))</f>
        <v>589</v>
      </c>
      <c r="G59" s="1" t="n">
        <f aca="false">INDEX(CHOOSE($B$6,$B$11:$B$22,$C$11:$C$22,$D$11:$D$22,$E$11:$E$22,$F$11:$F$22),MATCH($B$7,$A$11:$A$22,0))</f>
        <v>458</v>
      </c>
      <c r="H59" s="1" t="n">
        <f aca="false">INDEX(CHOOSE($B$6,$B$11:$B$22,$C$11:$C$22,$D$11:$D$22,$E$11:$E$22,$F$11:$F$22),MATCH(2026,$A$11:$A$22,0))</f>
        <v>458</v>
      </c>
      <c r="I59" s="1" t="n">
        <f aca="false">INDEX($G$11:$G$22,MATCH(MIN(B59,2026),$A$11:$A$22,0))</f>
        <v>760</v>
      </c>
      <c r="J59" s="1" t="n">
        <f aca="false">INDEX($G$11:$G$22,MATCH($B$7,$A$11:$A$22,0))</f>
        <v>1056</v>
      </c>
      <c r="K59" s="1" t="n">
        <f aca="false">INDEX($G$11:$G$22,MATCH(2026,$A$11:$A$22,0))</f>
        <v>1112</v>
      </c>
      <c r="L59" s="59" t="n">
        <f aca="false">(E59*H59/G59+(1-E59)*K59/J59)/(E59*F59/G59+(1-E59)*I59/J59)</f>
        <v>1.09045331543286</v>
      </c>
      <c r="M59" s="60" t="n">
        <f aca="false">C59*L59</f>
        <v>2370.5364624195</v>
      </c>
      <c r="N59" s="58" t="n">
        <f aca="false">E59*F59/G59/(E59*F59/G59+(1-E59)*I59/J59)</f>
        <v>0.543642885611798</v>
      </c>
      <c r="O59" s="59" t="n">
        <f aca="false">0.4*H59/F59+0.6*K59/I59</f>
        <v>1.18893039049236</v>
      </c>
      <c r="P59" s="60" t="n">
        <f aca="false">C59*H59/F59</f>
        <v>1690.40101867572</v>
      </c>
    </row>
    <row r="60" customFormat="false" ht="15" hidden="false" customHeight="false" outlineLevel="0" collapsed="false">
      <c r="A60" s="56" t="s">
        <v>584</v>
      </c>
      <c r="B60" s="54" t="n">
        <v>2016</v>
      </c>
      <c r="C60" s="57" t="n">
        <v>2545.5</v>
      </c>
      <c r="D60" s="56" t="s">
        <v>1196</v>
      </c>
      <c r="E60" s="58" t="n">
        <f aca="false">IF(D60="utility",$B$4,$B$5)</f>
        <v>0.4</v>
      </c>
      <c r="F60" s="1" t="n">
        <f aca="false">INDEX(CHOOSE($B$6,$B$11:$B$22,$C$11:$C$22,$D$11:$D$22,$E$11:$E$22,$F$11:$F$22),MATCH(MIN(B60,2026),$A$11:$A$22,0))</f>
        <v>1269.9</v>
      </c>
      <c r="G60" s="1" t="n">
        <f aca="false">INDEX(CHOOSE($B$6,$B$11:$B$22,$C$11:$C$22,$D$11:$D$22,$E$11:$E$22,$F$11:$F$22),MATCH($B$7,$A$11:$A$22,0))</f>
        <v>458</v>
      </c>
      <c r="H60" s="1" t="n">
        <f aca="false">INDEX(CHOOSE($B$6,$B$11:$B$22,$C$11:$C$22,$D$11:$D$22,$E$11:$E$22,$F$11:$F$22),MATCH(2026,$A$11:$A$22,0))</f>
        <v>458</v>
      </c>
      <c r="I60" s="1" t="n">
        <f aca="false">INDEX($G$11:$G$22,MATCH(MIN(B60,2026),$A$11:$A$22,0))</f>
        <v>714</v>
      </c>
      <c r="J60" s="1" t="n">
        <f aca="false">INDEX($G$11:$G$22,MATCH($B$7,$A$11:$A$22,0))</f>
        <v>1056</v>
      </c>
      <c r="K60" s="1" t="n">
        <f aca="false">INDEX($G$11:$G$22,MATCH(2026,$A$11:$A$22,0))</f>
        <v>1112</v>
      </c>
      <c r="L60" s="59" t="n">
        <f aca="false">(E60*H60/G60+(1-E60)*K60/J60)/(E60*F60/G60+(1-E60)*I60/J60)</f>
        <v>0.681173862935758</v>
      </c>
      <c r="M60" s="60" t="n">
        <f aca="false">C60*L60</f>
        <v>1733.92806810297</v>
      </c>
      <c r="N60" s="58" t="n">
        <f aca="false">E60*F60/G60/(E60*F60/G60+(1-E60)*I60/J60)</f>
        <v>0.732181641995523</v>
      </c>
      <c r="O60" s="59" t="n">
        <f aca="false">0.4*H60/F60+0.6*K60/I60</f>
        <v>1.07871710933369</v>
      </c>
      <c r="P60" s="60" t="n">
        <f aca="false">C60*H60/F60</f>
        <v>918.05575242145</v>
      </c>
    </row>
    <row r="61" customFormat="false" ht="15" hidden="false" customHeight="false" outlineLevel="0" collapsed="false">
      <c r="A61" s="56" t="s">
        <v>708</v>
      </c>
      <c r="B61" s="54" t="n">
        <v>2018</v>
      </c>
      <c r="C61" s="57" t="n">
        <v>2775</v>
      </c>
      <c r="D61" s="56" t="s">
        <v>1196</v>
      </c>
      <c r="E61" s="58" t="n">
        <f aca="false">IF(D61="utility",$B$4,$B$5)</f>
        <v>0.4</v>
      </c>
      <c r="F61" s="1" t="n">
        <f aca="false">INDEX(CHOOSE($B$6,$B$11:$B$22,$C$11:$C$22,$D$11:$D$22,$E$11:$E$22,$F$11:$F$22),MATCH(MIN(B61,2026),$A$11:$A$22,0))</f>
        <v>625.2</v>
      </c>
      <c r="G61" s="1" t="n">
        <f aca="false">INDEX(CHOOSE($B$6,$B$11:$B$22,$C$11:$C$22,$D$11:$D$22,$E$11:$E$22,$F$11:$F$22),MATCH($B$7,$A$11:$A$22,0))</f>
        <v>458</v>
      </c>
      <c r="H61" s="1" t="n">
        <f aca="false">INDEX(CHOOSE($B$6,$B$11:$B$22,$C$11:$C$22,$D$11:$D$22,$E$11:$E$22,$F$11:$F$22),MATCH(2026,$A$11:$A$22,0))</f>
        <v>458</v>
      </c>
      <c r="I61" s="1" t="n">
        <f aca="false">INDEX($G$11:$G$22,MATCH(MIN(B61,2026),$A$11:$A$22,0))</f>
        <v>745</v>
      </c>
      <c r="J61" s="1" t="n">
        <f aca="false">INDEX($G$11:$G$22,MATCH($B$7,$A$11:$A$22,0))</f>
        <v>1056</v>
      </c>
      <c r="K61" s="1" t="n">
        <f aca="false">INDEX($G$11:$G$22,MATCH(2026,$A$11:$A$22,0))</f>
        <v>1112</v>
      </c>
      <c r="L61" s="59" t="n">
        <f aca="false">(E61*H61/G61+(1-E61)*K61/J61)/(E61*F61/G61+(1-E61)*I61/J61)</f>
        <v>1.06447449724247</v>
      </c>
      <c r="M61" s="60" t="n">
        <f aca="false">C61*L61</f>
        <v>2953.91672984785</v>
      </c>
      <c r="N61" s="58" t="n">
        <f aca="false">E61*F61/G61/(E61*F61/G61+(1-E61)*I61/J61)</f>
        <v>0.563307543807468</v>
      </c>
      <c r="O61" s="59" t="n">
        <f aca="false">0.4*H61/F61+0.6*K61/I61</f>
        <v>1.18859670140454</v>
      </c>
      <c r="P61" s="60" t="n">
        <f aca="false">C61*H61/F61</f>
        <v>2032.86948176583</v>
      </c>
    </row>
    <row r="62" customFormat="false" ht="15" hidden="false" customHeight="false" outlineLevel="0" collapsed="false">
      <c r="A62" s="55" t="s">
        <v>200</v>
      </c>
      <c r="C62" s="61" t="n">
        <f aca="false">MEDIAN(C27:C61)</f>
        <v>750</v>
      </c>
      <c r="L62" s="59" t="n">
        <f aca="false">MEDIAN(L27:L61)</f>
        <v>1.02564406108327</v>
      </c>
      <c r="M62" s="61" t="n">
        <f aca="false">MEDIAN(M27:M61)</f>
        <v>742.413804809053</v>
      </c>
      <c r="P62" s="61" t="n">
        <f aca="false">MEDIAN(P27:P61)</f>
        <v>549.424184261036</v>
      </c>
    </row>
    <row r="63" customFormat="false" ht="15" hidden="false" customHeight="false" outlineLevel="0" collapsed="false">
      <c r="A63" s="56" t="s">
        <v>1197</v>
      </c>
      <c r="C63" s="58" t="n">
        <f aca="false">COUNTIF(C27:C61,"&lt;"&amp;833)/COUNT(C27:C61)</f>
        <v>0.571428571428571</v>
      </c>
      <c r="M63" s="58" t="n">
        <f aca="false">COUNTIF(M27:M61,"&lt;"&amp;833)/COUNT(M27:M61)</f>
        <v>0.571428571428571</v>
      </c>
      <c r="P63" s="58" t="n">
        <f aca="false">COUNTIF(P27:P61,"&lt;"&amp;833)/COUNT(P27:P61)</f>
        <v>0.685714285714286</v>
      </c>
    </row>
    <row r="64" customFormat="false" ht="15" hidden="false" customHeight="false" outlineLevel="0" collapsed="false">
      <c r="A64" s="56" t="s">
        <v>1198</v>
      </c>
      <c r="C64" s="58" t="n">
        <f aca="false">COUNTIF(C27:C61,"&lt;"&amp;1483)/COUNT(C27:C61)</f>
        <v>0.771428571428572</v>
      </c>
      <c r="M64" s="58" t="n">
        <f aca="false">COUNTIF(M27:M61,"&lt;"&amp;1483)/COUNT(M27:M61)</f>
        <v>0.771428571428572</v>
      </c>
      <c r="P64" s="58" t="n">
        <f aca="false">COUNTIF(P27:P61,"&lt;"&amp;1483)/COUNT(P27:P61)</f>
        <v>0.857142857142857</v>
      </c>
    </row>
    <row r="65" customFormat="false" ht="15" hidden="false" customHeight="false" outlineLevel="0" collapsed="false">
      <c r="A65" s="56" t="s">
        <v>1199</v>
      </c>
      <c r="C65" s="58" t="n">
        <f aca="false">COUNTIF(C27:C61,"&lt;"&amp;2862)/COUNT(C27:C61)</f>
        <v>1</v>
      </c>
      <c r="M65" s="58" t="n">
        <f aca="false">COUNTIF(M27:M61,"&lt;"&amp;2862)/COUNT(M27:M61)</f>
        <v>0.971428571428571</v>
      </c>
      <c r="P65" s="58" t="n">
        <f aca="false">COUNTIF(P27:P61,"&lt;"&amp;2862)/COUNT(P27:P61)</f>
        <v>1</v>
      </c>
    </row>
    <row r="66" customFormat="false" ht="15" hidden="false" customHeight="false" outlineLevel="0" collapsed="false">
      <c r="A66" s="52" t="s">
        <v>1200</v>
      </c>
    </row>
    <row r="68" customFormat="false" ht="15" hidden="false" customHeight="false" outlineLevel="0" collapsed="false">
      <c r="A68" s="55" t="s">
        <v>1201</v>
      </c>
    </row>
    <row r="69" customFormat="false" ht="15" hidden="false" customHeight="false" outlineLevel="0" collapsed="false">
      <c r="A69" s="35" t="s">
        <v>440</v>
      </c>
      <c r="B69" s="35" t="s">
        <v>441</v>
      </c>
      <c r="C69" s="35" t="s">
        <v>445</v>
      </c>
      <c r="D69" s="35" t="s">
        <v>446</v>
      </c>
      <c r="E69" s="35" t="s">
        <v>447</v>
      </c>
      <c r="F69" s="35" t="s">
        <v>1202</v>
      </c>
      <c r="G69" s="35" t="s">
        <v>87</v>
      </c>
      <c r="H69" s="35" t="s">
        <v>86</v>
      </c>
      <c r="I69" s="35" t="s">
        <v>1203</v>
      </c>
      <c r="J69" s="35" t="s">
        <v>449</v>
      </c>
      <c r="K69" s="35" t="s">
        <v>211</v>
      </c>
      <c r="L69" s="35" t="s">
        <v>203</v>
      </c>
    </row>
    <row r="70" customFormat="false" ht="15" hidden="false" customHeight="false" outlineLevel="0" collapsed="false">
      <c r="A70" s="56" t="s">
        <v>1204</v>
      </c>
      <c r="B70" s="56" t="s">
        <v>903</v>
      </c>
      <c r="C70" s="54" t="n">
        <v>9.8</v>
      </c>
      <c r="D70" s="54" t="n">
        <v>39.1</v>
      </c>
      <c r="E70" s="54" t="n">
        <v>2025</v>
      </c>
      <c r="F70" s="57" t="n">
        <v>43384000</v>
      </c>
      <c r="G70" s="62" t="n">
        <f aca="false">F70/D70/1000</f>
        <v>1109.5652173913</v>
      </c>
      <c r="H70" s="62" t="n">
        <f aca="false">F70/C70/1000</f>
        <v>4426.9387755102</v>
      </c>
      <c r="I70" s="63" t="n">
        <f aca="false">D70/C70</f>
        <v>3.98979591836735</v>
      </c>
      <c r="J70" s="56" t="s">
        <v>1205</v>
      </c>
      <c r="K70" s="56" t="s">
        <v>199</v>
      </c>
      <c r="L70" s="56" t="s">
        <v>797</v>
      </c>
    </row>
    <row r="71" customFormat="false" ht="15" hidden="false" customHeight="false" outlineLevel="0" collapsed="false">
      <c r="A71" s="56" t="s">
        <v>1206</v>
      </c>
      <c r="B71" s="56" t="s">
        <v>1207</v>
      </c>
      <c r="C71" s="54" t="n">
        <v>15.1</v>
      </c>
      <c r="D71" s="54" t="n">
        <v>60.4</v>
      </c>
      <c r="E71" s="54" t="n">
        <v>2025</v>
      </c>
      <c r="F71" s="57" t="n">
        <v>31650000</v>
      </c>
      <c r="G71" s="62" t="n">
        <f aca="false">F71/D71/1000</f>
        <v>524.006622516556</v>
      </c>
      <c r="H71" s="62" t="n">
        <f aca="false">F71/C71/1000</f>
        <v>2096.02649006623</v>
      </c>
      <c r="I71" s="63" t="n">
        <f aca="false">D71/C71</f>
        <v>4</v>
      </c>
      <c r="J71" s="56" t="s">
        <v>1208</v>
      </c>
      <c r="K71" s="56" t="s">
        <v>199</v>
      </c>
      <c r="L71" s="56" t="s">
        <v>804</v>
      </c>
    </row>
    <row r="72" customFormat="false" ht="15" hidden="false" customHeight="false" outlineLevel="0" collapsed="false">
      <c r="A72" s="56" t="s">
        <v>1209</v>
      </c>
      <c r="B72" s="56" t="s">
        <v>931</v>
      </c>
      <c r="C72" s="54" t="n">
        <v>5</v>
      </c>
      <c r="D72" s="54" t="n">
        <v>20</v>
      </c>
      <c r="E72" s="54" t="n">
        <v>2025</v>
      </c>
      <c r="F72" s="57" t="n">
        <v>16104493</v>
      </c>
      <c r="G72" s="62" t="n">
        <f aca="false">F72/D72/1000</f>
        <v>805.22465</v>
      </c>
      <c r="H72" s="62" t="n">
        <f aca="false">F72/C72/1000</f>
        <v>3220.8986</v>
      </c>
      <c r="I72" s="63" t="n">
        <f aca="false">D72/C72</f>
        <v>4</v>
      </c>
      <c r="J72" s="56" t="s">
        <v>1210</v>
      </c>
      <c r="K72" s="56" t="s">
        <v>1211</v>
      </c>
      <c r="L72" s="56" t="s">
        <v>810</v>
      </c>
    </row>
    <row r="73" customFormat="false" ht="15" hidden="false" customHeight="false" outlineLevel="0" collapsed="false">
      <c r="A73" s="56" t="s">
        <v>1212</v>
      </c>
      <c r="B73" s="56" t="s">
        <v>903</v>
      </c>
      <c r="C73" s="54" t="n">
        <v>124</v>
      </c>
      <c r="D73" s="54" t="n">
        <v>494</v>
      </c>
      <c r="E73" s="54" t="n">
        <v>2027</v>
      </c>
      <c r="F73" s="57" t="n">
        <v>431000000</v>
      </c>
      <c r="G73" s="62" t="n">
        <f aca="false">F73/D73/1000</f>
        <v>872.46963562753</v>
      </c>
      <c r="H73" s="62" t="n">
        <f aca="false">F73/C73/1000</f>
        <v>3475.8064516129</v>
      </c>
      <c r="I73" s="63" t="n">
        <f aca="false">D73/C73</f>
        <v>3.98387096774194</v>
      </c>
      <c r="J73" s="56" t="s">
        <v>1213</v>
      </c>
      <c r="K73" s="56" t="s">
        <v>1214</v>
      </c>
      <c r="L73" s="56" t="s">
        <v>1215</v>
      </c>
    </row>
    <row r="74" customFormat="false" ht="15" hidden="false" customHeight="false" outlineLevel="0" collapsed="false">
      <c r="A74" s="56" t="s">
        <v>1216</v>
      </c>
      <c r="B74" s="56" t="s">
        <v>1217</v>
      </c>
      <c r="E74" s="54" t="n">
        <v>2023</v>
      </c>
      <c r="G74" s="57" t="n">
        <v>567</v>
      </c>
      <c r="J74" s="56" t="s">
        <v>1218</v>
      </c>
      <c r="K74" s="56" t="s">
        <v>199</v>
      </c>
    </row>
    <row r="75" customFormat="false" ht="15" hidden="false" customHeight="false" outlineLevel="0" collapsed="false">
      <c r="A75" s="56" t="s">
        <v>1219</v>
      </c>
      <c r="B75" s="56" t="s">
        <v>1217</v>
      </c>
      <c r="E75" s="54" t="n">
        <v>2021</v>
      </c>
      <c r="G75" s="57" t="n">
        <v>464</v>
      </c>
      <c r="J75" s="56" t="s">
        <v>391</v>
      </c>
      <c r="K75" s="56" t="s">
        <v>199</v>
      </c>
    </row>
    <row r="76" customFormat="false" ht="15" hidden="false" customHeight="false" outlineLevel="0" collapsed="false">
      <c r="A76" s="56" t="s">
        <v>1220</v>
      </c>
      <c r="C76" s="54" t="n">
        <v>161</v>
      </c>
      <c r="F76" s="57" t="n">
        <v>21000000</v>
      </c>
      <c r="J76" s="56" t="s">
        <v>1221</v>
      </c>
    </row>
    <row r="77" customFormat="false" ht="15" hidden="false" customHeight="false" outlineLevel="0" collapsed="false">
      <c r="A77" s="52" t="s">
        <v>1222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4"/>
    <col collapsed="false" customWidth="true" hidden="false" outlineLevel="0" max="2" min="2" style="0" width="16"/>
    <col collapsed="false" customWidth="true" hidden="false" outlineLevel="0" max="3" min="3" style="0" width="12"/>
    <col collapsed="false" customWidth="true" hidden="false" outlineLevel="0" max="4" min="4" style="0" width="30"/>
    <col collapsed="false" customWidth="true" hidden="false" outlineLevel="0" max="5" min="5" style="0" width="14"/>
    <col collapsed="false" customWidth="true" hidden="false" outlineLevel="0" max="6" min="6" style="0" width="12"/>
    <col collapsed="false" customWidth="true" hidden="false" outlineLevel="0" max="8" min="7" style="0" width="16"/>
    <col collapsed="false" customWidth="true" hidden="false" outlineLevel="0" max="11" min="9" style="0" width="14"/>
  </cols>
  <sheetData>
    <row r="1" customFormat="false" ht="17.35" hidden="false" customHeight="false" outlineLevel="0" collapsed="false">
      <c r="A1" s="51" t="s">
        <v>1223</v>
      </c>
    </row>
    <row r="2" customFormat="false" ht="15" hidden="false" customHeight="false" outlineLevel="0" collapsed="false">
      <c r="A2" s="52" t="s">
        <v>1224</v>
      </c>
    </row>
    <row r="4" customFormat="false" ht="15" hidden="false" customHeight="false" outlineLevel="0" collapsed="false">
      <c r="A4" s="55" t="s">
        <v>1225</v>
      </c>
    </row>
    <row r="5" customFormat="false" ht="35.05" hidden="false" customHeight="false" outlineLevel="0" collapsed="false">
      <c r="A5" s="35" t="s">
        <v>204</v>
      </c>
      <c r="B5" s="35" t="s">
        <v>1226</v>
      </c>
      <c r="C5" s="35" t="s">
        <v>1227</v>
      </c>
      <c r="D5" s="35" t="s">
        <v>1228</v>
      </c>
      <c r="E5" s="35" t="s">
        <v>1229</v>
      </c>
      <c r="F5" s="35" t="s">
        <v>1230</v>
      </c>
      <c r="G5" s="35" t="s">
        <v>1231</v>
      </c>
      <c r="H5" s="35" t="s">
        <v>1179</v>
      </c>
      <c r="I5" s="35" t="s">
        <v>1232</v>
      </c>
      <c r="J5" s="35" t="s">
        <v>1233</v>
      </c>
      <c r="K5" s="35" t="s">
        <v>1234</v>
      </c>
    </row>
    <row r="6" customFormat="false" ht="15" hidden="false" customHeight="false" outlineLevel="0" collapsed="false">
      <c r="A6" s="56" t="n">
        <v>2015</v>
      </c>
      <c r="B6" s="54" t="n">
        <v>2102.5</v>
      </c>
      <c r="C6" s="54" t="n">
        <v>46.7</v>
      </c>
      <c r="D6" s="54" t="n">
        <v>180.61</v>
      </c>
      <c r="E6" s="54" t="n">
        <v>218.93</v>
      </c>
      <c r="F6" s="56" t="n">
        <v>10737</v>
      </c>
      <c r="G6" s="54" t="n">
        <v>109.36</v>
      </c>
      <c r="H6" s="54" t="n">
        <v>700</v>
      </c>
      <c r="I6" s="54" t="n">
        <v>780</v>
      </c>
      <c r="J6" s="56" t="n">
        <v>124.6</v>
      </c>
      <c r="K6" s="54" t="n">
        <v>211.39</v>
      </c>
    </row>
    <row r="7" customFormat="false" ht="15" hidden="false" customHeight="false" outlineLevel="0" collapsed="false">
      <c r="A7" s="56" t="n">
        <v>2016</v>
      </c>
      <c r="B7" s="54" t="n">
        <v>1269.9</v>
      </c>
      <c r="C7" s="54" t="n">
        <v>48.2</v>
      </c>
      <c r="D7" s="54" t="n">
        <v>175.18</v>
      </c>
      <c r="E7" s="54" t="n">
        <v>219.68</v>
      </c>
      <c r="F7" s="56" t="n">
        <v>10737</v>
      </c>
      <c r="G7" s="54" t="n">
        <v>111.47</v>
      </c>
      <c r="H7" s="54" t="n">
        <v>714</v>
      </c>
      <c r="I7" s="54" t="n">
        <v>791</v>
      </c>
      <c r="J7" s="54" t="n">
        <v>124.6</v>
      </c>
      <c r="K7" s="54" t="n">
        <v>207.88</v>
      </c>
    </row>
    <row r="8" customFormat="false" ht="15" hidden="false" customHeight="false" outlineLevel="0" collapsed="false">
      <c r="A8" s="56" t="n">
        <v>2017</v>
      </c>
      <c r="B8" s="54" t="n">
        <v>833.9</v>
      </c>
      <c r="C8" s="54" t="n">
        <v>49.7</v>
      </c>
      <c r="D8" s="54" t="n">
        <v>181.78</v>
      </c>
      <c r="E8" s="54" t="n">
        <v>220.67</v>
      </c>
      <c r="F8" s="54" t="n">
        <v>10737</v>
      </c>
      <c r="G8" s="54" t="n">
        <v>114.01</v>
      </c>
      <c r="H8" s="54" t="n">
        <v>711</v>
      </c>
      <c r="I8" s="54" t="n">
        <v>824</v>
      </c>
      <c r="J8" s="56" t="n">
        <v>128.3</v>
      </c>
      <c r="K8" s="54" t="n">
        <v>216.38</v>
      </c>
    </row>
    <row r="9" customFormat="false" ht="15" hidden="false" customHeight="false" outlineLevel="0" collapsed="false">
      <c r="A9" s="56" t="n">
        <v>2018</v>
      </c>
      <c r="B9" s="54" t="n">
        <v>625.2</v>
      </c>
      <c r="C9" s="54" t="n">
        <v>51.34</v>
      </c>
      <c r="D9" s="54" t="n">
        <v>191.56</v>
      </c>
      <c r="E9" s="54" t="n">
        <v>225.05</v>
      </c>
      <c r="F9" s="54" t="n">
        <v>11062</v>
      </c>
      <c r="G9" s="54" t="n">
        <v>116.98</v>
      </c>
      <c r="H9" s="54" t="n">
        <v>745</v>
      </c>
      <c r="I9" s="54" t="n">
        <v>868</v>
      </c>
      <c r="J9" s="56" t="n">
        <v>132</v>
      </c>
      <c r="K9" s="54" t="n">
        <v>231.08</v>
      </c>
    </row>
    <row r="10" customFormat="false" ht="15" hidden="false" customHeight="false" outlineLevel="0" collapsed="false">
      <c r="A10" s="56" t="n">
        <v>2019</v>
      </c>
      <c r="B10" s="54" t="n">
        <v>589</v>
      </c>
      <c r="C10" s="56" t="n">
        <v>52.9</v>
      </c>
      <c r="D10" s="54" t="n">
        <v>195.39</v>
      </c>
      <c r="E10" s="54" t="n">
        <v>231.16</v>
      </c>
      <c r="F10" s="56" t="n">
        <v>11484.6</v>
      </c>
      <c r="G10" s="54" t="n">
        <v>120.03</v>
      </c>
      <c r="H10" s="54" t="n">
        <v>760</v>
      </c>
      <c r="I10" s="54" t="n">
        <v>894</v>
      </c>
      <c r="J10" s="56" t="n">
        <v>135.7</v>
      </c>
      <c r="K10" s="54" t="n">
        <v>231.18</v>
      </c>
    </row>
    <row r="11" customFormat="false" ht="15" hidden="false" customHeight="false" outlineLevel="0" collapsed="false">
      <c r="A11" s="56" t="n">
        <v>2020</v>
      </c>
      <c r="B11" s="54" t="n">
        <v>645.1</v>
      </c>
      <c r="C11" s="54" t="n">
        <v>54.45</v>
      </c>
      <c r="D11" s="54" t="n">
        <v>198.02</v>
      </c>
      <c r="E11" s="54" t="n">
        <v>235.72</v>
      </c>
      <c r="F11" s="56" t="n">
        <v>11907.2</v>
      </c>
      <c r="G11" s="54" t="n">
        <v>120.53</v>
      </c>
      <c r="H11" s="54" t="n">
        <v>779</v>
      </c>
      <c r="I11" s="54" t="n">
        <v>927</v>
      </c>
      <c r="J11" s="54" t="n">
        <v>139.4</v>
      </c>
      <c r="K11" s="54" t="n">
        <v>228.15</v>
      </c>
    </row>
    <row r="12" customFormat="false" ht="15" hidden="false" customHeight="false" outlineLevel="0" collapsed="false">
      <c r="A12" s="56" t="n">
        <v>2021</v>
      </c>
      <c r="B12" s="54" t="n">
        <v>671.3</v>
      </c>
      <c r="C12" s="56" t="n">
        <v>56.37</v>
      </c>
      <c r="D12" s="54" t="n">
        <v>232.29</v>
      </c>
      <c r="E12" s="54" t="n">
        <v>246.65</v>
      </c>
      <c r="F12" s="56" t="n">
        <v>12329.8</v>
      </c>
      <c r="G12" s="54" t="n">
        <v>124.06</v>
      </c>
      <c r="H12" s="54" t="n">
        <v>861</v>
      </c>
      <c r="I12" s="54" t="n">
        <v>1003</v>
      </c>
      <c r="J12" s="54" t="n">
        <v>144.8</v>
      </c>
      <c r="K12" s="54" t="n">
        <v>271.16</v>
      </c>
    </row>
    <row r="13" customFormat="false" ht="15" hidden="false" customHeight="false" outlineLevel="0" collapsed="false">
      <c r="A13" s="56" t="n">
        <v>2022</v>
      </c>
      <c r="B13" s="54" t="n">
        <v>395.8</v>
      </c>
      <c r="C13" s="54" t="n">
        <v>58.28</v>
      </c>
      <c r="D13" s="54" t="n">
        <v>312.64</v>
      </c>
      <c r="E13" s="54" t="n">
        <v>293.31</v>
      </c>
      <c r="F13" s="56" t="n">
        <v>12752.4</v>
      </c>
      <c r="G13" s="54" t="n">
        <v>130.88</v>
      </c>
      <c r="H13" s="54" t="n">
        <v>953</v>
      </c>
      <c r="I13" s="54" t="n">
        <v>1150</v>
      </c>
      <c r="J13" s="56" t="n">
        <v>152.65</v>
      </c>
      <c r="K13" s="54" t="n">
        <v>321.11</v>
      </c>
    </row>
    <row r="14" customFormat="false" ht="15" hidden="false" customHeight="false" outlineLevel="0" collapsed="false">
      <c r="A14" s="56" t="n">
        <v>2023</v>
      </c>
      <c r="B14" s="56" t="n">
        <v>426.9</v>
      </c>
      <c r="C14" s="54" t="n">
        <v>59.23</v>
      </c>
      <c r="D14" s="54" t="n">
        <v>332.66</v>
      </c>
      <c r="E14" s="54" t="n">
        <v>320.84</v>
      </c>
      <c r="F14" s="54" t="n">
        <v>13175</v>
      </c>
      <c r="G14" s="54" t="n">
        <v>135.72</v>
      </c>
      <c r="H14" s="54" t="n">
        <v>1015</v>
      </c>
      <c r="I14" s="54" t="n">
        <v>1273</v>
      </c>
      <c r="J14" s="54" t="n">
        <v>160.5</v>
      </c>
      <c r="K14" s="54" t="n">
        <v>319.2</v>
      </c>
    </row>
    <row r="15" customFormat="false" ht="15" hidden="false" customHeight="false" outlineLevel="0" collapsed="false">
      <c r="A15" s="56" t="n">
        <v>2024</v>
      </c>
      <c r="B15" s="54" t="n">
        <v>458</v>
      </c>
      <c r="C15" s="54" t="n">
        <v>61.86</v>
      </c>
      <c r="D15" s="56" t="n">
        <v>342.33</v>
      </c>
      <c r="E15" s="56" t="n">
        <v>350.42</v>
      </c>
      <c r="F15" s="54" t="n">
        <v>13532</v>
      </c>
      <c r="G15" s="56" t="n">
        <v>139.61</v>
      </c>
      <c r="H15" s="54" t="n">
        <v>1056</v>
      </c>
      <c r="I15" s="54" t="n">
        <v>1324</v>
      </c>
      <c r="J15" s="56" t="n">
        <v>163.5</v>
      </c>
      <c r="K15" s="56" t="n">
        <v>323.75</v>
      </c>
    </row>
    <row r="16" customFormat="false" ht="15" hidden="false" customHeight="false" outlineLevel="0" collapsed="false">
      <c r="A16" s="56" t="n">
        <v>2025</v>
      </c>
      <c r="B16" s="56" t="n">
        <v>458</v>
      </c>
      <c r="C16" s="54" t="n">
        <v>64.26</v>
      </c>
      <c r="D16" s="54" t="n">
        <v>352</v>
      </c>
      <c r="E16" s="54" t="n">
        <v>380</v>
      </c>
      <c r="F16" s="54" t="n">
        <v>13844</v>
      </c>
      <c r="G16" s="54" t="n">
        <v>143.5</v>
      </c>
      <c r="H16" s="54" t="n">
        <v>1066</v>
      </c>
      <c r="I16" s="54" t="n">
        <v>1337</v>
      </c>
      <c r="J16" s="54" t="n">
        <v>166.5</v>
      </c>
      <c r="K16" s="54" t="n">
        <v>328.3</v>
      </c>
    </row>
    <row r="17" customFormat="false" ht="15" hidden="false" customHeight="false" outlineLevel="0" collapsed="false">
      <c r="A17" s="56" t="n">
        <v>2026</v>
      </c>
      <c r="B17" s="56" t="n">
        <v>458</v>
      </c>
      <c r="C17" s="54" t="n">
        <v>66.86</v>
      </c>
      <c r="D17" s="54" t="n">
        <v>363</v>
      </c>
      <c r="E17" s="54" t="n">
        <v>412</v>
      </c>
      <c r="F17" s="54" t="n">
        <v>13928</v>
      </c>
      <c r="G17" s="54" t="n">
        <v>147.5</v>
      </c>
      <c r="H17" s="54" t="n">
        <v>1112</v>
      </c>
      <c r="I17" s="54" t="n">
        <v>1395</v>
      </c>
      <c r="J17" s="54" t="n">
        <v>171.2</v>
      </c>
      <c r="K17" s="56" t="n">
        <v>328.3</v>
      </c>
    </row>
    <row r="18" customFormat="false" ht="15" hidden="false" customHeight="false" outlineLevel="0" collapsed="false">
      <c r="A18" s="55" t="s">
        <v>1235</v>
      </c>
      <c r="B18" s="64" t="n">
        <f aca="false">B17/B9</f>
        <v>0.732565579014715</v>
      </c>
      <c r="C18" s="64" t="n">
        <f aca="false">C17/C9</f>
        <v>1.30229840280483</v>
      </c>
      <c r="D18" s="64" t="n">
        <f aca="false">D17/D9</f>
        <v>1.89496763416162</v>
      </c>
      <c r="E18" s="64" t="n">
        <f aca="false">E17/E9</f>
        <v>1.83070428793601</v>
      </c>
      <c r="F18" s="64" t="n">
        <f aca="false">F17/F9</f>
        <v>1.25908515639125</v>
      </c>
      <c r="G18" s="64" t="n">
        <f aca="false">G17/G9</f>
        <v>1.26089929902547</v>
      </c>
      <c r="H18" s="64" t="n">
        <f aca="false">H17/H9</f>
        <v>1.49261744966443</v>
      </c>
      <c r="I18" s="64" t="n">
        <f aca="false">I17/I9</f>
        <v>1.60714285714286</v>
      </c>
      <c r="J18" s="64" t="n">
        <f aca="false">J17/J9</f>
        <v>1.2969696969697</v>
      </c>
      <c r="K18" s="64" t="n">
        <f aca="false">K17/K9</f>
        <v>1.42072009693613</v>
      </c>
    </row>
    <row r="19" customFormat="false" ht="15" hidden="false" customHeight="false" outlineLevel="0" collapsed="false">
      <c r="A19" s="52" t="s">
        <v>1236</v>
      </c>
    </row>
    <row r="21" customFormat="false" ht="15" hidden="false" customHeight="false" outlineLevel="0" collapsed="false">
      <c r="A21" s="55" t="s">
        <v>1237</v>
      </c>
    </row>
    <row r="22" customFormat="false" ht="23.85" hidden="false" customHeight="false" outlineLevel="0" collapsed="false">
      <c r="A22" s="35" t="s">
        <v>41</v>
      </c>
      <c r="B22" s="35" t="s">
        <v>1238</v>
      </c>
      <c r="C22" s="35" t="s">
        <v>1239</v>
      </c>
      <c r="D22" s="35" t="s">
        <v>1240</v>
      </c>
      <c r="E22" s="35" t="s">
        <v>1235</v>
      </c>
      <c r="F22" s="35" t="s">
        <v>1241</v>
      </c>
    </row>
    <row r="23" customFormat="false" ht="15" hidden="false" customHeight="false" outlineLevel="0" collapsed="false">
      <c r="A23" s="56" t="s">
        <v>48</v>
      </c>
      <c r="B23" s="62" t="n">
        <v>21893672</v>
      </c>
      <c r="C23" s="65" t="n">
        <f aca="false">B23/SUM($B$23:$B$31)</f>
        <v>0.382438624790611</v>
      </c>
      <c r="D23" s="54" t="s">
        <v>1226</v>
      </c>
      <c r="E23" s="59" t="n">
        <f aca="false">B18</f>
        <v>0.732565579014715</v>
      </c>
      <c r="F23" s="66" t="n">
        <f aca="false">C23/E23</f>
        <v>0.522053773404127</v>
      </c>
    </row>
    <row r="24" customFormat="false" ht="15" hidden="false" customHeight="false" outlineLevel="0" collapsed="false">
      <c r="A24" s="56" t="s">
        <v>50</v>
      </c>
      <c r="B24" s="62" t="n">
        <v>2921177</v>
      </c>
      <c r="C24" s="65" t="n">
        <f aca="false">B24/SUM($B$23:$B$31)</f>
        <v>0.0510271148051347</v>
      </c>
      <c r="D24" s="54" t="s">
        <v>1227</v>
      </c>
      <c r="E24" s="59" t="n">
        <f aca="false">C18</f>
        <v>1.30229840280483</v>
      </c>
      <c r="F24" s="66" t="n">
        <f aca="false">C24/E24</f>
        <v>0.0391823522897938</v>
      </c>
    </row>
    <row r="25" customFormat="false" ht="15" hidden="false" customHeight="false" outlineLevel="0" collapsed="false">
      <c r="A25" s="56" t="s">
        <v>52</v>
      </c>
      <c r="B25" s="62" t="n">
        <v>3257316</v>
      </c>
      <c r="C25" s="65" t="n">
        <f aca="false">B25/SUM($B$23:$B$31)</f>
        <v>0.0568987902782345</v>
      </c>
      <c r="D25" s="54" t="s">
        <v>1228</v>
      </c>
      <c r="E25" s="59" t="n">
        <f aca="false">D18</f>
        <v>1.89496763416162</v>
      </c>
      <c r="F25" s="66" t="n">
        <f aca="false">C25/E25</f>
        <v>0.0300262596851201</v>
      </c>
    </row>
    <row r="26" customFormat="false" ht="15" hidden="false" customHeight="false" outlineLevel="0" collapsed="false">
      <c r="A26" s="56" t="s">
        <v>54</v>
      </c>
      <c r="B26" s="62" t="n">
        <v>6482343</v>
      </c>
      <c r="C26" s="65" t="n">
        <f aca="false">B26/SUM($B$23:$B$31)</f>
        <v>0.113233556360077</v>
      </c>
      <c r="D26" s="54" t="s">
        <v>1229</v>
      </c>
      <c r="E26" s="59" t="n">
        <f aca="false">E18</f>
        <v>1.83070428793601</v>
      </c>
      <c r="F26" s="66" t="n">
        <f aca="false">C26/E26</f>
        <v>0.061852455968047</v>
      </c>
    </row>
    <row r="27" customFormat="false" ht="15" hidden="false" customHeight="false" outlineLevel="0" collapsed="false">
      <c r="A27" s="56" t="s">
        <v>56</v>
      </c>
      <c r="B27" s="62" t="n">
        <v>4534730</v>
      </c>
      <c r="C27" s="65" t="n">
        <f aca="false">B27/SUM($B$23:$B$31)</f>
        <v>0.0792126558302658</v>
      </c>
      <c r="D27" s="54" t="s">
        <v>1230</v>
      </c>
      <c r="E27" s="59" t="n">
        <f aca="false">F18</f>
        <v>1.25908515639125</v>
      </c>
      <c r="F27" s="66" t="n">
        <f aca="false">C27/E27</f>
        <v>0.0629128660823091</v>
      </c>
    </row>
    <row r="28" customFormat="false" ht="15" hidden="false" customHeight="false" outlineLevel="0" collapsed="false">
      <c r="A28" s="56" t="s">
        <v>58</v>
      </c>
      <c r="B28" s="62" t="n">
        <v>7253162</v>
      </c>
      <c r="C28" s="65" t="n">
        <f aca="false">B28/SUM($B$23:$B$31)</f>
        <v>0.126698221324569</v>
      </c>
      <c r="D28" s="54" t="s">
        <v>1227</v>
      </c>
      <c r="E28" s="59" t="n">
        <f aca="false">C18</f>
        <v>1.30229840280483</v>
      </c>
      <c r="F28" s="66" t="n">
        <f aca="false">C28/E28</f>
        <v>0.0972881645648126</v>
      </c>
    </row>
    <row r="29" customFormat="false" ht="15" hidden="false" customHeight="false" outlineLevel="0" collapsed="false">
      <c r="A29" s="56" t="s">
        <v>60</v>
      </c>
      <c r="B29" s="62" t="n">
        <v>2128365</v>
      </c>
      <c r="C29" s="65" t="n">
        <f aca="false">B29/SUM($B$23:$B$31)</f>
        <v>0.0371782761545194</v>
      </c>
      <c r="D29" s="54" t="s">
        <v>1227</v>
      </c>
      <c r="E29" s="59" t="n">
        <f aca="false">C18</f>
        <v>1.30229840280483</v>
      </c>
      <c r="F29" s="66" t="n">
        <f aca="false">C29/E29</f>
        <v>0.02854820068461</v>
      </c>
    </row>
    <row r="30" customFormat="false" ht="15" hidden="false" customHeight="false" outlineLevel="0" collapsed="false">
      <c r="A30" s="56" t="s">
        <v>62</v>
      </c>
      <c r="B30" s="62" t="n">
        <v>7449564</v>
      </c>
      <c r="C30" s="65" t="n">
        <f aca="false">B30/SUM($B$23:$B$31)</f>
        <v>0.130128971122324</v>
      </c>
      <c r="D30" s="54" t="s">
        <v>1231</v>
      </c>
      <c r="E30" s="59" t="n">
        <f aca="false">G18</f>
        <v>1.26089929902547</v>
      </c>
      <c r="F30" s="66" t="n">
        <f aca="false">C30/E30</f>
        <v>0.103203301978912</v>
      </c>
    </row>
    <row r="31" customFormat="false" ht="15" hidden="false" customHeight="false" outlineLevel="0" collapsed="false">
      <c r="A31" s="56" t="s">
        <v>64</v>
      </c>
      <c r="B31" s="62" t="n">
        <v>1327215</v>
      </c>
      <c r="C31" s="65" t="n">
        <f aca="false">B31/SUM($B$23:$B$31)</f>
        <v>0.0231837893342638</v>
      </c>
      <c r="D31" s="54" t="s">
        <v>1179</v>
      </c>
      <c r="E31" s="59" t="n">
        <f aca="false">H18</f>
        <v>1.49261744966443</v>
      </c>
      <c r="F31" s="66" t="n">
        <f aca="false">C31/E31</f>
        <v>0.0155323049047001</v>
      </c>
    </row>
    <row r="32" customFormat="false" ht="15" hidden="false" customHeight="false" outlineLevel="0" collapsed="false">
      <c r="A32" s="55" t="s">
        <v>1242</v>
      </c>
      <c r="F32" s="64" t="n">
        <f aca="false">1/SUM(F23:F31)</f>
        <v>1.0410163789098</v>
      </c>
    </row>
    <row r="33" customFormat="false" ht="15" hidden="false" customHeight="false" outlineLevel="0" collapsed="false">
      <c r="A33" s="52" t="s">
        <v>1243</v>
      </c>
    </row>
    <row r="35" customFormat="false" ht="15" hidden="false" customHeight="false" outlineLevel="0" collapsed="false">
      <c r="A35" s="55" t="s">
        <v>1244</v>
      </c>
    </row>
    <row r="36" customFormat="false" ht="23.85" hidden="false" customHeight="false" outlineLevel="0" collapsed="false">
      <c r="A36" s="35" t="s">
        <v>1245</v>
      </c>
      <c r="B36" s="35" t="s">
        <v>1246</v>
      </c>
      <c r="C36" s="35" t="s">
        <v>1247</v>
      </c>
      <c r="D36" s="35" t="s">
        <v>1248</v>
      </c>
      <c r="E36" s="35" t="s">
        <v>1249</v>
      </c>
      <c r="F36" s="35" t="s">
        <v>1250</v>
      </c>
      <c r="G36" s="35" t="s">
        <v>1251</v>
      </c>
      <c r="H36" s="35" t="s">
        <v>1252</v>
      </c>
    </row>
    <row r="37" customFormat="false" ht="15" hidden="false" customHeight="false" outlineLevel="0" collapsed="false">
      <c r="A37" s="56" t="s">
        <v>1253</v>
      </c>
      <c r="B37" s="62" t="n">
        <v>750</v>
      </c>
      <c r="C37" s="62" t="n">
        <v>556</v>
      </c>
      <c r="D37" s="62" t="n">
        <v>1275</v>
      </c>
      <c r="E37" s="67" t="n">
        <v>0.571428571428571</v>
      </c>
      <c r="F37" s="67" t="n">
        <v>0.771428571428572</v>
      </c>
      <c r="G37" s="62" t="n">
        <v>1235</v>
      </c>
      <c r="H37" s="67" t="n">
        <v>0.68</v>
      </c>
    </row>
    <row r="38" customFormat="false" ht="15" hidden="false" customHeight="false" outlineLevel="0" collapsed="false">
      <c r="A38" s="56" t="s">
        <v>1254</v>
      </c>
      <c r="B38" s="62" t="n">
        <v>549</v>
      </c>
      <c r="C38" s="62" t="n">
        <v>421</v>
      </c>
      <c r="D38" s="62" t="n">
        <v>990</v>
      </c>
      <c r="E38" s="67" t="n">
        <v>0.685714285714286</v>
      </c>
      <c r="F38" s="67" t="n">
        <v>0.857142857142857</v>
      </c>
      <c r="G38" s="62" t="n">
        <v>685</v>
      </c>
      <c r="H38" s="67" t="n">
        <v>0.8</v>
      </c>
    </row>
    <row r="39" customFormat="false" ht="15" hidden="false" customHeight="false" outlineLevel="0" collapsed="false">
      <c r="A39" s="56" t="s">
        <v>1255</v>
      </c>
      <c r="B39" s="62" t="n">
        <v>742</v>
      </c>
      <c r="C39" s="62" t="n">
        <v>542</v>
      </c>
      <c r="D39" s="62" t="n">
        <v>1332</v>
      </c>
      <c r="E39" s="67" t="n">
        <v>0.571428571428571</v>
      </c>
      <c r="F39" s="67" t="n">
        <v>0.771428571428572</v>
      </c>
      <c r="G39" s="62" t="n">
        <v>851</v>
      </c>
      <c r="H39" s="67" t="n">
        <v>0.68</v>
      </c>
    </row>
    <row r="40" customFormat="false" ht="15" hidden="false" customHeight="false" outlineLevel="0" collapsed="false">
      <c r="A40" s="56" t="s">
        <v>1256</v>
      </c>
      <c r="B40" s="62" t="n">
        <v>744</v>
      </c>
      <c r="C40" s="62" t="n">
        <v>537</v>
      </c>
      <c r="D40" s="62" t="n">
        <v>1305</v>
      </c>
      <c r="E40" s="67" t="n">
        <v>0.6</v>
      </c>
      <c r="F40" s="67" t="n">
        <v>0.771428571428572</v>
      </c>
      <c r="G40" s="62" t="n">
        <v>854</v>
      </c>
      <c r="H40" s="67" t="n">
        <v>0.68</v>
      </c>
    </row>
    <row r="41" customFormat="false" ht="15" hidden="false" customHeight="false" outlineLevel="0" collapsed="false">
      <c r="A41" s="56" t="s">
        <v>1257</v>
      </c>
      <c r="B41" s="62" t="n">
        <v>746</v>
      </c>
      <c r="C41" s="62" t="n">
        <v>563</v>
      </c>
      <c r="D41" s="62" t="n">
        <v>1323</v>
      </c>
      <c r="E41" s="67" t="n">
        <v>0.571428571428571</v>
      </c>
      <c r="F41" s="67" t="n">
        <v>0.771428571428572</v>
      </c>
      <c r="G41" s="62" t="n">
        <v>853</v>
      </c>
      <c r="H41" s="67" t="n">
        <v>0.68</v>
      </c>
    </row>
    <row r="42" customFormat="false" ht="15" hidden="false" customHeight="false" outlineLevel="0" collapsed="false">
      <c r="A42" s="56" t="s">
        <v>1258</v>
      </c>
      <c r="B42" s="62" t="n">
        <v>680</v>
      </c>
      <c r="C42" s="62" t="n">
        <v>563</v>
      </c>
      <c r="D42" s="62" t="n">
        <v>1232</v>
      </c>
      <c r="E42" s="67" t="n">
        <v>0.628571428571429</v>
      </c>
      <c r="F42" s="67" t="n">
        <v>0.828571428571429</v>
      </c>
      <c r="G42" s="62" t="n">
        <v>832</v>
      </c>
      <c r="H42" s="67" t="n">
        <v>0.76</v>
      </c>
    </row>
    <row r="43" customFormat="false" ht="15" hidden="false" customHeight="false" outlineLevel="0" collapsed="false">
      <c r="A43" s="56" t="s">
        <v>1259</v>
      </c>
      <c r="B43" s="62" t="n">
        <v>585</v>
      </c>
      <c r="C43" s="62" t="n">
        <v>452</v>
      </c>
      <c r="D43" s="62" t="n">
        <v>1016</v>
      </c>
      <c r="E43" s="67" t="n">
        <v>0.628571428571429</v>
      </c>
      <c r="F43" s="67" t="n">
        <v>0.885714285714286</v>
      </c>
      <c r="G43" s="62" t="n">
        <v>770</v>
      </c>
      <c r="H43" s="67" t="n">
        <v>0.84</v>
      </c>
    </row>
    <row r="44" customFormat="false" ht="15" hidden="false" customHeight="false" outlineLevel="0" collapsed="false">
      <c r="A44" s="56" t="s">
        <v>1260</v>
      </c>
      <c r="B44" s="62" t="n">
        <v>838</v>
      </c>
      <c r="C44" s="62" t="n">
        <v>628</v>
      </c>
      <c r="D44" s="62" t="n">
        <v>1493</v>
      </c>
      <c r="E44" s="67" t="n">
        <v>0.485714285714286</v>
      </c>
      <c r="F44" s="67" t="n">
        <v>0.714285714285714</v>
      </c>
      <c r="G44" s="62" t="n">
        <v>1285</v>
      </c>
      <c r="H44" s="67" t="n">
        <v>0.6</v>
      </c>
    </row>
    <row r="45" customFormat="false" ht="15" hidden="false" customHeight="false" outlineLevel="0" collapsed="false">
      <c r="A45" s="56" t="s">
        <v>1261</v>
      </c>
      <c r="B45" s="62" t="n">
        <v>856</v>
      </c>
      <c r="C45" s="62" t="n">
        <v>623</v>
      </c>
      <c r="D45" s="62" t="n">
        <v>1484</v>
      </c>
      <c r="E45" s="67" t="n">
        <v>0.485714285714286</v>
      </c>
      <c r="F45" s="67" t="n">
        <v>0.742857142857143</v>
      </c>
      <c r="G45" s="62" t="n">
        <v>1275</v>
      </c>
      <c r="H45" s="67" t="n">
        <v>0.64</v>
      </c>
    </row>
    <row r="47" customFormat="false" ht="15" hidden="false" customHeight="false" outlineLevel="0" collapsed="false">
      <c r="A47" s="52" t="s">
        <v>1262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6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70"/>
    <col collapsed="false" customWidth="true" hidden="false" outlineLevel="0" max="2" min="2" style="0" width="16"/>
    <col collapsed="false" customWidth="true" hidden="false" outlineLevel="0" max="3" min="3" style="0" width="44"/>
  </cols>
  <sheetData>
    <row r="1" customFormat="false" ht="17.35" hidden="false" customHeight="false" outlineLevel="0" collapsed="false">
      <c r="A1" s="43" t="s">
        <v>1263</v>
      </c>
    </row>
    <row r="3" customFormat="false" ht="15" hidden="false" customHeight="false" outlineLevel="0" collapsed="false">
      <c r="A3" s="7" t="s">
        <v>1264</v>
      </c>
    </row>
    <row r="4" customFormat="false" ht="15" hidden="false" customHeight="false" outlineLevel="0" collapsed="false">
      <c r="A4" s="68" t="s">
        <v>1265</v>
      </c>
      <c r="B4" s="69" t="s">
        <v>1266</v>
      </c>
      <c r="C4" s="70"/>
    </row>
    <row r="5" customFormat="false" ht="15" hidden="false" customHeight="false" outlineLevel="0" collapsed="false">
      <c r="A5" s="68" t="s">
        <v>1267</v>
      </c>
      <c r="B5" s="69" t="n">
        <v>35</v>
      </c>
      <c r="C5" s="70"/>
    </row>
    <row r="6" customFormat="false" ht="15" hidden="false" customHeight="false" outlineLevel="0" collapsed="false">
      <c r="A6" s="68" t="s">
        <v>1268</v>
      </c>
      <c r="B6" s="71" t="n">
        <v>750</v>
      </c>
      <c r="C6" s="70"/>
    </row>
    <row r="7" customFormat="false" ht="15" hidden="false" customHeight="false" outlineLevel="0" collapsed="false">
      <c r="A7" s="68" t="s">
        <v>1269</v>
      </c>
      <c r="B7" s="71" t="n">
        <v>556.414414414414</v>
      </c>
      <c r="C7" s="70"/>
    </row>
    <row r="8" customFormat="false" ht="15" hidden="false" customHeight="false" outlineLevel="0" collapsed="false">
      <c r="A8" s="68" t="s">
        <v>1270</v>
      </c>
      <c r="B8" s="71" t="n">
        <v>1274.73684210526</v>
      </c>
      <c r="C8" s="70"/>
    </row>
    <row r="9" customFormat="false" ht="15" hidden="false" customHeight="false" outlineLevel="0" collapsed="false">
      <c r="A9" s="68" t="s">
        <v>1271</v>
      </c>
      <c r="B9" s="71" t="n">
        <v>375</v>
      </c>
      <c r="C9" s="70"/>
    </row>
    <row r="10" customFormat="false" ht="15" hidden="false" customHeight="false" outlineLevel="0" collapsed="false">
      <c r="A10" s="68" t="s">
        <v>1272</v>
      </c>
      <c r="B10" s="71" t="n">
        <v>2775</v>
      </c>
      <c r="C10" s="70"/>
    </row>
    <row r="11" customFormat="false" ht="15" hidden="false" customHeight="false" outlineLevel="0" collapsed="false">
      <c r="A11" s="68" t="s">
        <v>1273</v>
      </c>
      <c r="B11" s="72" t="n">
        <v>0.314285714285714</v>
      </c>
      <c r="C11" s="70"/>
    </row>
    <row r="12" customFormat="false" ht="15" hidden="false" customHeight="false" outlineLevel="0" collapsed="false">
      <c r="A12" s="68" t="s">
        <v>1274</v>
      </c>
      <c r="B12" s="72" t="n">
        <v>0.571428571428571</v>
      </c>
      <c r="C12" s="70"/>
    </row>
    <row r="13" customFormat="false" ht="15" hidden="false" customHeight="false" outlineLevel="0" collapsed="false">
      <c r="A13" s="68" t="s">
        <v>1275</v>
      </c>
      <c r="B13" s="72" t="n">
        <v>0.771428571428572</v>
      </c>
      <c r="C13" s="70"/>
    </row>
    <row r="14" customFormat="false" ht="15" hidden="false" customHeight="false" outlineLevel="0" collapsed="false">
      <c r="A14" s="68" t="s">
        <v>1276</v>
      </c>
      <c r="B14" s="72" t="n">
        <v>1</v>
      </c>
      <c r="C14" s="70"/>
    </row>
    <row r="16" customFormat="false" ht="15" hidden="false" customHeight="false" outlineLevel="0" collapsed="false">
      <c r="A16" s="7" t="s">
        <v>1277</v>
      </c>
    </row>
    <row r="17" customFormat="false" ht="15" hidden="false" customHeight="false" outlineLevel="0" collapsed="false">
      <c r="A17" s="68" t="s">
        <v>1267</v>
      </c>
      <c r="B17" s="69" t="n">
        <v>25</v>
      </c>
      <c r="C17" s="70"/>
    </row>
    <row r="18" customFormat="false" ht="15" hidden="false" customHeight="false" outlineLevel="0" collapsed="false">
      <c r="A18" s="68" t="s">
        <v>1268</v>
      </c>
      <c r="B18" s="71" t="n">
        <v>1235.29411764706</v>
      </c>
      <c r="C18" s="70"/>
    </row>
    <row r="19" customFormat="false" ht="15" hidden="false" customHeight="false" outlineLevel="0" collapsed="false">
      <c r="A19" s="68" t="s">
        <v>1269</v>
      </c>
      <c r="B19" s="71" t="n">
        <v>619.047619047619</v>
      </c>
      <c r="C19" s="70"/>
    </row>
    <row r="20" customFormat="false" ht="15" hidden="false" customHeight="false" outlineLevel="0" collapsed="false">
      <c r="A20" s="68" t="s">
        <v>1270</v>
      </c>
      <c r="B20" s="71" t="n">
        <v>1659.27474332649</v>
      </c>
      <c r="C20" s="70"/>
    </row>
    <row r="21" customFormat="false" ht="15" hidden="false" customHeight="false" outlineLevel="0" collapsed="false">
      <c r="A21" s="68" t="s">
        <v>1278</v>
      </c>
      <c r="B21" s="72" t="n">
        <v>0.44</v>
      </c>
      <c r="C21" s="70"/>
    </row>
    <row r="22" customFormat="false" ht="15" hidden="false" customHeight="false" outlineLevel="0" collapsed="false">
      <c r="A22" s="68" t="s">
        <v>1279</v>
      </c>
      <c r="B22" s="72" t="n">
        <v>0.68</v>
      </c>
      <c r="C22" s="70"/>
    </row>
    <row r="23" customFormat="false" ht="15" hidden="false" customHeight="false" outlineLevel="0" collapsed="false">
      <c r="A23" s="68" t="s">
        <v>1280</v>
      </c>
      <c r="B23" s="72" t="n">
        <v>1</v>
      </c>
      <c r="C23" s="70"/>
    </row>
    <row r="25" customFormat="false" ht="15" hidden="false" customHeight="false" outlineLevel="0" collapsed="false">
      <c r="A25" s="7" t="s">
        <v>1281</v>
      </c>
    </row>
    <row r="26" customFormat="false" ht="15" hidden="false" customHeight="false" outlineLevel="0" collapsed="false">
      <c r="A26" s="68" t="s">
        <v>1267</v>
      </c>
      <c r="B26" s="69" t="n">
        <v>53</v>
      </c>
      <c r="C26" s="70"/>
    </row>
    <row r="27" customFormat="false" ht="15" hidden="false" customHeight="false" outlineLevel="0" collapsed="false">
      <c r="A27" s="68" t="s">
        <v>1282</v>
      </c>
      <c r="B27" s="73" t="n">
        <v>0.615504893656295</v>
      </c>
      <c r="C27" s="70"/>
    </row>
    <row r="28" customFormat="false" ht="15" hidden="false" customHeight="false" outlineLevel="0" collapsed="false">
      <c r="A28" s="68" t="s">
        <v>1283</v>
      </c>
      <c r="B28" s="73" t="n">
        <v>0.591964376941374</v>
      </c>
      <c r="C28" s="70"/>
    </row>
    <row r="29" customFormat="false" ht="15" hidden="false" customHeight="false" outlineLevel="0" collapsed="false">
      <c r="A29" s="68" t="s">
        <v>1284</v>
      </c>
      <c r="B29" s="73" t="n">
        <v>0.354540695915008</v>
      </c>
      <c r="C29" s="70"/>
    </row>
    <row r="30" customFormat="false" ht="15" hidden="false" customHeight="false" outlineLevel="0" collapsed="false">
      <c r="A30" s="68" t="s">
        <v>1285</v>
      </c>
      <c r="B30" s="73" t="n">
        <v>7.50968428905338</v>
      </c>
      <c r="C30" s="70" t="s">
        <v>1286</v>
      </c>
    </row>
    <row r="31" customFormat="false" ht="15" hidden="false" customHeight="false" outlineLevel="0" collapsed="false">
      <c r="A31" s="68" t="s">
        <v>1287</v>
      </c>
      <c r="B31" s="73" t="n">
        <v>-0.180788926986536</v>
      </c>
      <c r="C31" s="70" t="s">
        <v>1288</v>
      </c>
    </row>
    <row r="32" customFormat="false" ht="15" hidden="false" customHeight="false" outlineLevel="0" collapsed="false">
      <c r="A32" s="68" t="s">
        <v>1289</v>
      </c>
      <c r="B32" s="73" t="n">
        <v>-0.335164152976624</v>
      </c>
      <c r="C32" s="70" t="s">
        <v>1290</v>
      </c>
    </row>
    <row r="33" customFormat="false" ht="15" hidden="false" customHeight="false" outlineLevel="0" collapsed="false">
      <c r="A33" s="68" t="s">
        <v>1291</v>
      </c>
      <c r="B33" s="73" t="n">
        <v>0.0173766180375951</v>
      </c>
      <c r="C33" s="70" t="s">
        <v>1292</v>
      </c>
    </row>
    <row r="34" customFormat="false" ht="15" hidden="false" customHeight="false" outlineLevel="0" collapsed="false">
      <c r="A34" s="68" t="s">
        <v>1293</v>
      </c>
      <c r="B34" s="71" t="n">
        <v>967.566273615461</v>
      </c>
      <c r="C34" s="70"/>
    </row>
    <row r="35" customFormat="false" ht="15" hidden="false" customHeight="false" outlineLevel="0" collapsed="false">
      <c r="A35" s="68" t="s">
        <v>1294</v>
      </c>
      <c r="B35" s="71" t="n">
        <v>570.943971041101</v>
      </c>
      <c r="C35" s="70"/>
    </row>
    <row r="36" customFormat="false" ht="15" hidden="false" customHeight="false" outlineLevel="0" collapsed="false">
      <c r="A36" s="68" t="s">
        <v>1295</v>
      </c>
      <c r="B36" s="71" t="n">
        <v>1639.71342429801</v>
      </c>
      <c r="C36" s="70"/>
    </row>
    <row r="37" customFormat="false" ht="15" hidden="false" customHeight="false" outlineLevel="0" collapsed="false">
      <c r="A37" s="68" t="s">
        <v>1296</v>
      </c>
      <c r="B37" s="72" t="n">
        <v>0.127220134355126</v>
      </c>
      <c r="C37" s="70"/>
    </row>
    <row r="38" customFormat="false" ht="15" hidden="false" customHeight="false" outlineLevel="0" collapsed="false">
      <c r="A38" s="68" t="s">
        <v>1297</v>
      </c>
      <c r="B38" s="72" t="n">
        <v>0.357881987095853</v>
      </c>
      <c r="C38" s="70"/>
    </row>
    <row r="39" customFormat="false" ht="15" hidden="false" customHeight="false" outlineLevel="0" collapsed="false">
      <c r="A39" s="68" t="s">
        <v>1298</v>
      </c>
      <c r="B39" s="72" t="n">
        <v>0.850371195040363</v>
      </c>
      <c r="C39" s="70"/>
    </row>
    <row r="40" customFormat="false" ht="15" hidden="false" customHeight="false" outlineLevel="0" collapsed="false">
      <c r="A40" s="68" t="s">
        <v>1299</v>
      </c>
      <c r="B40" s="72" t="n">
        <v>0.995795965401337</v>
      </c>
      <c r="C40" s="70"/>
    </row>
    <row r="42" customFormat="false" ht="15" hidden="false" customHeight="false" outlineLevel="0" collapsed="false">
      <c r="A42" s="7" t="s">
        <v>1300</v>
      </c>
    </row>
    <row r="43" customFormat="false" ht="15" hidden="false" customHeight="false" outlineLevel="0" collapsed="false">
      <c r="A43" s="68" t="s">
        <v>1301</v>
      </c>
      <c r="B43" s="71" t="n">
        <v>48910799.6142003</v>
      </c>
      <c r="C43" s="70"/>
    </row>
    <row r="44" customFormat="false" ht="15" hidden="false" customHeight="false" outlineLevel="0" collapsed="false">
      <c r="A44" s="68" t="s">
        <v>1302</v>
      </c>
      <c r="B44" s="71" t="n">
        <v>51293414.50617</v>
      </c>
      <c r="C44" s="70"/>
    </row>
    <row r="45" customFormat="false" ht="15" hidden="false" customHeight="false" outlineLevel="0" collapsed="false">
      <c r="A45" s="68" t="s">
        <v>1303</v>
      </c>
      <c r="B45" s="71" t="n">
        <v>53040842.9068577</v>
      </c>
      <c r="C45" s="70"/>
    </row>
    <row r="46" customFormat="false" ht="15" hidden="false" customHeight="false" outlineLevel="0" collapsed="false">
      <c r="A46" s="68" t="s">
        <v>1304</v>
      </c>
      <c r="B46" s="71" t="n">
        <v>53991966.9618618</v>
      </c>
      <c r="C46" s="70"/>
    </row>
    <row r="47" customFormat="false" ht="15" hidden="false" customHeight="false" outlineLevel="0" collapsed="false">
      <c r="A47" s="68" t="s">
        <v>1305</v>
      </c>
      <c r="B47" s="71" t="n">
        <v>3376815.97261616</v>
      </c>
      <c r="C47" s="70" t="s">
        <v>1306</v>
      </c>
    </row>
    <row r="48" customFormat="false" ht="15" hidden="false" customHeight="false" outlineLevel="0" collapsed="false">
      <c r="A48" s="68" t="s">
        <v>1307</v>
      </c>
      <c r="B48" s="74" t="n">
        <v>0.0031</v>
      </c>
      <c r="C48" s="70"/>
    </row>
    <row r="49" customFormat="false" ht="15" hidden="false" customHeight="false" outlineLevel="0" collapsed="false">
      <c r="A49" s="68" t="s">
        <v>1308</v>
      </c>
      <c r="B49" s="74" t="n">
        <v>0.242386345867807</v>
      </c>
      <c r="C49" s="70"/>
    </row>
    <row r="50" customFormat="false" ht="15" hidden="false" customHeight="false" outlineLevel="0" collapsed="false">
      <c r="A50" s="68" t="s">
        <v>1309</v>
      </c>
      <c r="B50" s="71" t="n">
        <v>50163521.9743739</v>
      </c>
      <c r="C50" s="70"/>
    </row>
    <row r="51" customFormat="false" ht="15" hidden="false" customHeight="false" outlineLevel="0" collapsed="false">
      <c r="A51" s="68" t="s">
        <v>1310</v>
      </c>
      <c r="B51" s="71" t="n">
        <v>53420558.018494</v>
      </c>
      <c r="C51" s="70"/>
    </row>
    <row r="52" customFormat="false" ht="15" hidden="false" customHeight="false" outlineLevel="0" collapsed="false">
      <c r="A52" s="68" t="s">
        <v>1311</v>
      </c>
      <c r="B52" s="71" t="n">
        <v>55912637.4163745</v>
      </c>
      <c r="C52" s="70"/>
    </row>
    <row r="53" customFormat="false" ht="15" hidden="false" customHeight="false" outlineLevel="0" collapsed="false">
      <c r="A53" s="68" t="s">
        <v>1312</v>
      </c>
      <c r="B53" s="71" t="n">
        <v>57312478.6438365</v>
      </c>
      <c r="C53" s="70"/>
    </row>
    <row r="54" customFormat="false" ht="15" hidden="false" customHeight="false" outlineLevel="0" collapsed="false">
      <c r="A54" s="68" t="s">
        <v>1313</v>
      </c>
      <c r="B54" s="71" t="n">
        <v>6248610.48213293</v>
      </c>
      <c r="C54" s="70" t="s">
        <v>1306</v>
      </c>
    </row>
    <row r="55" customFormat="false" ht="15" hidden="false" customHeight="false" outlineLevel="0" collapsed="false">
      <c r="A55" s="68" t="s">
        <v>1314</v>
      </c>
      <c r="B55" s="74" t="n">
        <v>0.10365</v>
      </c>
      <c r="C55" s="70"/>
    </row>
    <row r="56" customFormat="false" ht="15" hidden="false" customHeight="false" outlineLevel="0" collapsed="false">
      <c r="A56" s="68" t="s">
        <v>1315</v>
      </c>
      <c r="B56" s="74" t="n">
        <v>0.234030282925687</v>
      </c>
      <c r="C56" s="70"/>
    </row>
    <row r="58" customFormat="false" ht="15" hidden="false" customHeight="false" outlineLevel="0" collapsed="false">
      <c r="A58" s="7" t="s">
        <v>1316</v>
      </c>
    </row>
    <row r="59" customFormat="false" ht="15" hidden="false" customHeight="false" outlineLevel="0" collapsed="false">
      <c r="A59" s="68" t="s">
        <v>1317</v>
      </c>
      <c r="B59" s="71" t="n">
        <v>173279.182512038</v>
      </c>
      <c r="C59" s="70" t="s">
        <v>1318</v>
      </c>
    </row>
    <row r="60" customFormat="false" ht="15" hidden="false" customHeight="false" outlineLevel="0" collapsed="false">
      <c r="A60" s="68" t="s">
        <v>1319</v>
      </c>
      <c r="B60" s="71" t="n">
        <v>326886.102266792</v>
      </c>
      <c r="C60" s="70" t="s">
        <v>1320</v>
      </c>
    </row>
    <row r="61" customFormat="false" ht="15" hidden="false" customHeight="false" outlineLevel="0" collapsed="false">
      <c r="A61" s="68" t="s">
        <v>1321</v>
      </c>
      <c r="B61" s="71" t="n">
        <v>176401.130651003</v>
      </c>
      <c r="C61" s="70" t="s">
        <v>1322</v>
      </c>
    </row>
    <row r="62" customFormat="false" ht="15" hidden="false" customHeight="false" outlineLevel="0" collapsed="false">
      <c r="A62" s="68" t="s">
        <v>1323</v>
      </c>
      <c r="B62" s="71" t="n">
        <v>456422.879790741</v>
      </c>
      <c r="C62" s="70" t="s">
        <v>1324</v>
      </c>
    </row>
    <row r="63" customFormat="false" ht="15" hidden="false" customHeight="false" outlineLevel="0" collapsed="false">
      <c r="A63" s="68" t="s">
        <v>1325</v>
      </c>
      <c r="B63" s="71" t="n">
        <v>934979.618572824</v>
      </c>
      <c r="C63" s="70" t="s">
        <v>1326</v>
      </c>
    </row>
    <row r="64" customFormat="false" ht="15" hidden="false" customHeight="false" outlineLevel="0" collapsed="false">
      <c r="A64" s="68" t="s">
        <v>1327</v>
      </c>
      <c r="B64" s="71" t="n">
        <v>799004.553820044</v>
      </c>
      <c r="C64" s="70" t="s">
        <v>1328</v>
      </c>
    </row>
    <row r="65" customFormat="false" ht="15" hidden="false" customHeight="false" outlineLevel="0" collapsed="false">
      <c r="A65" s="68" t="s">
        <v>1329</v>
      </c>
      <c r="B65" s="71" t="n">
        <v>159057.490497989</v>
      </c>
      <c r="C65" s="70" t="s">
        <v>1330</v>
      </c>
    </row>
    <row r="66" customFormat="false" ht="15" hidden="false" customHeight="false" outlineLevel="0" collapsed="false">
      <c r="A66" s="68" t="s">
        <v>1331</v>
      </c>
      <c r="B66" s="71" t="n">
        <v>514608.685543055</v>
      </c>
      <c r="C66" s="70" t="s">
        <v>1332</v>
      </c>
    </row>
    <row r="67" customFormat="false" ht="15" hidden="false" customHeight="false" outlineLevel="0" collapsed="false">
      <c r="A67" s="68" t="s">
        <v>1333</v>
      </c>
      <c r="B67" s="71" t="n">
        <v>43557.1507740385</v>
      </c>
      <c r="C67" s="70" t="s">
        <v>1334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2" min="1" style="0" width="6"/>
    <col collapsed="false" customWidth="true" hidden="false" outlineLevel="0" max="3" min="3" style="0" width="52"/>
    <col collapsed="false" customWidth="true" hidden="false" outlineLevel="0" max="4" min="4" style="0" width="8"/>
    <col collapsed="false" customWidth="true" hidden="false" outlineLevel="0" max="6" min="5" style="0" width="12"/>
    <col collapsed="false" customWidth="true" hidden="false" outlineLevel="0" max="7" min="7" style="0" width="10"/>
    <col collapsed="false" customWidth="true" hidden="false" outlineLevel="0" max="9" min="8" style="0" width="12"/>
    <col collapsed="false" customWidth="true" hidden="false" outlineLevel="0" max="10" min="10" style="0" width="10"/>
    <col collapsed="false" customWidth="true" hidden="false" outlineLevel="0" max="11" min="11" style="0" width="24"/>
    <col collapsed="false" customWidth="true" hidden="false" outlineLevel="0" max="12" min="12" style="0" width="48"/>
    <col collapsed="false" customWidth="true" hidden="false" outlineLevel="0" max="13" min="13" style="0" width="60"/>
  </cols>
  <sheetData>
    <row r="1" customFormat="false" ht="17.35" hidden="false" customHeight="false" outlineLevel="0" collapsed="false">
      <c r="A1" s="51" t="s">
        <v>1335</v>
      </c>
    </row>
    <row r="2" customFormat="false" ht="15" hidden="false" customHeight="false" outlineLevel="0" collapsed="false">
      <c r="A2" s="52" t="s">
        <v>1336</v>
      </c>
    </row>
    <row r="4" customFormat="false" ht="15" hidden="false" customHeight="false" outlineLevel="0" collapsed="false">
      <c r="A4" s="0" t="s">
        <v>1337</v>
      </c>
      <c r="B4" s="54" t="n">
        <v>1.44</v>
      </c>
      <c r="C4" s="52" t="s">
        <v>1338</v>
      </c>
    </row>
    <row r="5" customFormat="false" ht="15" hidden="false" customHeight="false" outlineLevel="0" collapsed="false">
      <c r="A5" s="0" t="s">
        <v>1339</v>
      </c>
      <c r="B5" s="60" t="n">
        <v>57247300</v>
      </c>
    </row>
    <row r="7" customFormat="false" ht="23.85" hidden="false" customHeight="false" outlineLevel="0" collapsed="false">
      <c r="A7" s="35" t="s">
        <v>1340</v>
      </c>
      <c r="B7" s="35" t="s">
        <v>1341</v>
      </c>
      <c r="C7" s="35" t="s">
        <v>1342</v>
      </c>
      <c r="D7" s="35" t="s">
        <v>41</v>
      </c>
      <c r="E7" s="35" t="s">
        <v>1343</v>
      </c>
      <c r="F7" s="35" t="s">
        <v>1344</v>
      </c>
      <c r="G7" s="35" t="s">
        <v>1345</v>
      </c>
      <c r="H7" s="35" t="s">
        <v>1346</v>
      </c>
      <c r="I7" s="35" t="s">
        <v>1347</v>
      </c>
      <c r="J7" s="35" t="s">
        <v>211</v>
      </c>
      <c r="K7" s="35" t="s">
        <v>441</v>
      </c>
      <c r="L7" s="35" t="s">
        <v>1348</v>
      </c>
      <c r="M7" s="35" t="s">
        <v>1349</v>
      </c>
    </row>
    <row r="8" customFormat="false" ht="23.85" hidden="false" customHeight="false" outlineLevel="0" collapsed="false">
      <c r="A8" s="75" t="s">
        <v>1350</v>
      </c>
      <c r="B8" s="75" t="s">
        <v>1351</v>
      </c>
      <c r="C8" s="75" t="s">
        <v>1352</v>
      </c>
      <c r="D8" s="75" t="s">
        <v>1351</v>
      </c>
      <c r="E8" s="76" t="n">
        <v>1130255</v>
      </c>
      <c r="F8" s="76" t="n">
        <v>1130255</v>
      </c>
      <c r="G8" s="77" t="n">
        <v>1</v>
      </c>
      <c r="H8" s="78" t="n">
        <f aca="false">E8*IF(G8=1,$B$4,1)</f>
        <v>1627567.2</v>
      </c>
      <c r="I8" s="78" t="n">
        <f aca="false">F8*IF(G8=1,$B$4,1)</f>
        <v>1627567.2</v>
      </c>
      <c r="J8" s="75" t="s">
        <v>199</v>
      </c>
      <c r="K8" s="75" t="s">
        <v>1353</v>
      </c>
      <c r="L8" s="75" t="s">
        <v>1354</v>
      </c>
      <c r="M8" s="75" t="s">
        <v>1355</v>
      </c>
    </row>
    <row r="9" customFormat="false" ht="35.05" hidden="false" customHeight="false" outlineLevel="0" collapsed="false">
      <c r="A9" s="75" t="s">
        <v>1356</v>
      </c>
      <c r="B9" s="75" t="s">
        <v>1351</v>
      </c>
      <c r="C9" s="75" t="s">
        <v>1357</v>
      </c>
      <c r="D9" s="75" t="s">
        <v>1358</v>
      </c>
      <c r="E9" s="76" t="n">
        <v>1256950</v>
      </c>
      <c r="F9" s="76" t="n">
        <v>1766950</v>
      </c>
      <c r="G9" s="77" t="n">
        <v>0</v>
      </c>
      <c r="H9" s="78" t="n">
        <f aca="false">E9*IF(G9=1,$B$4,1)</f>
        <v>1256950</v>
      </c>
      <c r="I9" s="78" t="n">
        <f aca="false">F9*IF(G9=1,$B$4,1)</f>
        <v>1766950</v>
      </c>
      <c r="J9" s="75" t="s">
        <v>218</v>
      </c>
      <c r="K9" s="75" t="s">
        <v>1359</v>
      </c>
      <c r="L9" s="75" t="s">
        <v>1360</v>
      </c>
      <c r="M9" s="75" t="s">
        <v>1361</v>
      </c>
    </row>
    <row r="10" customFormat="false" ht="23.85" hidden="false" customHeight="false" outlineLevel="0" collapsed="false">
      <c r="A10" s="75" t="s">
        <v>1362</v>
      </c>
      <c r="B10" s="75" t="s">
        <v>1351</v>
      </c>
      <c r="C10" s="75" t="s">
        <v>1363</v>
      </c>
      <c r="D10" s="75" t="s">
        <v>1364</v>
      </c>
      <c r="E10" s="76" t="n">
        <v>600000</v>
      </c>
      <c r="F10" s="76" t="n">
        <v>800000</v>
      </c>
      <c r="G10" s="77" t="n">
        <v>1</v>
      </c>
      <c r="H10" s="78" t="n">
        <f aca="false">E10*IF(G10=1,$B$4,1)</f>
        <v>864000</v>
      </c>
      <c r="I10" s="78" t="n">
        <f aca="false">F10*IF(G10=1,$B$4,1)</f>
        <v>1152000</v>
      </c>
      <c r="J10" s="75" t="s">
        <v>218</v>
      </c>
      <c r="K10" s="75" t="s">
        <v>1365</v>
      </c>
      <c r="L10" s="75" t="s">
        <v>1366</v>
      </c>
      <c r="M10" s="75" t="s">
        <v>1367</v>
      </c>
    </row>
    <row r="11" customFormat="false" ht="23.85" hidden="false" customHeight="false" outlineLevel="0" collapsed="false">
      <c r="A11" s="75" t="s">
        <v>1368</v>
      </c>
      <c r="B11" s="75" t="s">
        <v>1351</v>
      </c>
      <c r="C11" s="75" t="s">
        <v>1369</v>
      </c>
      <c r="D11" s="75" t="s">
        <v>1370</v>
      </c>
      <c r="E11" s="76" t="n">
        <v>1047911</v>
      </c>
      <c r="F11" s="76" t="n">
        <v>2095822</v>
      </c>
      <c r="G11" s="77" t="n">
        <v>0</v>
      </c>
      <c r="H11" s="78" t="n">
        <f aca="false">E11*IF(G11=1,$B$4,1)</f>
        <v>1047911</v>
      </c>
      <c r="I11" s="78" t="n">
        <f aca="false">F11*IF(G11=1,$B$4,1)</f>
        <v>2095822</v>
      </c>
      <c r="J11" s="75" t="s">
        <v>198</v>
      </c>
      <c r="K11" s="75" t="s">
        <v>1371</v>
      </c>
      <c r="L11" s="75" t="s">
        <v>1372</v>
      </c>
      <c r="M11" s="75" t="s">
        <v>1373</v>
      </c>
    </row>
    <row r="12" customFormat="false" ht="23.85" hidden="false" customHeight="false" outlineLevel="0" collapsed="false">
      <c r="A12" s="75" t="s">
        <v>1374</v>
      </c>
      <c r="B12" s="75" t="s">
        <v>1351</v>
      </c>
      <c r="C12" s="75" t="s">
        <v>1375</v>
      </c>
      <c r="D12" s="75" t="s">
        <v>1376</v>
      </c>
      <c r="E12" s="76" t="n">
        <v>150000</v>
      </c>
      <c r="F12" s="76" t="n">
        <v>350000</v>
      </c>
      <c r="G12" s="77" t="n">
        <v>1</v>
      </c>
      <c r="H12" s="78" t="n">
        <f aca="false">E12*IF(G12=1,$B$4,1)</f>
        <v>216000</v>
      </c>
      <c r="I12" s="78" t="n">
        <f aca="false">F12*IF(G12=1,$B$4,1)</f>
        <v>504000</v>
      </c>
      <c r="J12" s="75" t="s">
        <v>198</v>
      </c>
      <c r="K12" s="75" t="s">
        <v>1377</v>
      </c>
      <c r="L12" s="75" t="s">
        <v>1378</v>
      </c>
      <c r="M12" s="75" t="s">
        <v>1379</v>
      </c>
    </row>
    <row r="13" customFormat="false" ht="35.05" hidden="false" customHeight="false" outlineLevel="0" collapsed="false">
      <c r="A13" s="75" t="s">
        <v>1380</v>
      </c>
      <c r="B13" s="75" t="s">
        <v>1381</v>
      </c>
      <c r="C13" s="75" t="s">
        <v>1382</v>
      </c>
      <c r="D13" s="75" t="s">
        <v>1383</v>
      </c>
      <c r="E13" s="76" t="n">
        <v>1065892</v>
      </c>
      <c r="F13" s="76" t="n">
        <v>1522703</v>
      </c>
      <c r="G13" s="77" t="n">
        <v>0</v>
      </c>
      <c r="H13" s="78" t="n">
        <f aca="false">E13*IF(G13=1,$B$4,1)</f>
        <v>1065892</v>
      </c>
      <c r="I13" s="78" t="n">
        <f aca="false">F13*IF(G13=1,$B$4,1)</f>
        <v>1522703</v>
      </c>
      <c r="J13" s="75" t="s">
        <v>218</v>
      </c>
      <c r="K13" s="75" t="s">
        <v>1384</v>
      </c>
      <c r="L13" s="75" t="s">
        <v>1385</v>
      </c>
      <c r="M13" s="75" t="s">
        <v>1386</v>
      </c>
    </row>
    <row r="14" customFormat="false" ht="23.85" hidden="false" customHeight="false" outlineLevel="0" collapsed="false">
      <c r="A14" s="75" t="s">
        <v>1387</v>
      </c>
      <c r="B14" s="75" t="s">
        <v>1381</v>
      </c>
      <c r="C14" s="75" t="s">
        <v>1388</v>
      </c>
      <c r="D14" s="75" t="s">
        <v>1389</v>
      </c>
      <c r="E14" s="76" t="n">
        <v>945093</v>
      </c>
      <c r="F14" s="76" t="n">
        <v>1350133</v>
      </c>
      <c r="G14" s="77" t="n">
        <v>1</v>
      </c>
      <c r="H14" s="78" t="n">
        <f aca="false">E14*IF(G14=1,$B$4,1)</f>
        <v>1360933.92</v>
      </c>
      <c r="I14" s="78" t="n">
        <f aca="false">F14*IF(G14=1,$B$4,1)</f>
        <v>1944191.52</v>
      </c>
      <c r="J14" s="75" t="s">
        <v>198</v>
      </c>
      <c r="K14" s="75" t="s">
        <v>1390</v>
      </c>
      <c r="L14" s="75" t="s">
        <v>1391</v>
      </c>
      <c r="M14" s="75" t="s">
        <v>1392</v>
      </c>
    </row>
    <row r="15" customFormat="false" ht="35.05" hidden="false" customHeight="false" outlineLevel="0" collapsed="false">
      <c r="A15" s="75" t="s">
        <v>1393</v>
      </c>
      <c r="B15" s="75" t="s">
        <v>1381</v>
      </c>
      <c r="C15" s="75" t="s">
        <v>1394</v>
      </c>
      <c r="D15" s="75" t="s">
        <v>1395</v>
      </c>
      <c r="E15" s="76" t="n">
        <v>300000</v>
      </c>
      <c r="F15" s="76" t="n">
        <v>800000</v>
      </c>
      <c r="G15" s="77" t="n">
        <v>1</v>
      </c>
      <c r="H15" s="78" t="n">
        <f aca="false">E15*IF(G15=1,$B$4,1)</f>
        <v>432000</v>
      </c>
      <c r="I15" s="78" t="n">
        <f aca="false">F15*IF(G15=1,$B$4,1)</f>
        <v>1152000</v>
      </c>
      <c r="J15" s="75" t="s">
        <v>198</v>
      </c>
      <c r="K15" s="75" t="s">
        <v>1396</v>
      </c>
      <c r="L15" s="75" t="s">
        <v>1397</v>
      </c>
      <c r="M15" s="75" t="s">
        <v>1398</v>
      </c>
    </row>
    <row r="16" customFormat="false" ht="46.25" hidden="false" customHeight="false" outlineLevel="0" collapsed="false">
      <c r="A16" s="75" t="s">
        <v>1399</v>
      </c>
      <c r="B16" s="75" t="s">
        <v>1381</v>
      </c>
      <c r="C16" s="75" t="s">
        <v>1400</v>
      </c>
      <c r="D16" s="75" t="s">
        <v>1381</v>
      </c>
      <c r="E16" s="76" t="n">
        <v>491778</v>
      </c>
      <c r="F16" s="76" t="n">
        <v>739220</v>
      </c>
      <c r="G16" s="77" t="n">
        <v>1</v>
      </c>
      <c r="H16" s="78" t="n">
        <f aca="false">E16*IF(G16=1,$B$4,1)</f>
        <v>708160.32</v>
      </c>
      <c r="I16" s="78" t="n">
        <f aca="false">F16*IF(G16=1,$B$4,1)</f>
        <v>1064476.8</v>
      </c>
      <c r="J16" s="75" t="s">
        <v>218</v>
      </c>
      <c r="K16" s="75" t="s">
        <v>1401</v>
      </c>
      <c r="L16" s="75" t="s">
        <v>1402</v>
      </c>
      <c r="M16" s="75" t="s">
        <v>1403</v>
      </c>
    </row>
    <row r="17" customFormat="false" ht="46.25" hidden="false" customHeight="false" outlineLevel="0" collapsed="false">
      <c r="A17" s="75" t="s">
        <v>1404</v>
      </c>
      <c r="B17" s="75" t="s">
        <v>1381</v>
      </c>
      <c r="C17" s="75" t="s">
        <v>1405</v>
      </c>
      <c r="D17" s="75" t="s">
        <v>1406</v>
      </c>
      <c r="E17" s="76" t="n">
        <v>259459</v>
      </c>
      <c r="F17" s="76" t="n">
        <v>259459</v>
      </c>
      <c r="G17" s="77" t="n">
        <v>1</v>
      </c>
      <c r="H17" s="78" t="n">
        <f aca="false">E17*IF(G17=1,$B$4,1)</f>
        <v>373620.96</v>
      </c>
      <c r="I17" s="78" t="n">
        <f aca="false">F17*IF(G17=1,$B$4,1)</f>
        <v>373620.96</v>
      </c>
      <c r="J17" s="75" t="s">
        <v>199</v>
      </c>
      <c r="K17" s="75" t="s">
        <v>1407</v>
      </c>
      <c r="L17" s="75" t="s">
        <v>1408</v>
      </c>
      <c r="M17" s="75" t="s">
        <v>1409</v>
      </c>
    </row>
    <row r="18" customFormat="false" ht="46.25" hidden="false" customHeight="false" outlineLevel="0" collapsed="false">
      <c r="A18" s="75" t="s">
        <v>1410</v>
      </c>
      <c r="B18" s="75" t="s">
        <v>1381</v>
      </c>
      <c r="C18" s="75" t="s">
        <v>1411</v>
      </c>
      <c r="D18" s="75" t="s">
        <v>1412</v>
      </c>
      <c r="E18" s="76" t="n">
        <v>181511</v>
      </c>
      <c r="F18" s="76" t="n">
        <v>235964</v>
      </c>
      <c r="G18" s="77" t="n">
        <v>1</v>
      </c>
      <c r="H18" s="78" t="n">
        <f aca="false">E18*IF(G18=1,$B$4,1)</f>
        <v>261375.84</v>
      </c>
      <c r="I18" s="78" t="n">
        <f aca="false">F18*IF(G18=1,$B$4,1)</f>
        <v>339788.16</v>
      </c>
      <c r="J18" s="75" t="s">
        <v>218</v>
      </c>
      <c r="K18" s="75" t="s">
        <v>1413</v>
      </c>
      <c r="L18" s="75" t="s">
        <v>1414</v>
      </c>
      <c r="M18" s="75" t="s">
        <v>1415</v>
      </c>
    </row>
    <row r="19" customFormat="false" ht="23.85" hidden="false" customHeight="false" outlineLevel="0" collapsed="false">
      <c r="A19" s="75" t="s">
        <v>1416</v>
      </c>
      <c r="B19" s="75" t="s">
        <v>1381</v>
      </c>
      <c r="C19" s="75" t="s">
        <v>1417</v>
      </c>
      <c r="D19" s="75" t="s">
        <v>1406</v>
      </c>
      <c r="E19" s="76" t="n">
        <v>156473</v>
      </c>
      <c r="F19" s="76" t="n">
        <v>203414</v>
      </c>
      <c r="G19" s="77" t="n">
        <v>1</v>
      </c>
      <c r="H19" s="78" t="n">
        <f aca="false">E19*IF(G19=1,$B$4,1)</f>
        <v>225321.12</v>
      </c>
      <c r="I19" s="78" t="n">
        <f aca="false">F19*IF(G19=1,$B$4,1)</f>
        <v>292916.16</v>
      </c>
      <c r="J19" s="75" t="s">
        <v>218</v>
      </c>
      <c r="K19" s="75" t="s">
        <v>1418</v>
      </c>
      <c r="L19" s="75" t="s">
        <v>1419</v>
      </c>
      <c r="M19" s="75" t="s">
        <v>1420</v>
      </c>
    </row>
    <row r="20" customFormat="false" ht="35.05" hidden="false" customHeight="false" outlineLevel="0" collapsed="false">
      <c r="A20" s="75" t="s">
        <v>1421</v>
      </c>
      <c r="B20" s="75" t="s">
        <v>1381</v>
      </c>
      <c r="C20" s="75" t="s">
        <v>1422</v>
      </c>
      <c r="D20" s="75" t="s">
        <v>1423</v>
      </c>
      <c r="E20" s="76" t="n">
        <v>356544</v>
      </c>
      <c r="F20" s="76" t="n">
        <v>556544</v>
      </c>
      <c r="G20" s="77" t="n">
        <v>1</v>
      </c>
      <c r="H20" s="78" t="n">
        <f aca="false">E20*IF(G20=1,$B$4,1)</f>
        <v>513423.36</v>
      </c>
      <c r="I20" s="78" t="n">
        <f aca="false">F20*IF(G20=1,$B$4,1)</f>
        <v>801423.36</v>
      </c>
      <c r="J20" s="75" t="s">
        <v>198</v>
      </c>
      <c r="K20" s="75" t="s">
        <v>1424</v>
      </c>
      <c r="L20" s="75" t="s">
        <v>1425</v>
      </c>
      <c r="M20" s="75" t="s">
        <v>1426</v>
      </c>
    </row>
    <row r="21" customFormat="false" ht="23.85" hidden="false" customHeight="false" outlineLevel="0" collapsed="false">
      <c r="A21" s="75" t="s">
        <v>1427</v>
      </c>
      <c r="B21" s="75" t="s">
        <v>1412</v>
      </c>
      <c r="C21" s="75" t="s">
        <v>1428</v>
      </c>
      <c r="D21" s="75" t="s">
        <v>1429</v>
      </c>
      <c r="E21" s="76" t="n">
        <v>8421649</v>
      </c>
      <c r="F21" s="76" t="n">
        <v>12365281</v>
      </c>
      <c r="G21" s="77" t="n">
        <v>0</v>
      </c>
      <c r="H21" s="78" t="n">
        <f aca="false">E21*IF(G21=1,$B$4,1)</f>
        <v>8421649</v>
      </c>
      <c r="I21" s="78" t="n">
        <f aca="false">F21*IF(G21=1,$B$4,1)</f>
        <v>12365281</v>
      </c>
      <c r="J21" s="75" t="s">
        <v>218</v>
      </c>
      <c r="K21" s="75" t="s">
        <v>1430</v>
      </c>
      <c r="L21" s="75" t="s">
        <v>1431</v>
      </c>
      <c r="M21" s="75" t="s">
        <v>1432</v>
      </c>
    </row>
    <row r="22" customFormat="false" ht="23.85" hidden="false" customHeight="false" outlineLevel="0" collapsed="false">
      <c r="A22" s="75" t="s">
        <v>1433</v>
      </c>
      <c r="B22" s="75" t="s">
        <v>1412</v>
      </c>
      <c r="C22" s="75" t="s">
        <v>1434</v>
      </c>
      <c r="D22" s="75" t="s">
        <v>1429</v>
      </c>
      <c r="E22" s="76" t="n">
        <v>2807216</v>
      </c>
      <c r="F22" s="76" t="n">
        <v>4121760</v>
      </c>
      <c r="G22" s="77" t="n">
        <v>0</v>
      </c>
      <c r="H22" s="78" t="n">
        <f aca="false">E22*IF(G22=1,$B$4,1)</f>
        <v>2807216</v>
      </c>
      <c r="I22" s="78" t="n">
        <f aca="false">F22*IF(G22=1,$B$4,1)</f>
        <v>4121760</v>
      </c>
      <c r="J22" s="75" t="s">
        <v>198</v>
      </c>
      <c r="K22" s="75" t="s">
        <v>1435</v>
      </c>
      <c r="L22" s="75" t="s">
        <v>1436</v>
      </c>
      <c r="M22" s="75" t="s">
        <v>1437</v>
      </c>
    </row>
    <row r="23" customFormat="false" ht="35.05" hidden="false" customHeight="false" outlineLevel="0" collapsed="false">
      <c r="A23" s="75" t="s">
        <v>1438</v>
      </c>
      <c r="B23" s="75" t="s">
        <v>1412</v>
      </c>
      <c r="C23" s="75" t="s">
        <v>1439</v>
      </c>
      <c r="D23" s="75" t="s">
        <v>1440</v>
      </c>
      <c r="E23" s="76" t="n">
        <v>340505</v>
      </c>
      <c r="F23" s="76" t="n">
        <v>681010</v>
      </c>
      <c r="G23" s="77" t="n">
        <v>0</v>
      </c>
      <c r="H23" s="78" t="n">
        <f aca="false">E23*IF(G23=1,$B$4,1)</f>
        <v>340505</v>
      </c>
      <c r="I23" s="78" t="n">
        <f aca="false">F23*IF(G23=1,$B$4,1)</f>
        <v>681010</v>
      </c>
      <c r="J23" s="75" t="s">
        <v>218</v>
      </c>
      <c r="K23" s="75" t="s">
        <v>1441</v>
      </c>
      <c r="L23" s="75" t="s">
        <v>1442</v>
      </c>
      <c r="M23" s="75" t="s">
        <v>1443</v>
      </c>
    </row>
    <row r="25" customFormat="false" ht="15" hidden="false" customHeight="false" outlineLevel="0" collapsed="false">
      <c r="C25" s="55" t="s">
        <v>1444</v>
      </c>
      <c r="E25" s="61" t="n">
        <f aca="false">SUMIF($B$8:$B$23,"A",E8:E23)</f>
        <v>4185116</v>
      </c>
      <c r="F25" s="61" t="n">
        <f aca="false">SUMIF($B$8:$B$23,"A",F8:F23)</f>
        <v>6143027</v>
      </c>
      <c r="H25" s="61" t="n">
        <f aca="false">SUMIF($B$8:$B$23,"A",H8:H23)</f>
        <v>5012428.2</v>
      </c>
      <c r="I25" s="61" t="n">
        <f aca="false">SUMIF($B$8:$B$23,"A",I8:I23)</f>
        <v>7146339.2</v>
      </c>
    </row>
    <row r="26" customFormat="false" ht="15" hidden="false" customHeight="false" outlineLevel="0" collapsed="false">
      <c r="C26" s="55" t="s">
        <v>1445</v>
      </c>
      <c r="E26" s="61" t="n">
        <f aca="false">SUMIF($B$8:$B$23,"B",E8:E23)</f>
        <v>3756750</v>
      </c>
      <c r="F26" s="61" t="n">
        <f aca="false">SUMIF($B$8:$B$23,"B",F8:F23)</f>
        <v>5667437</v>
      </c>
      <c r="H26" s="61" t="n">
        <f aca="false">SUMIF($B$8:$B$23,"B",H8:H23)</f>
        <v>4940727.52</v>
      </c>
      <c r="I26" s="61" t="n">
        <f aca="false">SUMIF($B$8:$B$23,"B",I8:I23)</f>
        <v>7491119.96</v>
      </c>
    </row>
    <row r="27" customFormat="false" ht="15" hidden="false" customHeight="false" outlineLevel="0" collapsed="false">
      <c r="C27" s="55" t="s">
        <v>1446</v>
      </c>
      <c r="E27" s="61" t="n">
        <f aca="false">SUMIF($B$8:$B$23,"C",E8:E23)</f>
        <v>11569370</v>
      </c>
      <c r="F27" s="61" t="n">
        <f aca="false">SUMIF($B$8:$B$23,"C",F8:F23)</f>
        <v>17168051</v>
      </c>
      <c r="H27" s="61" t="n">
        <f aca="false">SUMIF($B$8:$B$23,"C",H8:H23)</f>
        <v>11569370</v>
      </c>
      <c r="I27" s="61" t="n">
        <f aca="false">SUMIF($B$8:$B$23,"C",I8:I23)</f>
        <v>17168051</v>
      </c>
    </row>
    <row r="28" customFormat="false" ht="15" hidden="false" customHeight="false" outlineLevel="0" collapsed="false">
      <c r="C28" s="55" t="s">
        <v>1447</v>
      </c>
      <c r="H28" s="61" t="n">
        <f aca="false">SUMIF($B$8:$B$23,"A",H8:H23)+SUMIF($B$8:$B$23,"B",H8:H23)</f>
        <v>9953155.72</v>
      </c>
      <c r="I28" s="61" t="n">
        <f aca="false">SUMIF($B$8:$B$23,"A",I8:I23)+SUMIF($B$8:$B$23,"B",I8:I23)</f>
        <v>14637459.16</v>
      </c>
    </row>
    <row r="30" customFormat="false" ht="15" hidden="false" customHeight="false" outlineLevel="0" collapsed="false">
      <c r="A30" s="55" t="s">
        <v>1448</v>
      </c>
    </row>
    <row r="31" customFormat="false" ht="15" hidden="false" customHeight="false" outlineLevel="0" collapsed="false">
      <c r="A31" s="56" t="s">
        <v>1449</v>
      </c>
      <c r="B31" s="49" t="n">
        <v>20</v>
      </c>
    </row>
    <row r="32" customFormat="false" ht="15" hidden="false" customHeight="false" outlineLevel="0" collapsed="false">
      <c r="A32" s="56" t="s">
        <v>1450</v>
      </c>
      <c r="B32" s="60" t="n">
        <v>91438</v>
      </c>
    </row>
    <row r="33" customFormat="false" ht="15" hidden="false" customHeight="false" outlineLevel="0" collapsed="false">
      <c r="A33" s="56" t="s">
        <v>1451</v>
      </c>
      <c r="B33" s="60" t="n">
        <v>1230916</v>
      </c>
    </row>
    <row r="34" customFormat="false" ht="15" hidden="false" customHeight="false" outlineLevel="0" collapsed="false">
      <c r="A34" s="56" t="s">
        <v>1452</v>
      </c>
      <c r="B34" s="48" t="n">
        <v>6400</v>
      </c>
    </row>
    <row r="35" customFormat="false" ht="15" hidden="false" customHeight="false" outlineLevel="0" collapsed="false">
      <c r="A35" s="56" t="s">
        <v>1453</v>
      </c>
      <c r="B35" s="60" t="n">
        <v>1814491</v>
      </c>
    </row>
    <row r="36" customFormat="false" ht="15" hidden="false" customHeight="false" outlineLevel="0" collapsed="false">
      <c r="A36" s="56" t="s">
        <v>1454</v>
      </c>
      <c r="B36" s="48" t="n">
        <v>7800</v>
      </c>
    </row>
    <row r="37" customFormat="false" ht="15" hidden="false" customHeight="false" outlineLevel="0" collapsed="false">
      <c r="A37" s="56" t="s">
        <v>1455</v>
      </c>
      <c r="B37" s="60" t="n">
        <v>123476</v>
      </c>
    </row>
    <row r="38" customFormat="false" ht="15" hidden="false" customHeight="false" outlineLevel="0" collapsed="false">
      <c r="A38" s="56" t="s">
        <v>1456</v>
      </c>
      <c r="B38" s="60" t="n">
        <v>7253100</v>
      </c>
    </row>
    <row r="39" customFormat="false" ht="15" hidden="false" customHeight="false" outlineLevel="0" collapsed="false">
      <c r="A39" s="56" t="s">
        <v>1457</v>
      </c>
      <c r="B39" s="60" t="n">
        <v>362655</v>
      </c>
    </row>
    <row r="40" customFormat="false" ht="15" hidden="false" customHeight="false" outlineLevel="0" collapsed="false">
      <c r="A40" s="56" t="s">
        <v>1458</v>
      </c>
      <c r="B40" s="49" t="n">
        <v>710</v>
      </c>
    </row>
    <row r="42" customFormat="false" ht="15" hidden="false" customHeight="false" outlineLevel="0" collapsed="false">
      <c r="A42" s="55" t="s">
        <v>1459</v>
      </c>
    </row>
    <row r="43" customFormat="false" ht="15" hidden="false" customHeight="false" outlineLevel="0" collapsed="false">
      <c r="A43" s="56" t="s">
        <v>1460</v>
      </c>
      <c r="B43" s="53" t="n">
        <v>0.3</v>
      </c>
    </row>
    <row r="44" customFormat="false" ht="15" hidden="false" customHeight="false" outlineLevel="0" collapsed="false">
      <c r="A44" s="56" t="s">
        <v>1461</v>
      </c>
      <c r="B44" s="53" t="n">
        <v>0.1</v>
      </c>
    </row>
    <row r="45" customFormat="false" ht="15" hidden="false" customHeight="false" outlineLevel="0" collapsed="false">
      <c r="A45" s="56" t="s">
        <v>1462</v>
      </c>
      <c r="B45" s="57" t="n">
        <v>28072164.9763265</v>
      </c>
    </row>
    <row r="46" customFormat="false" ht="15" hidden="false" customHeight="false" outlineLevel="0" collapsed="false">
      <c r="A46" s="56" t="s">
        <v>1463</v>
      </c>
      <c r="B46" s="57" t="n">
        <v>41217603.1431013</v>
      </c>
    </row>
    <row r="47" customFormat="false" ht="15" hidden="false" customHeight="false" outlineLevel="0" collapsed="false">
      <c r="A47" s="56" t="s">
        <v>1464</v>
      </c>
      <c r="B47" s="60" t="n">
        <f aca="false">B43*B45</f>
        <v>8421649.49289796</v>
      </c>
      <c r="C47" s="60" t="n">
        <f aca="false">B43*B46</f>
        <v>12365280.9429304</v>
      </c>
    </row>
    <row r="48" customFormat="false" ht="15" hidden="false" customHeight="false" outlineLevel="0" collapsed="false">
      <c r="A48" s="56" t="s">
        <v>1465</v>
      </c>
      <c r="B48" s="60" t="n">
        <f aca="false">B44*B45</f>
        <v>2807216.49763265</v>
      </c>
      <c r="C48" s="60" t="n">
        <f aca="false">B44*B46</f>
        <v>4121760.31431013</v>
      </c>
    </row>
    <row r="49" customFormat="false" ht="15" hidden="false" customHeight="false" outlineLevel="0" collapsed="false">
      <c r="A49" s="52" t="s">
        <v>1466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6"/>
    <col collapsed="false" customWidth="true" hidden="false" outlineLevel="0" max="2" min="2" style="0" width="10"/>
    <col collapsed="false" customWidth="true" hidden="false" outlineLevel="0" max="3" min="3" style="0" width="48"/>
    <col collapsed="false" customWidth="true" hidden="false" outlineLevel="0" max="4" min="4" style="0" width="36"/>
    <col collapsed="false" customWidth="true" hidden="false" outlineLevel="0" max="5" min="5" style="0" width="52"/>
    <col collapsed="false" customWidth="true" hidden="false" outlineLevel="0" max="9" min="6" style="0" width="12"/>
    <col collapsed="false" customWidth="true" hidden="false" outlineLevel="0" max="10" min="10" style="0" width="22"/>
    <col collapsed="false" customWidth="true" hidden="false" outlineLevel="0" max="11" min="11" style="0" width="48"/>
  </cols>
  <sheetData>
    <row r="1" customFormat="false" ht="17.35" hidden="false" customHeight="false" outlineLevel="0" collapsed="false">
      <c r="A1" s="51" t="s">
        <v>1467</v>
      </c>
    </row>
    <row r="2" customFormat="false" ht="15" hidden="false" customHeight="false" outlineLevel="0" collapsed="false">
      <c r="A2" s="52" t="s">
        <v>1468</v>
      </c>
    </row>
    <row r="4" customFormat="false" ht="15" hidden="false" customHeight="false" outlineLevel="0" collapsed="false">
      <c r="A4" s="35" t="s">
        <v>41</v>
      </c>
      <c r="B4" s="35" t="s">
        <v>1469</v>
      </c>
      <c r="C4" s="35" t="s">
        <v>1470</v>
      </c>
      <c r="D4" s="35" t="s">
        <v>1471</v>
      </c>
      <c r="E4" s="35" t="s">
        <v>1472</v>
      </c>
      <c r="F4" s="35" t="s">
        <v>1343</v>
      </c>
      <c r="G4" s="35" t="s">
        <v>1344</v>
      </c>
      <c r="H4" s="35" t="s">
        <v>1346</v>
      </c>
      <c r="I4" s="35" t="s">
        <v>1347</v>
      </c>
      <c r="J4" s="35" t="s">
        <v>441</v>
      </c>
      <c r="K4" s="35" t="s">
        <v>1349</v>
      </c>
    </row>
    <row r="5" customFormat="false" ht="46.25" hidden="false" customHeight="false" outlineLevel="0" collapsed="false">
      <c r="A5" s="75" t="s">
        <v>1473</v>
      </c>
      <c r="B5" s="75" t="s">
        <v>1474</v>
      </c>
      <c r="C5" s="75" t="s">
        <v>1475</v>
      </c>
      <c r="D5" s="75" t="s">
        <v>1476</v>
      </c>
      <c r="E5" s="75" t="s">
        <v>1477</v>
      </c>
      <c r="F5" s="78" t="n">
        <v>1130255</v>
      </c>
      <c r="G5" s="78" t="n">
        <v>1130255</v>
      </c>
      <c r="H5" s="78" t="n">
        <v>1628029</v>
      </c>
      <c r="I5" s="78" t="n">
        <v>1628029</v>
      </c>
      <c r="J5" s="75" t="s">
        <v>1353</v>
      </c>
      <c r="K5" s="75" t="s">
        <v>1478</v>
      </c>
    </row>
    <row r="6" customFormat="false" ht="35.05" hidden="false" customHeight="false" outlineLevel="0" collapsed="false">
      <c r="A6" s="75" t="s">
        <v>1479</v>
      </c>
      <c r="B6" s="75" t="s">
        <v>1474</v>
      </c>
      <c r="C6" s="75" t="s">
        <v>1480</v>
      </c>
      <c r="D6" s="75" t="s">
        <v>1481</v>
      </c>
      <c r="E6" s="75" t="s">
        <v>1482</v>
      </c>
      <c r="F6" s="78" t="n">
        <v>491778</v>
      </c>
      <c r="G6" s="78" t="n">
        <v>739220</v>
      </c>
      <c r="H6" s="78" t="n">
        <v>708361</v>
      </c>
      <c r="I6" s="78" t="n">
        <v>1064779</v>
      </c>
      <c r="J6" s="75" t="s">
        <v>1483</v>
      </c>
      <c r="K6" s="75" t="s">
        <v>1484</v>
      </c>
    </row>
    <row r="7" customFormat="false" ht="57.45" hidden="false" customHeight="false" outlineLevel="0" collapsed="false">
      <c r="A7" s="75" t="s">
        <v>1485</v>
      </c>
      <c r="B7" s="75" t="s">
        <v>1474</v>
      </c>
      <c r="C7" s="75" t="s">
        <v>1486</v>
      </c>
      <c r="D7" s="75" t="s">
        <v>1487</v>
      </c>
      <c r="E7" s="75" t="s">
        <v>1488</v>
      </c>
      <c r="F7" s="78" t="n">
        <v>181511</v>
      </c>
      <c r="G7" s="78" t="n">
        <v>235964</v>
      </c>
      <c r="H7" s="78" t="n">
        <v>261450</v>
      </c>
      <c r="I7" s="78" t="n">
        <v>339884</v>
      </c>
      <c r="J7" s="75" t="s">
        <v>1418</v>
      </c>
      <c r="K7" s="75" t="s">
        <v>1489</v>
      </c>
    </row>
    <row r="8" customFormat="false" ht="23.85" hidden="false" customHeight="false" outlineLevel="0" collapsed="false">
      <c r="A8" s="75" t="s">
        <v>1490</v>
      </c>
      <c r="B8" s="75" t="s">
        <v>1491</v>
      </c>
      <c r="C8" s="75" t="s">
        <v>1492</v>
      </c>
      <c r="D8" s="75" t="s">
        <v>1493</v>
      </c>
      <c r="E8" s="75" t="s">
        <v>1494</v>
      </c>
      <c r="F8" s="78" t="n">
        <v>-600000</v>
      </c>
      <c r="G8" s="78" t="n">
        <v>-1000000</v>
      </c>
      <c r="H8" s="78" t="n">
        <v>-864245</v>
      </c>
      <c r="I8" s="78" t="n">
        <v>-1440409</v>
      </c>
      <c r="J8" s="75" t="s">
        <v>1413</v>
      </c>
      <c r="K8" s="75" t="s">
        <v>1495</v>
      </c>
    </row>
    <row r="9" customFormat="false" ht="79.85" hidden="false" customHeight="false" outlineLevel="0" collapsed="false">
      <c r="A9" s="75" t="s">
        <v>1496</v>
      </c>
      <c r="B9" s="75" t="s">
        <v>1474</v>
      </c>
      <c r="C9" s="75" t="s">
        <v>1497</v>
      </c>
      <c r="D9" s="75" t="s">
        <v>1498</v>
      </c>
      <c r="E9" s="75" t="s">
        <v>1499</v>
      </c>
      <c r="F9" s="78" t="n">
        <v>415931</v>
      </c>
      <c r="G9" s="78" t="n">
        <v>462873</v>
      </c>
      <c r="H9" s="78" t="n">
        <v>599111</v>
      </c>
      <c r="I9" s="78" t="n">
        <v>666727</v>
      </c>
      <c r="J9" s="75" t="s">
        <v>1500</v>
      </c>
      <c r="K9" s="75" t="s">
        <v>1501</v>
      </c>
    </row>
    <row r="10" customFormat="false" ht="57.45" hidden="false" customHeight="false" outlineLevel="0" collapsed="false">
      <c r="A10" s="75" t="s">
        <v>1502</v>
      </c>
      <c r="B10" s="75" t="s">
        <v>1474</v>
      </c>
      <c r="C10" s="75" t="s">
        <v>1503</v>
      </c>
      <c r="D10" s="75" t="s">
        <v>1504</v>
      </c>
      <c r="E10" s="75" t="s">
        <v>1505</v>
      </c>
      <c r="F10" s="78" t="n">
        <v>300000</v>
      </c>
      <c r="G10" s="78" t="n">
        <v>800000</v>
      </c>
      <c r="H10" s="78" t="n">
        <v>432123</v>
      </c>
      <c r="I10" s="78" t="n">
        <v>1152327</v>
      </c>
      <c r="J10" s="75" t="s">
        <v>1396</v>
      </c>
      <c r="K10" s="75" t="s">
        <v>1506</v>
      </c>
    </row>
    <row r="11" customFormat="false" ht="46.25" hidden="false" customHeight="false" outlineLevel="0" collapsed="false">
      <c r="A11" s="75" t="s">
        <v>1507</v>
      </c>
      <c r="B11" s="75" t="s">
        <v>1491</v>
      </c>
      <c r="C11" s="75" t="s">
        <v>1508</v>
      </c>
      <c r="D11" s="75" t="s">
        <v>1509</v>
      </c>
      <c r="E11" s="75" t="s">
        <v>1510</v>
      </c>
      <c r="F11" s="78" t="n">
        <v>-600000</v>
      </c>
      <c r="G11" s="78" t="n">
        <v>-1200000</v>
      </c>
      <c r="H11" s="78" t="n">
        <v>-864245</v>
      </c>
      <c r="I11" s="78" t="n">
        <v>-1728490</v>
      </c>
      <c r="J11" s="75" t="s">
        <v>1511</v>
      </c>
      <c r="K11" s="75" t="s">
        <v>1512</v>
      </c>
    </row>
    <row r="12" customFormat="false" ht="68.65" hidden="false" customHeight="false" outlineLevel="0" collapsed="false">
      <c r="A12" s="75" t="s">
        <v>1513</v>
      </c>
      <c r="B12" s="75" t="s">
        <v>1474</v>
      </c>
      <c r="C12" s="75" t="s">
        <v>1514</v>
      </c>
      <c r="D12" s="75" t="s">
        <v>1515</v>
      </c>
      <c r="E12" s="75" t="s">
        <v>1516</v>
      </c>
      <c r="F12" s="78" t="n">
        <v>1222436</v>
      </c>
      <c r="G12" s="78" t="n">
        <v>1679247</v>
      </c>
      <c r="H12" s="78" t="n">
        <v>1760808</v>
      </c>
      <c r="I12" s="78" t="n">
        <v>2418803</v>
      </c>
      <c r="J12" s="75" t="s">
        <v>1384</v>
      </c>
      <c r="K12" s="75" t="s">
        <v>1517</v>
      </c>
    </row>
    <row r="13" customFormat="false" ht="35.05" hidden="false" customHeight="false" outlineLevel="0" collapsed="false">
      <c r="A13" s="75" t="s">
        <v>1518</v>
      </c>
      <c r="B13" s="75" t="s">
        <v>1474</v>
      </c>
      <c r="C13" s="75" t="s">
        <v>1519</v>
      </c>
      <c r="D13" s="75" t="s">
        <v>1520</v>
      </c>
      <c r="E13" s="75" t="s">
        <v>1521</v>
      </c>
      <c r="F13" s="78" t="n">
        <v>150000</v>
      </c>
      <c r="G13" s="78" t="n">
        <v>350000</v>
      </c>
      <c r="H13" s="78" t="n">
        <v>216061</v>
      </c>
      <c r="I13" s="78" t="n">
        <v>504143</v>
      </c>
      <c r="J13" s="75" t="s">
        <v>1377</v>
      </c>
      <c r="K13" s="75" t="s">
        <v>1522</v>
      </c>
    </row>
    <row r="14" customFormat="false" ht="57.45" hidden="false" customHeight="false" outlineLevel="0" collapsed="false">
      <c r="A14" s="75" t="s">
        <v>1523</v>
      </c>
      <c r="B14" s="75" t="s">
        <v>1474</v>
      </c>
      <c r="C14" s="75" t="s">
        <v>1524</v>
      </c>
      <c r="D14" s="75" t="s">
        <v>1525</v>
      </c>
      <c r="E14" s="75" t="s">
        <v>1526</v>
      </c>
      <c r="F14" s="78" t="n">
        <v>200000</v>
      </c>
      <c r="G14" s="78" t="n">
        <v>400000</v>
      </c>
      <c r="H14" s="78" t="n">
        <v>288082</v>
      </c>
      <c r="I14" s="78" t="n">
        <v>576163</v>
      </c>
      <c r="J14" s="75" t="s">
        <v>1424</v>
      </c>
      <c r="K14" s="75" t="s">
        <v>1527</v>
      </c>
    </row>
    <row r="15" customFormat="false" ht="46.25" hidden="false" customHeight="false" outlineLevel="0" collapsed="false">
      <c r="A15" s="75" t="s">
        <v>66</v>
      </c>
      <c r="B15" s="75" t="s">
        <v>1474</v>
      </c>
      <c r="C15" s="75" t="s">
        <v>1528</v>
      </c>
      <c r="D15" s="75" t="s">
        <v>1529</v>
      </c>
      <c r="E15" s="75" t="s">
        <v>1530</v>
      </c>
      <c r="F15" s="78" t="n">
        <v>1256950</v>
      </c>
      <c r="G15" s="78" t="n">
        <v>1766950</v>
      </c>
      <c r="H15" s="78" t="n">
        <v>1256950</v>
      </c>
      <c r="I15" s="78" t="n">
        <v>1766950</v>
      </c>
      <c r="J15" s="75" t="s">
        <v>1359</v>
      </c>
      <c r="K15" s="75" t="s">
        <v>1531</v>
      </c>
    </row>
    <row r="16" customFormat="false" ht="35.05" hidden="false" customHeight="false" outlineLevel="0" collapsed="false">
      <c r="A16" s="75" t="s">
        <v>1532</v>
      </c>
      <c r="B16" s="75" t="s">
        <v>1474</v>
      </c>
      <c r="C16" s="75" t="s">
        <v>1533</v>
      </c>
      <c r="D16" s="75" t="s">
        <v>1534</v>
      </c>
      <c r="E16" s="75" t="s">
        <v>1535</v>
      </c>
      <c r="F16" s="78" t="n">
        <v>1047911</v>
      </c>
      <c r="G16" s="78" t="n">
        <v>2095822</v>
      </c>
      <c r="H16" s="78" t="n">
        <v>1047911</v>
      </c>
      <c r="I16" s="78" t="n">
        <v>2095822</v>
      </c>
      <c r="J16" s="75" t="s">
        <v>1536</v>
      </c>
      <c r="K16" s="75" t="s">
        <v>1537</v>
      </c>
    </row>
    <row r="17" customFormat="false" ht="23.85" hidden="false" customHeight="false" outlineLevel="0" collapsed="false">
      <c r="A17" s="75" t="s">
        <v>72</v>
      </c>
      <c r="B17" s="75" t="s">
        <v>1474</v>
      </c>
      <c r="C17" s="75" t="s">
        <v>1538</v>
      </c>
      <c r="D17" s="75" t="s">
        <v>1539</v>
      </c>
      <c r="E17" s="75" t="s">
        <v>1540</v>
      </c>
      <c r="F17" s="78" t="n">
        <v>340505</v>
      </c>
      <c r="G17" s="78" t="n">
        <v>681010</v>
      </c>
      <c r="H17" s="78" t="n">
        <v>340505</v>
      </c>
      <c r="I17" s="78" t="n">
        <v>681010</v>
      </c>
      <c r="J17" s="75" t="s">
        <v>1541</v>
      </c>
      <c r="K17" s="75" t="s">
        <v>1542</v>
      </c>
    </row>
    <row r="19" customFormat="false" ht="15" hidden="false" customHeight="false" outlineLevel="0" collapsed="false">
      <c r="A19" s="55" t="s">
        <v>1543</v>
      </c>
    </row>
    <row r="20" customFormat="false" ht="15" hidden="false" customHeight="false" outlineLevel="0" collapsed="false">
      <c r="A20" s="35" t="s">
        <v>1544</v>
      </c>
      <c r="B20" s="35" t="s">
        <v>198</v>
      </c>
      <c r="C20" s="35" t="s">
        <v>199</v>
      </c>
      <c r="D20" s="35" t="s">
        <v>387</v>
      </c>
    </row>
    <row r="21" customFormat="false" ht="15" hidden="false" customHeight="false" outlineLevel="0" collapsed="false">
      <c r="A21" s="56" t="s">
        <v>1545</v>
      </c>
      <c r="B21" s="60" t="n">
        <v>57247300</v>
      </c>
      <c r="C21" s="60" t="n">
        <v>57247300</v>
      </c>
      <c r="D21" s="52" t="s">
        <v>1546</v>
      </c>
    </row>
    <row r="22" customFormat="false" ht="15" hidden="false" customHeight="false" outlineLevel="0" collapsed="false">
      <c r="A22" s="56" t="s">
        <v>1547</v>
      </c>
      <c r="B22" s="60" t="n">
        <v>50701762</v>
      </c>
      <c r="C22" s="60" t="n">
        <v>52600178</v>
      </c>
      <c r="D22" s="52" t="s">
        <v>1548</v>
      </c>
    </row>
    <row r="23" customFormat="false" ht="15" hidden="false" customHeight="false" outlineLevel="0" collapsed="false">
      <c r="A23" s="56" t="s">
        <v>1549</v>
      </c>
      <c r="B23" s="60" t="n">
        <v>42407919</v>
      </c>
      <c r="C23" s="60" t="n">
        <v>47346589</v>
      </c>
      <c r="D23" s="52" t="s">
        <v>1550</v>
      </c>
    </row>
    <row r="24" customFormat="false" ht="15" hidden="false" customHeight="false" outlineLevel="0" collapsed="false">
      <c r="A24" s="56" t="s">
        <v>1551</v>
      </c>
      <c r="B24" s="60" t="n">
        <v>1728490</v>
      </c>
      <c r="C24" s="60" t="n">
        <v>3168899</v>
      </c>
      <c r="D24" s="52" t="s">
        <v>1552</v>
      </c>
    </row>
    <row r="25" customFormat="false" ht="15" hidden="false" customHeight="false" outlineLevel="0" collapsed="false">
      <c r="A25" s="56" t="s">
        <v>1553</v>
      </c>
      <c r="B25" s="60" t="n">
        <v>4000000</v>
      </c>
      <c r="C25" s="60" t="n">
        <v>8000000</v>
      </c>
      <c r="D25" s="52" t="s">
        <v>1554</v>
      </c>
    </row>
    <row r="26" customFormat="false" ht="15" hidden="false" customHeight="false" outlineLevel="0" collapsed="false">
      <c r="A26" s="56" t="s">
        <v>1555</v>
      </c>
      <c r="B26" s="60" t="n">
        <v>48136409</v>
      </c>
      <c r="C26" s="60" t="n">
        <v>58515488</v>
      </c>
      <c r="D26" s="52" t="s">
        <v>1556</v>
      </c>
    </row>
    <row r="28" customFormat="false" ht="15" hidden="false" customHeight="false" outlineLevel="0" collapsed="false">
      <c r="A28" s="55" t="s">
        <v>1557</v>
      </c>
    </row>
    <row r="29" customFormat="false" ht="15" hidden="false" customHeight="false" outlineLevel="0" collapsed="false">
      <c r="A29" s="35" t="s">
        <v>1558</v>
      </c>
      <c r="B29" s="35" t="s">
        <v>1559</v>
      </c>
      <c r="C29" s="35" t="s">
        <v>1560</v>
      </c>
      <c r="D29" s="35" t="s">
        <v>1561</v>
      </c>
    </row>
    <row r="30" customFormat="false" ht="247.75" hidden="false" customHeight="false" outlineLevel="0" collapsed="false">
      <c r="A30" s="75" t="s">
        <v>1562</v>
      </c>
      <c r="B30" s="75" t="s">
        <v>1563</v>
      </c>
      <c r="C30" s="75" t="s">
        <v>1564</v>
      </c>
      <c r="D30" s="75" t="s">
        <v>1565</v>
      </c>
    </row>
    <row r="31" customFormat="false" ht="169.4" hidden="false" customHeight="false" outlineLevel="0" collapsed="false">
      <c r="A31" s="75" t="s">
        <v>1566</v>
      </c>
      <c r="B31" s="75" t="s">
        <v>1567</v>
      </c>
      <c r="C31" s="75" t="s">
        <v>1568</v>
      </c>
      <c r="D31" s="75" t="s">
        <v>1569</v>
      </c>
    </row>
    <row r="32" customFormat="false" ht="258.95" hidden="false" customHeight="false" outlineLevel="0" collapsed="false">
      <c r="A32" s="75" t="s">
        <v>1570</v>
      </c>
      <c r="B32" s="75" t="s">
        <v>1571</v>
      </c>
      <c r="C32" s="75" t="s">
        <v>1572</v>
      </c>
      <c r="D32" s="75" t="s">
        <v>1573</v>
      </c>
    </row>
    <row r="33" customFormat="false" ht="258.95" hidden="false" customHeight="false" outlineLevel="0" collapsed="false">
      <c r="A33" s="75" t="s">
        <v>1574</v>
      </c>
      <c r="B33" s="75" t="s">
        <v>1575</v>
      </c>
      <c r="C33" s="75" t="s">
        <v>1576</v>
      </c>
      <c r="D33" s="75" t="s">
        <v>1577</v>
      </c>
    </row>
    <row r="34" customFormat="false" ht="247.75" hidden="false" customHeight="false" outlineLevel="0" collapsed="false">
      <c r="A34" s="75" t="s">
        <v>1578</v>
      </c>
      <c r="B34" s="75" t="s">
        <v>1579</v>
      </c>
      <c r="C34" s="75" t="s">
        <v>1580</v>
      </c>
      <c r="D34" s="75" t="s">
        <v>1581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6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28"/>
    <col collapsed="false" customWidth="true" hidden="false" outlineLevel="0" max="2" min="2" style="1" width="6"/>
    <col collapsed="false" customWidth="true" hidden="false" outlineLevel="0" max="3" min="3" style="1" width="12"/>
    <col collapsed="false" customWidth="true" hidden="false" outlineLevel="0" max="4" min="4" style="1" width="6"/>
    <col collapsed="false" customWidth="true" hidden="false" outlineLevel="0" max="5" min="5" style="1" width="60"/>
    <col collapsed="false" customWidth="true" hidden="false" outlineLevel="0" max="6" min="6" style="1" width="8"/>
    <col collapsed="false" customWidth="true" hidden="false" outlineLevel="0" max="7" min="7" style="1" width="6"/>
    <col collapsed="false" customWidth="true" hidden="false" outlineLevel="0" max="8" min="8" style="1" width="15"/>
    <col collapsed="false" customWidth="true" hidden="false" outlineLevel="0" max="9" min="9" style="1" width="10"/>
    <col collapsed="false" customWidth="true" hidden="false" outlineLevel="0" max="10" min="10" style="1" width="50"/>
    <col collapsed="false" customWidth="true" hidden="false" outlineLevel="0" max="11" min="11" style="1" width="60"/>
    <col collapsed="false" customWidth="true" hidden="false" outlineLevel="0" max="12" min="12" style="1" width="8"/>
  </cols>
  <sheetData>
    <row r="1" customFormat="false" ht="23.25" hidden="false" customHeight="true" outlineLevel="0" collapsed="false">
      <c r="A1" s="9" t="s">
        <v>1582</v>
      </c>
      <c r="B1" s="9" t="s">
        <v>1583</v>
      </c>
      <c r="C1" s="9" t="s">
        <v>1584</v>
      </c>
      <c r="D1" s="9" t="s">
        <v>1585</v>
      </c>
      <c r="E1" s="9" t="s">
        <v>1586</v>
      </c>
      <c r="F1" s="9" t="s">
        <v>1587</v>
      </c>
      <c r="G1" s="9" t="s">
        <v>1588</v>
      </c>
      <c r="H1" s="9" t="s">
        <v>1589</v>
      </c>
      <c r="I1" s="9" t="s">
        <v>1590</v>
      </c>
      <c r="J1" s="9" t="s">
        <v>387</v>
      </c>
      <c r="K1" s="9" t="s">
        <v>41</v>
      </c>
      <c r="L1" s="9" t="s">
        <v>1591</v>
      </c>
    </row>
    <row r="2" customFormat="false" ht="15" hidden="false" customHeight="true" outlineLevel="0" collapsed="false">
      <c r="A2" s="10" t="s">
        <v>1592</v>
      </c>
      <c r="B2" s="10" t="s">
        <v>1593</v>
      </c>
      <c r="C2" s="10" t="s">
        <v>1594</v>
      </c>
      <c r="D2" s="10" t="n">
        <v>0</v>
      </c>
      <c r="E2" s="10" t="s">
        <v>1595</v>
      </c>
      <c r="F2" s="10" t="n">
        <v>1</v>
      </c>
      <c r="G2" s="10" t="s">
        <v>1596</v>
      </c>
      <c r="H2" s="79" t="n">
        <v>5456.87223235797</v>
      </c>
      <c r="I2" s="10" t="n">
        <v>0</v>
      </c>
      <c r="J2" s="10"/>
      <c r="K2" s="10" t="s">
        <v>58</v>
      </c>
      <c r="L2" s="10" t="str">
        <f aca="false">LEFT(K2,1)</f>
        <v>F</v>
      </c>
    </row>
    <row r="3" customFormat="false" ht="15" hidden="false" customHeight="true" outlineLevel="0" collapsed="false">
      <c r="A3" s="10" t="s">
        <v>1592</v>
      </c>
      <c r="B3" s="10" t="s">
        <v>1593</v>
      </c>
      <c r="C3" s="10" t="s">
        <v>1597</v>
      </c>
      <c r="D3" s="10" t="n">
        <v>0</v>
      </c>
      <c r="E3" s="10" t="s">
        <v>1598</v>
      </c>
      <c r="F3" s="10" t="n">
        <v>1</v>
      </c>
      <c r="G3" s="10" t="s">
        <v>1596</v>
      </c>
      <c r="H3" s="79" t="n">
        <v>8185.30834853695</v>
      </c>
      <c r="I3" s="10" t="n">
        <v>0</v>
      </c>
      <c r="J3" s="10"/>
      <c r="K3" s="10" t="s">
        <v>58</v>
      </c>
      <c r="L3" s="10" t="str">
        <f aca="false">LEFT(K3,1)</f>
        <v>F</v>
      </c>
    </row>
    <row r="4" customFormat="false" ht="15" hidden="false" customHeight="true" outlineLevel="0" collapsed="false">
      <c r="A4" s="10" t="s">
        <v>1592</v>
      </c>
      <c r="B4" s="10" t="s">
        <v>1599</v>
      </c>
      <c r="C4" s="10" t="s">
        <v>1600</v>
      </c>
      <c r="D4" s="10" t="n">
        <v>0</v>
      </c>
      <c r="E4" s="10" t="s">
        <v>1601</v>
      </c>
      <c r="F4" s="10" t="n">
        <v>1</v>
      </c>
      <c r="G4" s="10" t="s">
        <v>1596</v>
      </c>
      <c r="H4" s="79" t="n">
        <v>17393.780240641</v>
      </c>
      <c r="I4" s="10" t="n">
        <v>0</v>
      </c>
      <c r="J4" s="10"/>
      <c r="K4" s="10" t="s">
        <v>58</v>
      </c>
      <c r="L4" s="10" t="str">
        <f aca="false">LEFT(K4,1)</f>
        <v>F</v>
      </c>
    </row>
    <row r="5" customFormat="false" ht="15" hidden="false" customHeight="true" outlineLevel="0" collapsed="false">
      <c r="A5" s="10" t="s">
        <v>1592</v>
      </c>
      <c r="B5" s="10" t="s">
        <v>1599</v>
      </c>
      <c r="C5" s="10" t="s">
        <v>1602</v>
      </c>
      <c r="D5" s="10" t="n">
        <v>0</v>
      </c>
      <c r="E5" s="10" t="s">
        <v>1603</v>
      </c>
      <c r="F5" s="10" t="n">
        <v>1</v>
      </c>
      <c r="G5" s="10" t="s">
        <v>1596</v>
      </c>
      <c r="H5" s="79" t="n">
        <v>156544.022165769</v>
      </c>
      <c r="I5" s="10" t="n">
        <v>0</v>
      </c>
      <c r="J5" s="10"/>
      <c r="K5" s="10" t="s">
        <v>58</v>
      </c>
      <c r="L5" s="10" t="str">
        <f aca="false">LEFT(K5,1)</f>
        <v>F</v>
      </c>
    </row>
    <row r="6" customFormat="false" ht="15" hidden="false" customHeight="true" outlineLevel="0" collapsed="false">
      <c r="A6" s="10" t="s">
        <v>1592</v>
      </c>
      <c r="B6" s="10" t="s">
        <v>1604</v>
      </c>
      <c r="C6" s="10" t="s">
        <v>1605</v>
      </c>
      <c r="D6" s="10" t="n">
        <v>238</v>
      </c>
      <c r="E6" s="10" t="s">
        <v>1606</v>
      </c>
      <c r="F6" s="10" t="n">
        <v>40</v>
      </c>
      <c r="G6" s="10" t="s">
        <v>1607</v>
      </c>
      <c r="H6" s="79" t="n">
        <v>2719.56232258065</v>
      </c>
      <c r="I6" s="10" t="n">
        <v>40</v>
      </c>
      <c r="J6" s="10"/>
      <c r="K6" s="10" t="s">
        <v>58</v>
      </c>
      <c r="L6" s="10" t="str">
        <f aca="false">LEFT(K6,1)</f>
        <v>F</v>
      </c>
    </row>
    <row r="7" customFormat="false" ht="15" hidden="false" customHeight="true" outlineLevel="0" collapsed="false">
      <c r="A7" s="10" t="s">
        <v>1592</v>
      </c>
      <c r="B7" s="10" t="s">
        <v>1604</v>
      </c>
      <c r="C7" s="10" t="s">
        <v>1608</v>
      </c>
      <c r="D7" s="10" t="n">
        <v>239</v>
      </c>
      <c r="E7" s="10" t="s">
        <v>1609</v>
      </c>
      <c r="F7" s="10" t="n">
        <v>120</v>
      </c>
      <c r="G7" s="10" t="s">
        <v>1607</v>
      </c>
      <c r="H7" s="79" t="n">
        <v>21359.4910451613</v>
      </c>
      <c r="I7" s="10" t="n">
        <v>120</v>
      </c>
      <c r="J7" s="10"/>
      <c r="K7" s="10" t="s">
        <v>58</v>
      </c>
      <c r="L7" s="10" t="str">
        <f aca="false">LEFT(K7,1)</f>
        <v>F</v>
      </c>
    </row>
    <row r="8" customFormat="false" ht="15" hidden="false" customHeight="true" outlineLevel="0" collapsed="false">
      <c r="A8" s="10" t="s">
        <v>1592</v>
      </c>
      <c r="B8" s="10" t="s">
        <v>1604</v>
      </c>
      <c r="C8" s="10" t="s">
        <v>1610</v>
      </c>
      <c r="D8" s="10" t="n">
        <v>242</v>
      </c>
      <c r="E8" s="10" t="s">
        <v>1611</v>
      </c>
      <c r="F8" s="10" t="n">
        <v>80</v>
      </c>
      <c r="G8" s="10" t="s">
        <v>1607</v>
      </c>
      <c r="H8" s="79" t="n">
        <v>5439.12464516129</v>
      </c>
      <c r="I8" s="10" t="n">
        <v>80</v>
      </c>
      <c r="J8" s="10"/>
      <c r="K8" s="10" t="s">
        <v>58</v>
      </c>
      <c r="L8" s="10" t="str">
        <f aca="false">LEFT(K8,1)</f>
        <v>F</v>
      </c>
    </row>
    <row r="9" customFormat="false" ht="15" hidden="false" customHeight="true" outlineLevel="0" collapsed="false">
      <c r="A9" s="10" t="s">
        <v>1592</v>
      </c>
      <c r="B9" s="10" t="s">
        <v>1604</v>
      </c>
      <c r="C9" s="10" t="s">
        <v>1612</v>
      </c>
      <c r="D9" s="10" t="n">
        <v>243</v>
      </c>
      <c r="E9" s="10" t="s">
        <v>1613</v>
      </c>
      <c r="F9" s="10" t="n">
        <v>160</v>
      </c>
      <c r="G9" s="10" t="s">
        <v>1607</v>
      </c>
      <c r="H9" s="79" t="n">
        <v>28832.2169806452</v>
      </c>
      <c r="I9" s="10" t="n">
        <v>160</v>
      </c>
      <c r="J9" s="10"/>
      <c r="K9" s="10" t="s">
        <v>58</v>
      </c>
      <c r="L9" s="10" t="str">
        <f aca="false">LEFT(K9,1)</f>
        <v>F</v>
      </c>
    </row>
    <row r="10" customFormat="false" ht="15" hidden="false" customHeight="true" outlineLevel="0" collapsed="false">
      <c r="A10" s="10" t="s">
        <v>1592</v>
      </c>
      <c r="B10" s="10" t="s">
        <v>1604</v>
      </c>
      <c r="C10" s="10" t="s">
        <v>1614</v>
      </c>
      <c r="D10" s="10" t="n">
        <v>247</v>
      </c>
      <c r="E10" s="10" t="s">
        <v>1615</v>
      </c>
      <c r="F10" s="10" t="n">
        <v>40</v>
      </c>
      <c r="G10" s="10" t="s">
        <v>1607</v>
      </c>
      <c r="H10" s="79" t="n">
        <v>2817.09424516129</v>
      </c>
      <c r="I10" s="10" t="n">
        <v>40</v>
      </c>
      <c r="J10" s="10"/>
      <c r="K10" s="10" t="s">
        <v>58</v>
      </c>
      <c r="L10" s="10" t="str">
        <f aca="false">LEFT(K10,1)</f>
        <v>F</v>
      </c>
    </row>
    <row r="11" customFormat="false" ht="15" hidden="false" customHeight="true" outlineLevel="0" collapsed="false">
      <c r="A11" s="10" t="s">
        <v>1592</v>
      </c>
      <c r="B11" s="10" t="s">
        <v>1616</v>
      </c>
      <c r="C11" s="10" t="s">
        <v>1617</v>
      </c>
      <c r="D11" s="10" t="n">
        <v>480</v>
      </c>
      <c r="E11" s="10" t="s">
        <v>1618</v>
      </c>
      <c r="F11" s="10" t="n">
        <v>8</v>
      </c>
      <c r="G11" s="10" t="s">
        <v>1619</v>
      </c>
      <c r="H11" s="79" t="n">
        <v>6371.41805309735</v>
      </c>
      <c r="I11" s="10" t="n">
        <v>0</v>
      </c>
      <c r="J11" s="10"/>
      <c r="K11" s="10" t="s">
        <v>58</v>
      </c>
      <c r="L11" s="10" t="str">
        <f aca="false">LEFT(K11,1)</f>
        <v>F</v>
      </c>
    </row>
    <row r="12" customFormat="false" ht="15" hidden="false" customHeight="true" outlineLevel="0" collapsed="false">
      <c r="A12" s="10" t="s">
        <v>1592</v>
      </c>
      <c r="B12" s="10" t="s">
        <v>1616</v>
      </c>
      <c r="C12" s="10" t="s">
        <v>1617</v>
      </c>
      <c r="D12" s="10" t="n">
        <v>478</v>
      </c>
      <c r="E12" s="10" t="s">
        <v>1620</v>
      </c>
      <c r="F12" s="10" t="n">
        <v>40</v>
      </c>
      <c r="G12" s="10" t="s">
        <v>1619</v>
      </c>
      <c r="H12" s="79" t="n">
        <v>29202.3327433628</v>
      </c>
      <c r="I12" s="10" t="n">
        <v>0</v>
      </c>
      <c r="J12" s="10"/>
      <c r="K12" s="10" t="s">
        <v>58</v>
      </c>
      <c r="L12" s="10" t="str">
        <f aca="false">LEFT(K12,1)</f>
        <v>F</v>
      </c>
    </row>
    <row r="13" customFormat="false" ht="15" hidden="false" customHeight="true" outlineLevel="0" collapsed="false">
      <c r="A13" s="10" t="s">
        <v>1592</v>
      </c>
      <c r="B13" s="10" t="s">
        <v>1616</v>
      </c>
      <c r="C13" s="10" t="s">
        <v>1617</v>
      </c>
      <c r="D13" s="10" t="n">
        <v>470</v>
      </c>
      <c r="E13" s="10" t="s">
        <v>1621</v>
      </c>
      <c r="F13" s="10" t="n">
        <v>8</v>
      </c>
      <c r="G13" s="10" t="s">
        <v>1619</v>
      </c>
      <c r="H13" s="79" t="n">
        <v>40639.0281486726</v>
      </c>
      <c r="I13" s="10" t="n">
        <v>0</v>
      </c>
      <c r="J13" s="10"/>
      <c r="K13" s="10" t="s">
        <v>58</v>
      </c>
      <c r="L13" s="10" t="str">
        <f aca="false">LEFT(K13,1)</f>
        <v>F</v>
      </c>
    </row>
    <row r="14" customFormat="false" ht="15" hidden="false" customHeight="true" outlineLevel="0" collapsed="false">
      <c r="A14" s="10" t="s">
        <v>1592</v>
      </c>
      <c r="B14" s="10" t="s">
        <v>1616</v>
      </c>
      <c r="C14" s="10" t="s">
        <v>1617</v>
      </c>
      <c r="D14" s="10" t="n">
        <v>476</v>
      </c>
      <c r="E14" s="10" t="s">
        <v>1622</v>
      </c>
      <c r="F14" s="10" t="n">
        <v>4</v>
      </c>
      <c r="G14" s="10" t="s">
        <v>1619</v>
      </c>
      <c r="H14" s="79" t="n">
        <v>16932.9283952802</v>
      </c>
      <c r="I14" s="10" t="n">
        <v>0</v>
      </c>
      <c r="J14" s="10"/>
      <c r="K14" s="10" t="s">
        <v>58</v>
      </c>
      <c r="L14" s="10" t="str">
        <f aca="false">LEFT(K14,1)</f>
        <v>F</v>
      </c>
    </row>
    <row r="15" customFormat="false" ht="15" hidden="false" customHeight="true" outlineLevel="0" collapsed="false">
      <c r="A15" s="10" t="s">
        <v>1592</v>
      </c>
      <c r="B15" s="10" t="s">
        <v>1616</v>
      </c>
      <c r="C15" s="10" t="s">
        <v>1617</v>
      </c>
      <c r="D15" s="10" t="n">
        <v>472</v>
      </c>
      <c r="E15" s="10" t="s">
        <v>1623</v>
      </c>
      <c r="F15" s="10" t="n">
        <v>8</v>
      </c>
      <c r="G15" s="10" t="s">
        <v>1619</v>
      </c>
      <c r="H15" s="79" t="n">
        <v>33865.8567905605</v>
      </c>
      <c r="I15" s="10" t="n">
        <v>0</v>
      </c>
      <c r="J15" s="10"/>
      <c r="K15" s="10" t="s">
        <v>58</v>
      </c>
      <c r="L15" s="10" t="str">
        <f aca="false">LEFT(K15,1)</f>
        <v>F</v>
      </c>
    </row>
    <row r="16" customFormat="false" ht="15" hidden="false" customHeight="true" outlineLevel="0" collapsed="false">
      <c r="A16" s="10" t="s">
        <v>1592</v>
      </c>
      <c r="B16" s="10" t="s">
        <v>1616</v>
      </c>
      <c r="C16" s="10" t="s">
        <v>1624</v>
      </c>
      <c r="D16" s="10" t="n">
        <v>488</v>
      </c>
      <c r="E16" s="10" t="s">
        <v>1625</v>
      </c>
      <c r="F16" s="10" t="n">
        <v>200</v>
      </c>
      <c r="G16" s="10" t="s">
        <v>1626</v>
      </c>
      <c r="H16" s="79" t="n">
        <v>124.773603539823</v>
      </c>
      <c r="I16" s="10" t="n">
        <v>0</v>
      </c>
      <c r="J16" s="10"/>
      <c r="K16" s="10" t="s">
        <v>58</v>
      </c>
      <c r="L16" s="10" t="str">
        <f aca="false">LEFT(K16,1)</f>
        <v>F</v>
      </c>
    </row>
    <row r="17" customFormat="false" ht="15" hidden="false" customHeight="true" outlineLevel="0" collapsed="false">
      <c r="A17" s="10" t="s">
        <v>1592</v>
      </c>
      <c r="B17" s="10" t="s">
        <v>1616</v>
      </c>
      <c r="C17" s="10" t="s">
        <v>1624</v>
      </c>
      <c r="D17" s="10" t="n">
        <v>486</v>
      </c>
      <c r="E17" s="10" t="s">
        <v>1627</v>
      </c>
      <c r="F17" s="10" t="n">
        <v>200</v>
      </c>
      <c r="G17" s="10" t="s">
        <v>1626</v>
      </c>
      <c r="H17" s="79" t="n">
        <v>57.0772867256637</v>
      </c>
      <c r="I17" s="10" t="n">
        <v>0</v>
      </c>
      <c r="J17" s="10"/>
      <c r="K17" s="10" t="s">
        <v>58</v>
      </c>
      <c r="L17" s="10" t="str">
        <f aca="false">LEFT(K17,1)</f>
        <v>F</v>
      </c>
    </row>
    <row r="18" customFormat="false" ht="15" hidden="false" customHeight="true" outlineLevel="0" collapsed="false">
      <c r="A18" s="10" t="s">
        <v>1592</v>
      </c>
      <c r="B18" s="10" t="s">
        <v>1616</v>
      </c>
      <c r="C18" s="10" t="s">
        <v>1624</v>
      </c>
      <c r="D18" s="10" t="n">
        <v>482</v>
      </c>
      <c r="E18" s="10" t="s">
        <v>1628</v>
      </c>
      <c r="F18" s="10" t="n">
        <v>100</v>
      </c>
      <c r="G18" s="10" t="s">
        <v>1619</v>
      </c>
      <c r="H18" s="79" t="n">
        <v>94.2438920353982</v>
      </c>
      <c r="I18" s="10" t="n">
        <v>0</v>
      </c>
      <c r="J18" s="10"/>
      <c r="K18" s="10" t="s">
        <v>58</v>
      </c>
      <c r="L18" s="10" t="str">
        <f aca="false">LEFT(K18,1)</f>
        <v>F</v>
      </c>
    </row>
    <row r="19" customFormat="false" ht="15" hidden="false" customHeight="true" outlineLevel="0" collapsed="false">
      <c r="A19" s="10" t="s">
        <v>1592</v>
      </c>
      <c r="B19" s="10" t="s">
        <v>1616</v>
      </c>
      <c r="C19" s="10" t="s">
        <v>1624</v>
      </c>
      <c r="D19" s="10" t="n">
        <v>484</v>
      </c>
      <c r="E19" s="10" t="s">
        <v>1629</v>
      </c>
      <c r="F19" s="10" t="n">
        <v>100</v>
      </c>
      <c r="G19" s="10" t="s">
        <v>1619</v>
      </c>
      <c r="H19" s="79" t="n">
        <v>70.3510743362832</v>
      </c>
      <c r="I19" s="10" t="n">
        <v>0</v>
      </c>
      <c r="J19" s="10"/>
      <c r="K19" s="10" t="s">
        <v>58</v>
      </c>
      <c r="L19" s="10" t="str">
        <f aca="false">LEFT(K19,1)</f>
        <v>F</v>
      </c>
    </row>
    <row r="20" customFormat="false" ht="15" hidden="false" customHeight="true" outlineLevel="0" collapsed="false">
      <c r="A20" s="10" t="s">
        <v>1592</v>
      </c>
      <c r="B20" s="10" t="s">
        <v>1616</v>
      </c>
      <c r="C20" s="10" t="s">
        <v>1624</v>
      </c>
      <c r="D20" s="10" t="n">
        <v>298</v>
      </c>
      <c r="E20" s="10" t="s">
        <v>1630</v>
      </c>
      <c r="F20" s="10" t="n">
        <v>10000</v>
      </c>
      <c r="G20" s="10" t="s">
        <v>1626</v>
      </c>
      <c r="H20" s="79" t="n">
        <v>19578.8367256637</v>
      </c>
      <c r="I20" s="10" t="n">
        <v>0</v>
      </c>
      <c r="J20" s="10" t="s">
        <v>1631</v>
      </c>
      <c r="K20" s="10" t="s">
        <v>58</v>
      </c>
      <c r="L20" s="10" t="str">
        <f aca="false">LEFT(K20,1)</f>
        <v>F</v>
      </c>
    </row>
    <row r="21" customFormat="false" ht="15" hidden="false" customHeight="true" outlineLevel="0" collapsed="false">
      <c r="A21" s="10" t="s">
        <v>1592</v>
      </c>
      <c r="B21" s="10" t="s">
        <v>1632</v>
      </c>
      <c r="C21" s="10" t="s">
        <v>1633</v>
      </c>
      <c r="D21" s="10" t="n">
        <v>132</v>
      </c>
      <c r="E21" s="10" t="s">
        <v>1634</v>
      </c>
      <c r="F21" s="10" t="n">
        <v>320</v>
      </c>
      <c r="G21" s="10" t="s">
        <v>1607</v>
      </c>
      <c r="H21" s="79" t="n">
        <v>21146.70752</v>
      </c>
      <c r="I21" s="10" t="n">
        <v>320</v>
      </c>
      <c r="J21" s="10" t="s">
        <v>1635</v>
      </c>
      <c r="K21" s="10" t="s">
        <v>58</v>
      </c>
      <c r="L21" s="10" t="str">
        <f aca="false">LEFT(K21,1)</f>
        <v>F</v>
      </c>
    </row>
    <row r="22" customFormat="false" ht="15" hidden="false" customHeight="true" outlineLevel="0" collapsed="false">
      <c r="A22" s="10" t="s">
        <v>1592</v>
      </c>
      <c r="B22" s="10" t="s">
        <v>1632</v>
      </c>
      <c r="C22" s="10" t="s">
        <v>1636</v>
      </c>
      <c r="D22" s="10" t="n">
        <v>0</v>
      </c>
      <c r="E22" s="10" t="s">
        <v>1637</v>
      </c>
      <c r="F22" s="10" t="n">
        <v>1</v>
      </c>
      <c r="G22" s="10" t="s">
        <v>1596</v>
      </c>
      <c r="H22" s="79" t="n">
        <v>33081.5768431</v>
      </c>
      <c r="I22" s="10" t="n">
        <v>0</v>
      </c>
      <c r="J22" s="10"/>
      <c r="K22" s="10" t="s">
        <v>58</v>
      </c>
      <c r="L22" s="10" t="str">
        <f aca="false">LEFT(K22,1)</f>
        <v>F</v>
      </c>
    </row>
    <row r="23" customFormat="false" ht="15" hidden="false" customHeight="true" outlineLevel="0" collapsed="false">
      <c r="A23" s="10" t="s">
        <v>1592</v>
      </c>
      <c r="B23" s="10" t="s">
        <v>1632</v>
      </c>
      <c r="C23" s="10" t="s">
        <v>1636</v>
      </c>
      <c r="D23" s="10" t="n">
        <v>0</v>
      </c>
      <c r="E23" s="10" t="s">
        <v>1638</v>
      </c>
      <c r="F23" s="10" t="n">
        <v>1</v>
      </c>
      <c r="G23" s="10" t="s">
        <v>1596</v>
      </c>
      <c r="H23" s="79" t="n">
        <v>33081.5768431</v>
      </c>
      <c r="I23" s="10" t="n">
        <v>0</v>
      </c>
      <c r="J23" s="10"/>
      <c r="K23" s="10" t="s">
        <v>58</v>
      </c>
      <c r="L23" s="10" t="str">
        <f aca="false">LEFT(K23,1)</f>
        <v>F</v>
      </c>
    </row>
    <row r="24" customFormat="false" ht="15" hidden="false" customHeight="true" outlineLevel="0" collapsed="false">
      <c r="A24" s="10" t="s">
        <v>1592</v>
      </c>
      <c r="B24" s="10" t="s">
        <v>1632</v>
      </c>
      <c r="C24" s="10" t="s">
        <v>1639</v>
      </c>
      <c r="D24" s="10" t="n">
        <v>489</v>
      </c>
      <c r="E24" s="10" t="s">
        <v>1640</v>
      </c>
      <c r="F24" s="10" t="n">
        <v>200</v>
      </c>
      <c r="G24" s="10" t="s">
        <v>1626</v>
      </c>
      <c r="H24" s="79" t="n">
        <v>230.798795</v>
      </c>
      <c r="I24" s="10" t="n">
        <v>1.2</v>
      </c>
      <c r="J24" s="10"/>
      <c r="K24" s="10" t="s">
        <v>58</v>
      </c>
      <c r="L24" s="10" t="str">
        <f aca="false">LEFT(K24,1)</f>
        <v>F</v>
      </c>
    </row>
    <row r="25" customFormat="false" ht="15" hidden="false" customHeight="true" outlineLevel="0" collapsed="false">
      <c r="A25" s="10" t="s">
        <v>1592</v>
      </c>
      <c r="B25" s="10" t="s">
        <v>1632</v>
      </c>
      <c r="C25" s="10" t="s">
        <v>1639</v>
      </c>
      <c r="D25" s="10" t="n">
        <v>487</v>
      </c>
      <c r="E25" s="10" t="s">
        <v>1641</v>
      </c>
      <c r="F25" s="10" t="n">
        <v>200</v>
      </c>
      <c r="G25" s="10" t="s">
        <v>1626</v>
      </c>
      <c r="H25" s="79" t="n">
        <v>192.330561</v>
      </c>
      <c r="I25" s="10" t="n">
        <v>1</v>
      </c>
      <c r="J25" s="10"/>
      <c r="K25" s="10" t="s">
        <v>58</v>
      </c>
      <c r="L25" s="10" t="str">
        <f aca="false">LEFT(K25,1)</f>
        <v>F</v>
      </c>
    </row>
    <row r="26" customFormat="false" ht="15" hidden="false" customHeight="true" outlineLevel="0" collapsed="false">
      <c r="A26" s="10" t="s">
        <v>1592</v>
      </c>
      <c r="B26" s="10" t="s">
        <v>1632</v>
      </c>
      <c r="C26" s="10" t="s">
        <v>1639</v>
      </c>
      <c r="D26" s="10" t="n">
        <v>483</v>
      </c>
      <c r="E26" s="10" t="s">
        <v>1642</v>
      </c>
      <c r="F26" s="10" t="n">
        <v>100</v>
      </c>
      <c r="G26" s="10" t="s">
        <v>1619</v>
      </c>
      <c r="H26" s="79" t="n">
        <v>2307.966732</v>
      </c>
      <c r="I26" s="10" t="n">
        <v>12</v>
      </c>
      <c r="J26" s="10"/>
      <c r="K26" s="10" t="s">
        <v>58</v>
      </c>
      <c r="L26" s="10" t="str">
        <f aca="false">LEFT(K26,1)</f>
        <v>F</v>
      </c>
    </row>
    <row r="27" customFormat="false" ht="15" hidden="false" customHeight="true" outlineLevel="0" collapsed="false">
      <c r="A27" s="10" t="s">
        <v>1592</v>
      </c>
      <c r="B27" s="10" t="s">
        <v>1632</v>
      </c>
      <c r="C27" s="10" t="s">
        <v>1639</v>
      </c>
      <c r="D27" s="10" t="n">
        <v>485</v>
      </c>
      <c r="E27" s="10" t="s">
        <v>1643</v>
      </c>
      <c r="F27" s="10" t="n">
        <v>100</v>
      </c>
      <c r="G27" s="10" t="s">
        <v>1619</v>
      </c>
      <c r="H27" s="79" t="n">
        <v>1538.644488</v>
      </c>
      <c r="I27" s="10" t="n">
        <v>8</v>
      </c>
      <c r="J27" s="10"/>
      <c r="K27" s="10" t="s">
        <v>58</v>
      </c>
      <c r="L27" s="10" t="str">
        <f aca="false">LEFT(K27,1)</f>
        <v>F</v>
      </c>
    </row>
    <row r="28" customFormat="false" ht="15" hidden="false" customHeight="true" outlineLevel="0" collapsed="false">
      <c r="A28" s="10" t="s">
        <v>1592</v>
      </c>
      <c r="B28" s="10" t="s">
        <v>1632</v>
      </c>
      <c r="C28" s="10" t="s">
        <v>1639</v>
      </c>
      <c r="D28" s="10" t="n">
        <v>299</v>
      </c>
      <c r="E28" s="10" t="s">
        <v>1644</v>
      </c>
      <c r="F28" s="10" t="n">
        <v>10000</v>
      </c>
      <c r="G28" s="10" t="s">
        <v>1626</v>
      </c>
      <c r="H28" s="79" t="n">
        <v>46159.33464</v>
      </c>
      <c r="I28" s="10" t="n">
        <v>240</v>
      </c>
      <c r="J28" s="10" t="s">
        <v>1631</v>
      </c>
      <c r="K28" s="10" t="s">
        <v>58</v>
      </c>
      <c r="L28" s="10" t="str">
        <f aca="false">LEFT(K28,1)</f>
        <v>F</v>
      </c>
    </row>
    <row r="29" customFormat="false" ht="15" hidden="false" customHeight="true" outlineLevel="0" collapsed="false">
      <c r="A29" s="10" t="s">
        <v>1592</v>
      </c>
      <c r="B29" s="10" t="s">
        <v>1632</v>
      </c>
      <c r="C29" s="10" t="s">
        <v>1645</v>
      </c>
      <c r="D29" s="10" t="n">
        <v>481</v>
      </c>
      <c r="E29" s="10" t="s">
        <v>1646</v>
      </c>
      <c r="F29" s="10" t="n">
        <v>8</v>
      </c>
      <c r="G29" s="10" t="s">
        <v>1619</v>
      </c>
      <c r="H29" s="79" t="n">
        <v>1538.644488</v>
      </c>
      <c r="I29" s="10" t="n">
        <v>8</v>
      </c>
      <c r="J29" s="10"/>
      <c r="K29" s="10" t="s">
        <v>58</v>
      </c>
      <c r="L29" s="10" t="str">
        <f aca="false">LEFT(K29,1)</f>
        <v>F</v>
      </c>
    </row>
    <row r="30" customFormat="false" ht="15" hidden="false" customHeight="true" outlineLevel="0" collapsed="false">
      <c r="A30" s="10" t="s">
        <v>1592</v>
      </c>
      <c r="B30" s="10" t="s">
        <v>1632</v>
      </c>
      <c r="C30" s="10" t="s">
        <v>1645</v>
      </c>
      <c r="D30" s="10" t="n">
        <v>479</v>
      </c>
      <c r="E30" s="10" t="s">
        <v>1647</v>
      </c>
      <c r="F30" s="10" t="n">
        <v>40</v>
      </c>
      <c r="G30" s="10" t="s">
        <v>1619</v>
      </c>
      <c r="H30" s="79" t="n">
        <v>19233.0561</v>
      </c>
      <c r="I30" s="10" t="n">
        <v>100</v>
      </c>
      <c r="J30" s="10"/>
      <c r="K30" s="10" t="s">
        <v>58</v>
      </c>
      <c r="L30" s="10" t="str">
        <f aca="false">LEFT(K30,1)</f>
        <v>F</v>
      </c>
    </row>
    <row r="31" customFormat="false" ht="15" hidden="false" customHeight="true" outlineLevel="0" collapsed="false">
      <c r="A31" s="10" t="s">
        <v>1592</v>
      </c>
      <c r="B31" s="10" t="s">
        <v>1632</v>
      </c>
      <c r="C31" s="10" t="s">
        <v>1645</v>
      </c>
      <c r="D31" s="10" t="n">
        <v>471</v>
      </c>
      <c r="E31" s="10" t="s">
        <v>1648</v>
      </c>
      <c r="F31" s="10" t="n">
        <v>8</v>
      </c>
      <c r="G31" s="10" t="s">
        <v>1619</v>
      </c>
      <c r="H31" s="79" t="n">
        <v>492366.23616</v>
      </c>
      <c r="I31" s="10" t="n">
        <v>2560</v>
      </c>
      <c r="J31" s="10"/>
      <c r="K31" s="10" t="s">
        <v>58</v>
      </c>
      <c r="L31" s="10" t="str">
        <f aca="false">LEFT(K31,1)</f>
        <v>F</v>
      </c>
    </row>
    <row r="32" customFormat="false" ht="15" hidden="false" customHeight="true" outlineLevel="0" collapsed="false">
      <c r="A32" s="10" t="s">
        <v>1592</v>
      </c>
      <c r="B32" s="10" t="s">
        <v>1632</v>
      </c>
      <c r="C32" s="10" t="s">
        <v>1645</v>
      </c>
      <c r="D32" s="10" t="n">
        <v>477</v>
      </c>
      <c r="E32" s="10" t="s">
        <v>1649</v>
      </c>
      <c r="F32" s="10" t="n">
        <v>4</v>
      </c>
      <c r="G32" s="10" t="s">
        <v>1619</v>
      </c>
      <c r="H32" s="79" t="n">
        <v>246183.11808</v>
      </c>
      <c r="I32" s="10" t="n">
        <v>1280</v>
      </c>
      <c r="J32" s="10"/>
      <c r="K32" s="10" t="s">
        <v>58</v>
      </c>
      <c r="L32" s="10" t="str">
        <f aca="false">LEFT(K32,1)</f>
        <v>F</v>
      </c>
    </row>
    <row r="33" customFormat="false" ht="15" hidden="false" customHeight="true" outlineLevel="0" collapsed="false">
      <c r="A33" s="10" t="s">
        <v>1592</v>
      </c>
      <c r="B33" s="10" t="s">
        <v>1632</v>
      </c>
      <c r="C33" s="10" t="s">
        <v>1645</v>
      </c>
      <c r="D33" s="10" t="n">
        <v>473</v>
      </c>
      <c r="E33" s="10" t="s">
        <v>1650</v>
      </c>
      <c r="F33" s="10" t="n">
        <v>8</v>
      </c>
      <c r="G33" s="10" t="s">
        <v>1619</v>
      </c>
      <c r="H33" s="79" t="n">
        <v>492366.23616</v>
      </c>
      <c r="I33" s="10" t="n">
        <v>2560</v>
      </c>
      <c r="J33" s="10"/>
      <c r="K33" s="10" t="s">
        <v>58</v>
      </c>
      <c r="L33" s="10" t="str">
        <f aca="false">LEFT(K33,1)</f>
        <v>F</v>
      </c>
    </row>
    <row r="34" customFormat="false" ht="15" hidden="false" customHeight="true" outlineLevel="0" collapsed="false">
      <c r="A34" s="10" t="s">
        <v>1592</v>
      </c>
      <c r="B34" s="10" t="s">
        <v>1651</v>
      </c>
      <c r="C34" s="10" t="s">
        <v>1652</v>
      </c>
      <c r="D34" s="10" t="n">
        <v>138</v>
      </c>
      <c r="E34" s="10" t="s">
        <v>1653</v>
      </c>
      <c r="F34" s="10" t="n">
        <v>2600</v>
      </c>
      <c r="G34" s="10" t="s">
        <v>1607</v>
      </c>
      <c r="H34" s="79" t="n">
        <v>663104.936</v>
      </c>
      <c r="I34" s="10" t="n">
        <v>2600</v>
      </c>
      <c r="J34" s="10" t="s">
        <v>1654</v>
      </c>
      <c r="K34" s="10" t="s">
        <v>58</v>
      </c>
      <c r="L34" s="10" t="str">
        <f aca="false">LEFT(K34,1)</f>
        <v>F</v>
      </c>
    </row>
    <row r="35" customFormat="false" ht="15" hidden="false" customHeight="true" outlineLevel="0" collapsed="false">
      <c r="A35" s="10" t="s">
        <v>1592</v>
      </c>
      <c r="B35" s="10" t="s">
        <v>1651</v>
      </c>
      <c r="C35" s="10" t="s">
        <v>1655</v>
      </c>
      <c r="D35" s="10" t="n">
        <v>140</v>
      </c>
      <c r="E35" s="10" t="s">
        <v>1656</v>
      </c>
      <c r="F35" s="10" t="n">
        <v>5200</v>
      </c>
      <c r="G35" s="10" t="s">
        <v>1607</v>
      </c>
      <c r="H35" s="79" t="n">
        <v>1151386.2828</v>
      </c>
      <c r="I35" s="10" t="n">
        <v>5200</v>
      </c>
      <c r="J35" s="26" t="s">
        <v>1657</v>
      </c>
      <c r="K35" s="10" t="s">
        <v>58</v>
      </c>
      <c r="L35" s="10" t="str">
        <f aca="false">LEFT(K35,1)</f>
        <v>F</v>
      </c>
    </row>
    <row r="36" customFormat="false" ht="15" hidden="false" customHeight="true" outlineLevel="0" collapsed="false">
      <c r="A36" s="10" t="s">
        <v>1592</v>
      </c>
      <c r="B36" s="10" t="s">
        <v>1658</v>
      </c>
      <c r="C36" s="10" t="s">
        <v>1659</v>
      </c>
      <c r="D36" s="10" t="n">
        <v>148</v>
      </c>
      <c r="E36" s="10" t="s">
        <v>1660</v>
      </c>
      <c r="F36" s="10" t="n">
        <v>138</v>
      </c>
      <c r="G36" s="10" t="s">
        <v>1607</v>
      </c>
      <c r="H36" s="79" t="n">
        <v>25029.7922385914</v>
      </c>
      <c r="I36" s="10" t="n">
        <v>138</v>
      </c>
      <c r="J36" s="26" t="s">
        <v>1661</v>
      </c>
      <c r="K36" s="10" t="s">
        <v>58</v>
      </c>
      <c r="L36" s="10" t="str">
        <f aca="false">LEFT(K36,1)</f>
        <v>F</v>
      </c>
    </row>
    <row r="37" customFormat="false" ht="15" hidden="false" customHeight="true" outlineLevel="0" collapsed="false">
      <c r="A37" s="10" t="s">
        <v>1592</v>
      </c>
      <c r="B37" s="10" t="s">
        <v>1658</v>
      </c>
      <c r="C37" s="10" t="s">
        <v>1662</v>
      </c>
      <c r="D37" s="10" t="n">
        <v>149</v>
      </c>
      <c r="E37" s="10" t="s">
        <v>1663</v>
      </c>
      <c r="F37" s="10" t="n">
        <v>24</v>
      </c>
      <c r="G37" s="10" t="s">
        <v>1607</v>
      </c>
      <c r="H37" s="79" t="n">
        <v>1790.10082455982</v>
      </c>
      <c r="I37" s="10" t="n">
        <v>24</v>
      </c>
      <c r="J37" s="10"/>
      <c r="K37" s="10" t="s">
        <v>58</v>
      </c>
      <c r="L37" s="10" t="str">
        <f aca="false">LEFT(K37,1)</f>
        <v>F</v>
      </c>
    </row>
    <row r="38" customFormat="false" ht="15" hidden="false" customHeight="true" outlineLevel="0" collapsed="false">
      <c r="A38" s="10" t="s">
        <v>1592</v>
      </c>
      <c r="B38" s="10" t="s">
        <v>1658</v>
      </c>
      <c r="C38" s="10" t="s">
        <v>1664</v>
      </c>
      <c r="D38" s="10" t="n">
        <v>167</v>
      </c>
      <c r="E38" s="10" t="s">
        <v>1665</v>
      </c>
      <c r="F38" s="10" t="n">
        <v>40</v>
      </c>
      <c r="G38" s="10" t="s">
        <v>1607</v>
      </c>
      <c r="H38" s="79" t="n">
        <v>3104.71613559322</v>
      </c>
      <c r="I38" s="10" t="n">
        <v>40</v>
      </c>
      <c r="J38" s="10"/>
      <c r="K38" s="10" t="s">
        <v>58</v>
      </c>
      <c r="L38" s="10" t="str">
        <f aca="false">LEFT(K38,1)</f>
        <v>F</v>
      </c>
    </row>
    <row r="39" customFormat="false" ht="15" hidden="false" customHeight="true" outlineLevel="0" collapsed="false">
      <c r="A39" s="10" t="s">
        <v>1592</v>
      </c>
      <c r="B39" s="10" t="s">
        <v>1658</v>
      </c>
      <c r="C39" s="10" t="s">
        <v>1666</v>
      </c>
      <c r="D39" s="10" t="n">
        <v>159</v>
      </c>
      <c r="E39" s="10" t="s">
        <v>1667</v>
      </c>
      <c r="F39" s="10" t="n">
        <v>40</v>
      </c>
      <c r="G39" s="10" t="s">
        <v>1607</v>
      </c>
      <c r="H39" s="79" t="n">
        <v>2705.71810169492</v>
      </c>
      <c r="I39" s="10" t="n">
        <v>40</v>
      </c>
      <c r="J39" s="10"/>
      <c r="K39" s="10" t="s">
        <v>58</v>
      </c>
      <c r="L39" s="10" t="str">
        <f aca="false">LEFT(K39,1)</f>
        <v>F</v>
      </c>
    </row>
    <row r="40" customFormat="false" ht="15" hidden="false" customHeight="true" outlineLevel="0" collapsed="false">
      <c r="A40" s="10" t="s">
        <v>1592</v>
      </c>
      <c r="B40" s="10" t="s">
        <v>1658</v>
      </c>
      <c r="C40" s="10" t="s">
        <v>1668</v>
      </c>
      <c r="D40" s="10" t="n">
        <v>157</v>
      </c>
      <c r="E40" s="10" t="s">
        <v>1669</v>
      </c>
      <c r="F40" s="10" t="n">
        <v>24</v>
      </c>
      <c r="G40" s="10" t="s">
        <v>1607</v>
      </c>
      <c r="H40" s="79" t="n">
        <v>1278.13055623219</v>
      </c>
      <c r="I40" s="10" t="n">
        <v>24</v>
      </c>
      <c r="J40" s="10"/>
      <c r="K40" s="10" t="s">
        <v>58</v>
      </c>
      <c r="L40" s="10" t="str">
        <f aca="false">LEFT(K40,1)</f>
        <v>F</v>
      </c>
    </row>
    <row r="41" customFormat="false" ht="15" hidden="false" customHeight="true" outlineLevel="0" collapsed="false">
      <c r="A41" s="10" t="s">
        <v>1592</v>
      </c>
      <c r="B41" s="10" t="s">
        <v>1658</v>
      </c>
      <c r="C41" s="10" t="s">
        <v>1668</v>
      </c>
      <c r="D41" s="10" t="n">
        <v>155</v>
      </c>
      <c r="E41" s="10" t="s">
        <v>1670</v>
      </c>
      <c r="F41" s="10" t="n">
        <v>24</v>
      </c>
      <c r="G41" s="10" t="s">
        <v>1607</v>
      </c>
      <c r="H41" s="79" t="n">
        <v>1278.13055623219</v>
      </c>
      <c r="I41" s="10" t="n">
        <v>24</v>
      </c>
      <c r="J41" s="10"/>
      <c r="K41" s="10" t="s">
        <v>58</v>
      </c>
      <c r="L41" s="10" t="str">
        <f aca="false">LEFT(K41,1)</f>
        <v>F</v>
      </c>
    </row>
    <row r="42" customFormat="false" ht="15" hidden="false" customHeight="true" outlineLevel="0" collapsed="false">
      <c r="A42" s="10" t="s">
        <v>1592</v>
      </c>
      <c r="B42" s="10" t="s">
        <v>1658</v>
      </c>
      <c r="C42" s="10" t="s">
        <v>1671</v>
      </c>
      <c r="D42" s="10" t="n">
        <v>161</v>
      </c>
      <c r="E42" s="10" t="s">
        <v>1672</v>
      </c>
      <c r="F42" s="10" t="n">
        <v>40</v>
      </c>
      <c r="G42" s="10" t="s">
        <v>1607</v>
      </c>
      <c r="H42" s="79" t="n">
        <v>2568.90011320755</v>
      </c>
      <c r="I42" s="10" t="n">
        <v>40</v>
      </c>
      <c r="J42" s="10"/>
      <c r="K42" s="10" t="s">
        <v>58</v>
      </c>
      <c r="L42" s="10" t="str">
        <f aca="false">LEFT(K42,1)</f>
        <v>F</v>
      </c>
    </row>
    <row r="43" customFormat="false" ht="15" hidden="false" customHeight="true" outlineLevel="0" collapsed="false">
      <c r="A43" s="10" t="s">
        <v>1592</v>
      </c>
      <c r="B43" s="10" t="s">
        <v>1658</v>
      </c>
      <c r="C43" s="10" t="s">
        <v>1673</v>
      </c>
      <c r="D43" s="10" t="n">
        <v>452</v>
      </c>
      <c r="E43" s="10" t="s">
        <v>1674</v>
      </c>
      <c r="F43" s="10" t="n">
        <v>344</v>
      </c>
      <c r="G43" s="10" t="s">
        <v>1607</v>
      </c>
      <c r="H43" s="79" t="n">
        <v>59170.1897761121</v>
      </c>
      <c r="I43" s="10" t="n">
        <v>344</v>
      </c>
      <c r="J43" s="10" t="s">
        <v>1675</v>
      </c>
      <c r="K43" s="10" t="s">
        <v>58</v>
      </c>
      <c r="L43" s="10" t="str">
        <f aca="false">LEFT(K43,1)</f>
        <v>F</v>
      </c>
    </row>
    <row r="44" customFormat="false" ht="15" hidden="false" customHeight="true" outlineLevel="0" collapsed="false">
      <c r="A44" s="10" t="s">
        <v>1592</v>
      </c>
      <c r="B44" s="10" t="s">
        <v>1676</v>
      </c>
      <c r="C44" s="10" t="s">
        <v>1677</v>
      </c>
      <c r="D44" s="10" t="n">
        <v>475</v>
      </c>
      <c r="E44" s="10" t="s">
        <v>1678</v>
      </c>
      <c r="F44" s="10" t="n">
        <v>8</v>
      </c>
      <c r="G44" s="10" t="s">
        <v>1619</v>
      </c>
      <c r="H44" s="79" t="n">
        <v>49236.623616</v>
      </c>
      <c r="I44" s="10" t="n">
        <v>256</v>
      </c>
      <c r="J44" s="10" t="s">
        <v>1679</v>
      </c>
      <c r="K44" s="10" t="s">
        <v>58</v>
      </c>
      <c r="L44" s="10" t="str">
        <f aca="false">LEFT(K44,1)</f>
        <v>F</v>
      </c>
    </row>
    <row r="45" customFormat="false" ht="15" hidden="false" customHeight="true" outlineLevel="0" collapsed="false">
      <c r="A45" s="10" t="s">
        <v>1592</v>
      </c>
      <c r="B45" s="10" t="s">
        <v>1676</v>
      </c>
      <c r="C45" s="10" t="s">
        <v>1677</v>
      </c>
      <c r="D45" s="10" t="n">
        <v>474</v>
      </c>
      <c r="E45" s="10" t="s">
        <v>1680</v>
      </c>
      <c r="F45" s="10" t="n">
        <v>8</v>
      </c>
      <c r="G45" s="10" t="s">
        <v>1619</v>
      </c>
      <c r="H45" s="79" t="n">
        <v>49236.623616</v>
      </c>
      <c r="I45" s="10" t="n">
        <v>256</v>
      </c>
      <c r="J45" s="10" t="s">
        <v>1679</v>
      </c>
      <c r="K45" s="10" t="s">
        <v>58</v>
      </c>
      <c r="L45" s="10" t="str">
        <f aca="false">LEFT(K45,1)</f>
        <v>F</v>
      </c>
    </row>
    <row r="46" customFormat="false" ht="15" hidden="false" customHeight="true" outlineLevel="0" collapsed="false">
      <c r="A46" s="10" t="s">
        <v>1592</v>
      </c>
      <c r="B46" s="10" t="s">
        <v>1676</v>
      </c>
      <c r="C46" s="10" t="s">
        <v>1677</v>
      </c>
      <c r="D46" s="10" t="n">
        <v>491</v>
      </c>
      <c r="E46" s="10" t="s">
        <v>1681</v>
      </c>
      <c r="F46" s="10" t="n">
        <v>40</v>
      </c>
      <c r="G46" s="10" t="s">
        <v>1619</v>
      </c>
      <c r="H46" s="79" t="n">
        <v>9616.52805</v>
      </c>
      <c r="I46" s="10" t="n">
        <v>50</v>
      </c>
      <c r="J46" s="10" t="s">
        <v>1682</v>
      </c>
      <c r="K46" s="10" t="s">
        <v>58</v>
      </c>
      <c r="L46" s="10" t="str">
        <f aca="false">LEFT(K46,1)</f>
        <v>F</v>
      </c>
    </row>
    <row r="47" customFormat="false" ht="15" hidden="false" customHeight="true" outlineLevel="0" collapsed="false">
      <c r="A47" s="10" t="s">
        <v>1592</v>
      </c>
      <c r="B47" s="10" t="s">
        <v>1676</v>
      </c>
      <c r="C47" s="10" t="s">
        <v>1677</v>
      </c>
      <c r="D47" s="10" t="n">
        <v>492</v>
      </c>
      <c r="E47" s="10" t="s">
        <v>1683</v>
      </c>
      <c r="F47" s="10" t="n">
        <v>1</v>
      </c>
      <c r="G47" s="10" t="s">
        <v>1619</v>
      </c>
      <c r="H47" s="79" t="n">
        <v>15386.44488</v>
      </c>
      <c r="I47" s="10" t="n">
        <v>80</v>
      </c>
      <c r="J47" s="10" t="s">
        <v>1684</v>
      </c>
      <c r="K47" s="10" t="s">
        <v>58</v>
      </c>
      <c r="L47" s="10" t="str">
        <f aca="false">LEFT(K47,1)</f>
        <v>F</v>
      </c>
    </row>
    <row r="48" customFormat="false" ht="15" hidden="false" customHeight="true" outlineLevel="0" collapsed="false">
      <c r="A48" s="10" t="s">
        <v>1592</v>
      </c>
      <c r="B48" s="10" t="s">
        <v>1685</v>
      </c>
      <c r="C48" s="10" t="s">
        <v>1686</v>
      </c>
      <c r="D48" s="10" t="n">
        <v>0</v>
      </c>
      <c r="E48" s="10" t="s">
        <v>1687</v>
      </c>
      <c r="F48" s="10" t="n">
        <v>1</v>
      </c>
      <c r="G48" s="10" t="s">
        <v>1596</v>
      </c>
      <c r="H48" s="79" t="n">
        <v>76400.0732722743</v>
      </c>
      <c r="I48" s="10" t="n">
        <v>0</v>
      </c>
      <c r="J48" s="10"/>
      <c r="K48" s="10" t="s">
        <v>58</v>
      </c>
      <c r="L48" s="10" t="str">
        <f aca="false">LEFT(K48,1)</f>
        <v>F</v>
      </c>
    </row>
    <row r="49" customFormat="false" ht="15" hidden="false" customHeight="true" outlineLevel="0" collapsed="false">
      <c r="A49" s="10" t="s">
        <v>1592</v>
      </c>
      <c r="B49" s="10" t="s">
        <v>1688</v>
      </c>
      <c r="C49" s="10" t="s">
        <v>1689</v>
      </c>
      <c r="D49" s="10" t="n">
        <v>455</v>
      </c>
      <c r="E49" s="10" t="s">
        <v>1690</v>
      </c>
      <c r="F49" s="10" t="n">
        <v>1</v>
      </c>
      <c r="G49" s="10" t="s">
        <v>1596</v>
      </c>
      <c r="H49" s="79" t="n">
        <v>200000</v>
      </c>
      <c r="I49" s="10" t="n">
        <v>0</v>
      </c>
      <c r="J49" s="26" t="s">
        <v>1691</v>
      </c>
      <c r="K49" s="10" t="s">
        <v>58</v>
      </c>
      <c r="L49" s="10" t="str">
        <f aca="false">LEFT(K49,1)</f>
        <v>F</v>
      </c>
    </row>
    <row r="50" customFormat="false" ht="15" hidden="false" customHeight="true" outlineLevel="0" collapsed="false">
      <c r="A50" s="10" t="s">
        <v>1592</v>
      </c>
      <c r="B50" s="10" t="s">
        <v>1688</v>
      </c>
      <c r="C50" s="10" t="s">
        <v>1689</v>
      </c>
      <c r="D50" s="10" t="n">
        <v>461</v>
      </c>
      <c r="E50" s="10" t="s">
        <v>1692</v>
      </c>
      <c r="F50" s="10" t="n">
        <v>1</v>
      </c>
      <c r="G50" s="10" t="s">
        <v>1596</v>
      </c>
      <c r="H50" s="79" t="n">
        <v>220000</v>
      </c>
      <c r="I50" s="10" t="n">
        <v>0</v>
      </c>
      <c r="J50" s="26" t="s">
        <v>1693</v>
      </c>
      <c r="K50" s="10" t="s">
        <v>58</v>
      </c>
      <c r="L50" s="10" t="str">
        <f aca="false">LEFT(K50,1)</f>
        <v>F</v>
      </c>
    </row>
    <row r="51" customFormat="false" ht="15" hidden="false" customHeight="true" outlineLevel="0" collapsed="false">
      <c r="A51" s="10" t="s">
        <v>1592</v>
      </c>
      <c r="B51" s="10" t="s">
        <v>1688</v>
      </c>
      <c r="C51" s="10" t="s">
        <v>1689</v>
      </c>
      <c r="D51" s="10" t="n">
        <v>460</v>
      </c>
      <c r="E51" s="10" t="s">
        <v>1694</v>
      </c>
      <c r="F51" s="10" t="n">
        <v>1</v>
      </c>
      <c r="G51" s="10" t="s">
        <v>1596</v>
      </c>
      <c r="H51" s="79" t="n">
        <v>300000</v>
      </c>
      <c r="I51" s="10" t="n">
        <v>0</v>
      </c>
      <c r="J51" s="10" t="s">
        <v>1695</v>
      </c>
      <c r="K51" s="10" t="s">
        <v>58</v>
      </c>
      <c r="L51" s="10" t="str">
        <f aca="false">LEFT(K51,1)</f>
        <v>F</v>
      </c>
    </row>
    <row r="52" customFormat="false" ht="15" hidden="false" customHeight="true" outlineLevel="0" collapsed="false">
      <c r="A52" s="10" t="s">
        <v>1592</v>
      </c>
      <c r="B52" s="10" t="s">
        <v>1688</v>
      </c>
      <c r="C52" s="10" t="s">
        <v>1689</v>
      </c>
      <c r="D52" s="10" t="n">
        <v>454</v>
      </c>
      <c r="E52" s="10" t="s">
        <v>1696</v>
      </c>
      <c r="F52" s="10" t="n">
        <v>1</v>
      </c>
      <c r="G52" s="10" t="s">
        <v>1596</v>
      </c>
      <c r="H52" s="79" t="n">
        <v>50000</v>
      </c>
      <c r="I52" s="10" t="n">
        <v>0</v>
      </c>
      <c r="J52" s="26" t="s">
        <v>1697</v>
      </c>
      <c r="K52" s="10" t="s">
        <v>58</v>
      </c>
      <c r="L52" s="10" t="str">
        <f aca="false">LEFT(K52,1)</f>
        <v>F</v>
      </c>
    </row>
    <row r="53" customFormat="false" ht="15" hidden="false" customHeight="true" outlineLevel="0" collapsed="false">
      <c r="A53" s="10" t="s">
        <v>1592</v>
      </c>
      <c r="B53" s="10" t="s">
        <v>1698</v>
      </c>
      <c r="C53" s="10" t="s">
        <v>1699</v>
      </c>
      <c r="D53" s="10" t="n">
        <v>0</v>
      </c>
      <c r="E53" s="10" t="s">
        <v>1700</v>
      </c>
      <c r="F53" s="10" t="n">
        <v>1</v>
      </c>
      <c r="G53" s="10" t="s">
        <v>1596</v>
      </c>
      <c r="H53" s="79" t="n">
        <v>55403.6879789297</v>
      </c>
      <c r="I53" s="10" t="n">
        <v>0</v>
      </c>
      <c r="J53" s="10"/>
      <c r="K53" s="10" t="s">
        <v>58</v>
      </c>
      <c r="L53" s="10" t="str">
        <f aca="false">LEFT(K53,1)</f>
        <v>F</v>
      </c>
    </row>
    <row r="54" customFormat="false" ht="15" hidden="false" customHeight="true" outlineLevel="0" collapsed="false">
      <c r="A54" s="10" t="s">
        <v>1592</v>
      </c>
      <c r="B54" s="10" t="s">
        <v>1698</v>
      </c>
      <c r="C54" s="10" t="s">
        <v>1701</v>
      </c>
      <c r="D54" s="10" t="n">
        <v>0</v>
      </c>
      <c r="E54" s="10" t="s">
        <v>1702</v>
      </c>
      <c r="F54" s="10" t="n">
        <v>1</v>
      </c>
      <c r="G54" s="10" t="s">
        <v>1596</v>
      </c>
      <c r="H54" s="79" t="n">
        <v>26548.6773744497</v>
      </c>
      <c r="I54" s="10" t="n">
        <v>0</v>
      </c>
      <c r="J54" s="10"/>
      <c r="K54" s="10" t="s">
        <v>58</v>
      </c>
      <c r="L54" s="10" t="str">
        <f aca="false">LEFT(K54,1)</f>
        <v>F</v>
      </c>
    </row>
    <row r="55" customFormat="false" ht="15" hidden="false" customHeight="true" outlineLevel="0" collapsed="false">
      <c r="A55" s="10" t="s">
        <v>1592</v>
      </c>
      <c r="B55" s="10" t="s">
        <v>1698</v>
      </c>
      <c r="C55" s="10" t="s">
        <v>1703</v>
      </c>
      <c r="D55" s="10" t="n">
        <v>0</v>
      </c>
      <c r="E55" s="10" t="s">
        <v>1704</v>
      </c>
      <c r="F55" s="10" t="n">
        <v>1</v>
      </c>
      <c r="G55" s="10" t="s">
        <v>1596</v>
      </c>
      <c r="H55" s="79" t="n">
        <v>10600.5050075041</v>
      </c>
      <c r="I55" s="10" t="n">
        <v>0</v>
      </c>
      <c r="J55" s="10"/>
      <c r="K55" s="10" t="s">
        <v>58</v>
      </c>
      <c r="L55" s="10" t="str">
        <f aca="false">LEFT(K55,1)</f>
        <v>F</v>
      </c>
    </row>
    <row r="56" customFormat="false" ht="15" hidden="false" customHeight="true" outlineLevel="0" collapsed="false">
      <c r="A56" s="10" t="s">
        <v>1592</v>
      </c>
      <c r="B56" s="10" t="s">
        <v>1698</v>
      </c>
      <c r="C56" s="10" t="s">
        <v>1537</v>
      </c>
      <c r="D56" s="10" t="n">
        <v>0</v>
      </c>
      <c r="E56" s="10" t="s">
        <v>1705</v>
      </c>
      <c r="F56" s="10" t="n">
        <v>1</v>
      </c>
      <c r="G56" s="10" t="s">
        <v>1596</v>
      </c>
      <c r="H56" s="79" t="n">
        <v>1458437.16878613</v>
      </c>
      <c r="I56" s="10" t="n">
        <v>0</v>
      </c>
      <c r="J56" s="10"/>
      <c r="K56" s="10" t="s">
        <v>58</v>
      </c>
      <c r="L56" s="10" t="str">
        <f aca="false">LEFT(K56,1)</f>
        <v>F</v>
      </c>
    </row>
    <row r="57" customFormat="false" ht="15" hidden="false" customHeight="true" outlineLevel="0" collapsed="false">
      <c r="A57" s="10" t="s">
        <v>1592</v>
      </c>
      <c r="B57" s="10" t="s">
        <v>1698</v>
      </c>
      <c r="C57" s="10" t="s">
        <v>1706</v>
      </c>
      <c r="D57" s="10" t="n">
        <v>0</v>
      </c>
      <c r="E57" s="10" t="s">
        <v>1707</v>
      </c>
      <c r="F57" s="10" t="n">
        <v>1</v>
      </c>
      <c r="G57" s="10" t="s">
        <v>1596</v>
      </c>
      <c r="H57" s="79" t="n">
        <v>58085.0383057693</v>
      </c>
      <c r="I57" s="10" t="n">
        <v>0</v>
      </c>
      <c r="J57" s="10"/>
      <c r="K57" s="10" t="s">
        <v>58</v>
      </c>
      <c r="L57" s="10" t="str">
        <f aca="false">LEFT(K57,1)</f>
        <v>F</v>
      </c>
    </row>
    <row r="58" customFormat="false" ht="15" hidden="false" customHeight="true" outlineLevel="0" collapsed="false">
      <c r="A58" s="10" t="s">
        <v>1592</v>
      </c>
      <c r="B58" s="10" t="s">
        <v>1698</v>
      </c>
      <c r="C58" s="10" t="s">
        <v>1708</v>
      </c>
      <c r="D58" s="10" t="n">
        <v>0</v>
      </c>
      <c r="E58" s="10" t="s">
        <v>1709</v>
      </c>
      <c r="F58" s="10" t="n">
        <v>1</v>
      </c>
      <c r="G58" s="10" t="s">
        <v>1596</v>
      </c>
      <c r="H58" s="79" t="n">
        <v>0</v>
      </c>
      <c r="I58" s="10" t="n">
        <v>0</v>
      </c>
      <c r="J58" s="10"/>
      <c r="K58" s="10" t="s">
        <v>58</v>
      </c>
      <c r="L58" s="10" t="str">
        <f aca="false">LEFT(K58,1)</f>
        <v>F</v>
      </c>
    </row>
    <row r="59" customFormat="false" ht="15" hidden="false" customHeight="true" outlineLevel="0" collapsed="false">
      <c r="A59" s="10" t="s">
        <v>1592</v>
      </c>
      <c r="B59" s="10" t="s">
        <v>1698</v>
      </c>
      <c r="C59" s="10" t="s">
        <v>1710</v>
      </c>
      <c r="D59" s="10" t="n">
        <v>0</v>
      </c>
      <c r="E59" s="10" t="s">
        <v>1711</v>
      </c>
      <c r="F59" s="10" t="n">
        <v>1</v>
      </c>
      <c r="G59" s="10" t="s">
        <v>1596</v>
      </c>
      <c r="H59" s="79" t="n">
        <v>248747.803612311</v>
      </c>
      <c r="I59" s="10" t="n">
        <v>0</v>
      </c>
      <c r="J59" s="10"/>
      <c r="K59" s="10" t="s">
        <v>58</v>
      </c>
      <c r="L59" s="10" t="str">
        <f aca="false">LEFT(K59,1)</f>
        <v>F</v>
      </c>
    </row>
    <row r="60" customFormat="false" ht="15" hidden="false" customHeight="true" outlineLevel="0" collapsed="false">
      <c r="A60" s="10" t="s">
        <v>1592</v>
      </c>
      <c r="B60" s="10" t="s">
        <v>1698</v>
      </c>
      <c r="C60" s="10" t="s">
        <v>1712</v>
      </c>
      <c r="D60" s="10" t="n">
        <v>0</v>
      </c>
      <c r="E60" s="10" t="s">
        <v>1713</v>
      </c>
      <c r="F60" s="10" t="n">
        <v>1</v>
      </c>
      <c r="G60" s="10" t="s">
        <v>1596</v>
      </c>
      <c r="H60" s="79" t="n">
        <v>64151.6387124449</v>
      </c>
      <c r="I60" s="10" t="n">
        <v>0</v>
      </c>
      <c r="J60" s="10"/>
      <c r="K60" s="10" t="s">
        <v>58</v>
      </c>
      <c r="L60" s="10" t="str">
        <f aca="false">LEFT(K60,1)</f>
        <v>F</v>
      </c>
    </row>
    <row r="61" customFormat="false" ht="15" hidden="false" customHeight="true" outlineLevel="0" collapsed="false">
      <c r="A61" s="10" t="s">
        <v>1592</v>
      </c>
      <c r="B61" s="10" t="s">
        <v>1714</v>
      </c>
      <c r="C61" s="10" t="s">
        <v>1715</v>
      </c>
      <c r="D61" s="10" t="n">
        <v>0</v>
      </c>
      <c r="E61" s="10" t="s">
        <v>1716</v>
      </c>
      <c r="F61" s="10" t="n">
        <v>1</v>
      </c>
      <c r="G61" s="10" t="s">
        <v>1596</v>
      </c>
      <c r="H61" s="79" t="n">
        <v>333060.488627401</v>
      </c>
      <c r="I61" s="10" t="n">
        <v>0</v>
      </c>
      <c r="J61" s="10"/>
      <c r="K61" s="10" t="s">
        <v>58</v>
      </c>
      <c r="L61" s="10" t="str">
        <f aca="false">LEFT(K61,1)</f>
        <v>F</v>
      </c>
    </row>
    <row r="62" customFormat="false" ht="15" hidden="false" customHeight="true" outlineLevel="0" collapsed="false">
      <c r="A62" s="10" t="s">
        <v>1592</v>
      </c>
      <c r="B62" s="10" t="s">
        <v>1717</v>
      </c>
      <c r="C62" s="10" t="s">
        <v>1718</v>
      </c>
      <c r="D62" s="10" t="n">
        <v>217</v>
      </c>
      <c r="E62" s="10" t="s">
        <v>1719</v>
      </c>
      <c r="F62" s="10" t="n">
        <v>1</v>
      </c>
      <c r="G62" s="10" t="s">
        <v>1596</v>
      </c>
      <c r="H62" s="79" t="n">
        <v>331723</v>
      </c>
      <c r="I62" s="10" t="n">
        <v>0</v>
      </c>
      <c r="J62" s="10"/>
      <c r="K62" s="10" t="s">
        <v>58</v>
      </c>
      <c r="L62" s="10" t="str">
        <f aca="false">LEFT(K62,1)</f>
        <v>F</v>
      </c>
    </row>
    <row r="63" customFormat="false" ht="15" hidden="false" customHeight="true" outlineLevel="0" collapsed="false">
      <c r="A63" s="10" t="s">
        <v>1720</v>
      </c>
      <c r="B63" s="10" t="s">
        <v>1721</v>
      </c>
      <c r="C63" s="10" t="s">
        <v>1722</v>
      </c>
      <c r="D63" s="10" t="n">
        <v>85</v>
      </c>
      <c r="E63" s="10" t="s">
        <v>1723</v>
      </c>
      <c r="F63" s="10" t="n">
        <v>1</v>
      </c>
      <c r="G63" s="10" t="s">
        <v>1596</v>
      </c>
      <c r="H63" s="79" t="n">
        <v>2532</v>
      </c>
      <c r="I63" s="10" t="n">
        <v>0</v>
      </c>
      <c r="J63" s="10" t="s">
        <v>1724</v>
      </c>
      <c r="K63" s="10" t="s">
        <v>62</v>
      </c>
      <c r="L63" s="10" t="str">
        <f aca="false">LEFT(K63,1)</f>
        <v>H</v>
      </c>
    </row>
    <row r="64" customFormat="false" ht="15" hidden="false" customHeight="true" outlineLevel="0" collapsed="false">
      <c r="A64" s="10" t="s">
        <v>1720</v>
      </c>
      <c r="B64" s="10" t="s">
        <v>1721</v>
      </c>
      <c r="C64" s="10" t="s">
        <v>1722</v>
      </c>
      <c r="D64" s="10" t="n">
        <v>84</v>
      </c>
      <c r="E64" s="10" t="s">
        <v>1725</v>
      </c>
      <c r="F64" s="10" t="n">
        <v>1</v>
      </c>
      <c r="G64" s="10" t="s">
        <v>1596</v>
      </c>
      <c r="H64" s="79" t="n">
        <v>578.37</v>
      </c>
      <c r="I64" s="10" t="n">
        <v>0</v>
      </c>
      <c r="J64" s="10" t="s">
        <v>1724</v>
      </c>
      <c r="K64" s="10" t="s">
        <v>62</v>
      </c>
      <c r="L64" s="10" t="str">
        <f aca="false">LEFT(K64,1)</f>
        <v>H</v>
      </c>
    </row>
    <row r="65" customFormat="false" ht="15" hidden="false" customHeight="true" outlineLevel="0" collapsed="false">
      <c r="A65" s="10" t="s">
        <v>1720</v>
      </c>
      <c r="B65" s="10" t="s">
        <v>1726</v>
      </c>
      <c r="C65" s="10" t="s">
        <v>1727</v>
      </c>
      <c r="D65" s="10" t="n">
        <v>93</v>
      </c>
      <c r="E65" s="10" t="s">
        <v>1728</v>
      </c>
      <c r="F65" s="10" t="n">
        <v>160</v>
      </c>
      <c r="G65" s="10" t="s">
        <v>1607</v>
      </c>
      <c r="H65" s="79" t="n">
        <v>9793.51430508475</v>
      </c>
      <c r="I65" s="10" t="n">
        <v>160</v>
      </c>
      <c r="J65" s="10" t="s">
        <v>1729</v>
      </c>
      <c r="K65" s="10" t="s">
        <v>62</v>
      </c>
      <c r="L65" s="10" t="str">
        <f aca="false">LEFT(K65,1)</f>
        <v>H</v>
      </c>
    </row>
    <row r="66" customFormat="false" ht="15" hidden="false" customHeight="true" outlineLevel="0" collapsed="false">
      <c r="A66" s="10" t="s">
        <v>1720</v>
      </c>
      <c r="B66" s="10" t="s">
        <v>1726</v>
      </c>
      <c r="C66" s="10" t="s">
        <v>1730</v>
      </c>
      <c r="D66" s="10" t="n">
        <v>346</v>
      </c>
      <c r="E66" s="10" t="s">
        <v>1731</v>
      </c>
      <c r="F66" s="10" t="n">
        <v>40</v>
      </c>
      <c r="G66" s="10" t="s">
        <v>1619</v>
      </c>
      <c r="H66" s="79" t="n">
        <v>7096.7259661017</v>
      </c>
      <c r="I66" s="10" t="n">
        <v>40</v>
      </c>
      <c r="J66" s="10" t="s">
        <v>1732</v>
      </c>
      <c r="K66" s="10" t="s">
        <v>62</v>
      </c>
      <c r="L66" s="10" t="str">
        <f aca="false">LEFT(K66,1)</f>
        <v>H</v>
      </c>
    </row>
    <row r="67" customFormat="false" ht="15" hidden="false" customHeight="true" outlineLevel="0" collapsed="false">
      <c r="A67" s="10" t="s">
        <v>1720</v>
      </c>
      <c r="B67" s="10" t="s">
        <v>1726</v>
      </c>
      <c r="C67" s="10" t="s">
        <v>1730</v>
      </c>
      <c r="D67" s="10" t="n">
        <v>345</v>
      </c>
      <c r="E67" s="10" t="s">
        <v>1733</v>
      </c>
      <c r="F67" s="10" t="n">
        <v>40</v>
      </c>
      <c r="G67" s="10" t="s">
        <v>1619</v>
      </c>
      <c r="H67" s="79" t="n">
        <v>7096.7259661017</v>
      </c>
      <c r="I67" s="10" t="n">
        <v>40</v>
      </c>
      <c r="J67" s="10" t="s">
        <v>1734</v>
      </c>
      <c r="K67" s="10" t="s">
        <v>62</v>
      </c>
      <c r="L67" s="10" t="str">
        <f aca="false">LEFT(K67,1)</f>
        <v>H</v>
      </c>
    </row>
    <row r="68" customFormat="false" ht="15" hidden="false" customHeight="true" outlineLevel="0" collapsed="false">
      <c r="A68" s="10" t="s">
        <v>1720</v>
      </c>
      <c r="B68" s="10" t="s">
        <v>1726</v>
      </c>
      <c r="C68" s="10" t="s">
        <v>1730</v>
      </c>
      <c r="D68" s="10" t="n">
        <v>350</v>
      </c>
      <c r="E68" s="10" t="s">
        <v>1735</v>
      </c>
      <c r="F68" s="10" t="n">
        <v>24</v>
      </c>
      <c r="G68" s="10" t="s">
        <v>1619</v>
      </c>
      <c r="H68" s="79" t="n">
        <v>4258.03557966102</v>
      </c>
      <c r="I68" s="10" t="n">
        <v>24</v>
      </c>
      <c r="J68" s="10" t="s">
        <v>1736</v>
      </c>
      <c r="K68" s="10" t="s">
        <v>62</v>
      </c>
      <c r="L68" s="10" t="str">
        <f aca="false">LEFT(K68,1)</f>
        <v>H</v>
      </c>
    </row>
    <row r="69" customFormat="false" ht="15" hidden="false" customHeight="true" outlineLevel="0" collapsed="false">
      <c r="A69" s="10" t="s">
        <v>1720</v>
      </c>
      <c r="B69" s="10" t="s">
        <v>1726</v>
      </c>
      <c r="C69" s="10" t="s">
        <v>1730</v>
      </c>
      <c r="D69" s="10" t="n">
        <v>94</v>
      </c>
      <c r="E69" s="10" t="s">
        <v>1737</v>
      </c>
      <c r="F69" s="10" t="n">
        <v>160</v>
      </c>
      <c r="G69" s="10" t="s">
        <v>1607</v>
      </c>
      <c r="H69" s="79" t="n">
        <v>28386.9038644068</v>
      </c>
      <c r="I69" s="10" t="n">
        <v>160</v>
      </c>
      <c r="J69" s="10" t="s">
        <v>1729</v>
      </c>
      <c r="K69" s="10" t="s">
        <v>62</v>
      </c>
      <c r="L69" s="10" t="str">
        <f aca="false">LEFT(K69,1)</f>
        <v>H</v>
      </c>
    </row>
    <row r="70" customFormat="false" ht="15" hidden="false" customHeight="true" outlineLevel="0" collapsed="false">
      <c r="A70" s="10" t="s">
        <v>1720</v>
      </c>
      <c r="B70" s="10" t="s">
        <v>1726</v>
      </c>
      <c r="C70" s="10" t="s">
        <v>1730</v>
      </c>
      <c r="D70" s="10" t="n">
        <v>348</v>
      </c>
      <c r="E70" s="10" t="s">
        <v>1738</v>
      </c>
      <c r="F70" s="10" t="n">
        <v>24</v>
      </c>
      <c r="G70" s="10" t="s">
        <v>1619</v>
      </c>
      <c r="H70" s="79" t="n">
        <v>4258.03557966102</v>
      </c>
      <c r="I70" s="10" t="n">
        <v>24</v>
      </c>
      <c r="J70" s="10" t="s">
        <v>1739</v>
      </c>
      <c r="K70" s="10" t="s">
        <v>62</v>
      </c>
      <c r="L70" s="10" t="str">
        <f aca="false">LEFT(K70,1)</f>
        <v>H</v>
      </c>
    </row>
    <row r="71" customFormat="false" ht="15" hidden="false" customHeight="true" outlineLevel="0" collapsed="false">
      <c r="A71" s="10" t="s">
        <v>1720</v>
      </c>
      <c r="B71" s="10" t="s">
        <v>1726</v>
      </c>
      <c r="C71" s="10" t="s">
        <v>1730</v>
      </c>
      <c r="D71" s="10" t="n">
        <v>347</v>
      </c>
      <c r="E71" s="10" t="s">
        <v>1740</v>
      </c>
      <c r="F71" s="10" t="n">
        <v>120</v>
      </c>
      <c r="G71" s="10" t="s">
        <v>1619</v>
      </c>
      <c r="H71" s="79" t="n">
        <v>23141.0741694915</v>
      </c>
      <c r="I71" s="10" t="n">
        <v>120</v>
      </c>
      <c r="J71" s="10" t="s">
        <v>1741</v>
      </c>
      <c r="K71" s="10" t="s">
        <v>62</v>
      </c>
      <c r="L71" s="10" t="str">
        <f aca="false">LEFT(K71,1)</f>
        <v>H</v>
      </c>
    </row>
    <row r="72" customFormat="false" ht="15" hidden="false" customHeight="true" outlineLevel="0" collapsed="false">
      <c r="A72" s="10" t="s">
        <v>1720</v>
      </c>
      <c r="B72" s="10" t="s">
        <v>1726</v>
      </c>
      <c r="C72" s="10" t="s">
        <v>1730</v>
      </c>
      <c r="D72" s="10" t="n">
        <v>349</v>
      </c>
      <c r="E72" s="10" t="s">
        <v>1742</v>
      </c>
      <c r="F72" s="10" t="n">
        <v>80</v>
      </c>
      <c r="G72" s="10" t="s">
        <v>1619</v>
      </c>
      <c r="H72" s="79" t="n">
        <v>14193.4519322034</v>
      </c>
      <c r="I72" s="10" t="n">
        <v>80</v>
      </c>
      <c r="J72" s="10" t="s">
        <v>1743</v>
      </c>
      <c r="K72" s="10" t="s">
        <v>62</v>
      </c>
      <c r="L72" s="10" t="str">
        <f aca="false">LEFT(K72,1)</f>
        <v>H</v>
      </c>
    </row>
    <row r="73" customFormat="false" ht="15" hidden="false" customHeight="true" outlineLevel="0" collapsed="false">
      <c r="A73" s="10" t="s">
        <v>1720</v>
      </c>
      <c r="B73" s="10" t="s">
        <v>1726</v>
      </c>
      <c r="C73" s="10" t="s">
        <v>1744</v>
      </c>
      <c r="D73" s="10" t="n">
        <v>88</v>
      </c>
      <c r="E73" s="10" t="s">
        <v>1745</v>
      </c>
      <c r="F73" s="10" t="n">
        <v>1</v>
      </c>
      <c r="G73" s="10" t="s">
        <v>1596</v>
      </c>
      <c r="H73" s="79" t="n">
        <v>70700.04</v>
      </c>
      <c r="I73" s="10" t="n">
        <v>0</v>
      </c>
      <c r="J73" s="10" t="s">
        <v>1724</v>
      </c>
      <c r="K73" s="10" t="s">
        <v>62</v>
      </c>
      <c r="L73" s="10" t="str">
        <f aca="false">LEFT(K73,1)</f>
        <v>H</v>
      </c>
    </row>
    <row r="74" customFormat="false" ht="15" hidden="false" customHeight="true" outlineLevel="0" collapsed="false">
      <c r="A74" s="10" t="s">
        <v>1720</v>
      </c>
      <c r="B74" s="10" t="s">
        <v>1726</v>
      </c>
      <c r="C74" s="10" t="s">
        <v>1746</v>
      </c>
      <c r="D74" s="10" t="n">
        <v>92</v>
      </c>
      <c r="E74" s="10" t="s">
        <v>1747</v>
      </c>
      <c r="F74" s="10" t="n">
        <v>1</v>
      </c>
      <c r="G74" s="10" t="s">
        <v>1596</v>
      </c>
      <c r="H74" s="79" t="n">
        <v>10302.56</v>
      </c>
      <c r="I74" s="10" t="n">
        <v>0</v>
      </c>
      <c r="J74" s="10" t="s">
        <v>1724</v>
      </c>
      <c r="K74" s="10" t="s">
        <v>62</v>
      </c>
      <c r="L74" s="10" t="str">
        <f aca="false">LEFT(K74,1)</f>
        <v>H</v>
      </c>
    </row>
    <row r="75" customFormat="false" ht="15" hidden="false" customHeight="true" outlineLevel="0" collapsed="false">
      <c r="A75" s="10" t="s">
        <v>1720</v>
      </c>
      <c r="B75" s="10" t="s">
        <v>1593</v>
      </c>
      <c r="C75" s="10" t="s">
        <v>1594</v>
      </c>
      <c r="D75" s="10" t="n">
        <v>201</v>
      </c>
      <c r="E75" s="10" t="s">
        <v>1748</v>
      </c>
      <c r="F75" s="10" t="n">
        <v>1</v>
      </c>
      <c r="G75" s="10" t="s">
        <v>1596</v>
      </c>
      <c r="H75" s="79" t="n">
        <v>81346.44</v>
      </c>
      <c r="I75" s="10" t="n">
        <v>0</v>
      </c>
      <c r="J75" s="10" t="s">
        <v>1724</v>
      </c>
      <c r="K75" s="10" t="s">
        <v>62</v>
      </c>
      <c r="L75" s="10" t="str">
        <f aca="false">LEFT(K75,1)</f>
        <v>H</v>
      </c>
    </row>
    <row r="76" customFormat="false" ht="15" hidden="false" customHeight="true" outlineLevel="0" collapsed="false">
      <c r="A76" s="10" t="s">
        <v>1720</v>
      </c>
      <c r="B76" s="10" t="s">
        <v>1593</v>
      </c>
      <c r="C76" s="10" t="s">
        <v>1594</v>
      </c>
      <c r="D76" s="10" t="n">
        <v>203</v>
      </c>
      <c r="E76" s="10" t="s">
        <v>1749</v>
      </c>
      <c r="F76" s="10" t="n">
        <v>480</v>
      </c>
      <c r="G76" s="10" t="s">
        <v>1607</v>
      </c>
      <c r="H76" s="79" t="n">
        <v>29380.5429152542</v>
      </c>
      <c r="I76" s="10" t="n">
        <v>480</v>
      </c>
      <c r="J76" s="10"/>
      <c r="K76" s="10" t="s">
        <v>62</v>
      </c>
      <c r="L76" s="10" t="str">
        <f aca="false">LEFT(K76,1)</f>
        <v>H</v>
      </c>
    </row>
    <row r="77" customFormat="false" ht="15" hidden="false" customHeight="true" outlineLevel="0" collapsed="false">
      <c r="A77" s="10" t="s">
        <v>1720</v>
      </c>
      <c r="B77" s="10" t="s">
        <v>1593</v>
      </c>
      <c r="C77" s="10" t="s">
        <v>1594</v>
      </c>
      <c r="D77" s="10" t="n">
        <v>0</v>
      </c>
      <c r="E77" s="10" t="s">
        <v>1595</v>
      </c>
      <c r="F77" s="10" t="n">
        <v>1</v>
      </c>
      <c r="G77" s="10" t="s">
        <v>1596</v>
      </c>
      <c r="H77" s="79" t="n">
        <v>36676.0522346495</v>
      </c>
      <c r="I77" s="10" t="n">
        <v>0</v>
      </c>
      <c r="J77" s="10"/>
      <c r="K77" s="10" t="s">
        <v>62</v>
      </c>
      <c r="L77" s="10" t="str">
        <f aca="false">LEFT(K77,1)</f>
        <v>H</v>
      </c>
    </row>
    <row r="78" customFormat="false" ht="15" hidden="false" customHeight="true" outlineLevel="0" collapsed="false">
      <c r="A78" s="10" t="s">
        <v>1720</v>
      </c>
      <c r="B78" s="10" t="s">
        <v>1593</v>
      </c>
      <c r="C78" s="10" t="s">
        <v>1597</v>
      </c>
      <c r="D78" s="10" t="n">
        <v>202</v>
      </c>
      <c r="E78" s="10" t="s">
        <v>1750</v>
      </c>
      <c r="F78" s="10" t="n">
        <v>1</v>
      </c>
      <c r="G78" s="10" t="s">
        <v>1596</v>
      </c>
      <c r="H78" s="79" t="n">
        <v>3454.72</v>
      </c>
      <c r="I78" s="10" t="n">
        <v>0</v>
      </c>
      <c r="J78" s="10" t="s">
        <v>1724</v>
      </c>
      <c r="K78" s="10" t="s">
        <v>62</v>
      </c>
      <c r="L78" s="10" t="str">
        <f aca="false">LEFT(K78,1)</f>
        <v>H</v>
      </c>
    </row>
    <row r="79" customFormat="false" ht="15" hidden="false" customHeight="true" outlineLevel="0" collapsed="false">
      <c r="A79" s="10" t="s">
        <v>1720</v>
      </c>
      <c r="B79" s="10" t="s">
        <v>1593</v>
      </c>
      <c r="C79" s="10" t="s">
        <v>1597</v>
      </c>
      <c r="D79" s="10" t="n">
        <v>204</v>
      </c>
      <c r="E79" s="10" t="s">
        <v>1751</v>
      </c>
      <c r="F79" s="10" t="n">
        <v>480</v>
      </c>
      <c r="G79" s="10" t="s">
        <v>1607</v>
      </c>
      <c r="H79" s="79" t="n">
        <v>85160.7115932203</v>
      </c>
      <c r="I79" s="10" t="n">
        <v>480</v>
      </c>
      <c r="J79" s="10"/>
      <c r="K79" s="10" t="s">
        <v>62</v>
      </c>
      <c r="L79" s="10" t="str">
        <f aca="false">LEFT(K79,1)</f>
        <v>H</v>
      </c>
    </row>
    <row r="80" customFormat="false" ht="15" hidden="false" customHeight="true" outlineLevel="0" collapsed="false">
      <c r="A80" s="10" t="s">
        <v>1720</v>
      </c>
      <c r="B80" s="10" t="s">
        <v>1593</v>
      </c>
      <c r="C80" s="10" t="s">
        <v>1597</v>
      </c>
      <c r="D80" s="10" t="n">
        <v>0</v>
      </c>
      <c r="E80" s="10" t="s">
        <v>1598</v>
      </c>
      <c r="F80" s="10" t="n">
        <v>1</v>
      </c>
      <c r="G80" s="10" t="s">
        <v>1596</v>
      </c>
      <c r="H80" s="79" t="n">
        <v>55014.0783519742</v>
      </c>
      <c r="I80" s="10" t="n">
        <v>0</v>
      </c>
      <c r="J80" s="10"/>
      <c r="K80" s="10" t="s">
        <v>62</v>
      </c>
      <c r="L80" s="10" t="str">
        <f aca="false">LEFT(K80,1)</f>
        <v>H</v>
      </c>
    </row>
    <row r="81" customFormat="false" ht="15" hidden="false" customHeight="true" outlineLevel="0" collapsed="false">
      <c r="A81" s="10" t="s">
        <v>1720</v>
      </c>
      <c r="B81" s="10" t="s">
        <v>1599</v>
      </c>
      <c r="C81" s="10" t="s">
        <v>1600</v>
      </c>
      <c r="D81" s="10" t="n">
        <v>197</v>
      </c>
      <c r="E81" s="10" t="s">
        <v>1752</v>
      </c>
      <c r="F81" s="10" t="n">
        <v>1</v>
      </c>
      <c r="G81" s="10" t="s">
        <v>1596</v>
      </c>
      <c r="H81" s="79" t="n">
        <v>68307.72</v>
      </c>
      <c r="I81" s="10" t="n">
        <v>0</v>
      </c>
      <c r="J81" s="10" t="s">
        <v>1724</v>
      </c>
      <c r="K81" s="10" t="s">
        <v>62</v>
      </c>
      <c r="L81" s="10" t="str">
        <f aca="false">LEFT(K81,1)</f>
        <v>H</v>
      </c>
    </row>
    <row r="82" customFormat="false" ht="15" hidden="false" customHeight="true" outlineLevel="0" collapsed="false">
      <c r="A82" s="10" t="s">
        <v>1720</v>
      </c>
      <c r="B82" s="10" t="s">
        <v>1599</v>
      </c>
      <c r="C82" s="10" t="s">
        <v>1600</v>
      </c>
      <c r="D82" s="10" t="n">
        <v>193</v>
      </c>
      <c r="E82" s="10" t="s">
        <v>1753</v>
      </c>
      <c r="F82" s="10" t="n">
        <v>180</v>
      </c>
      <c r="G82" s="10" t="s">
        <v>1607</v>
      </c>
      <c r="H82" s="79" t="n">
        <v>11656.9934237288</v>
      </c>
      <c r="I82" s="10" t="n">
        <v>180</v>
      </c>
      <c r="J82" s="26" t="s">
        <v>1754</v>
      </c>
      <c r="K82" s="10" t="s">
        <v>62</v>
      </c>
      <c r="L82" s="10" t="str">
        <f aca="false">LEFT(K82,1)</f>
        <v>H</v>
      </c>
    </row>
    <row r="83" customFormat="false" ht="15" hidden="false" customHeight="true" outlineLevel="0" collapsed="false">
      <c r="A83" s="10" t="s">
        <v>1720</v>
      </c>
      <c r="B83" s="10" t="s">
        <v>1599</v>
      </c>
      <c r="C83" s="10" t="s">
        <v>1600</v>
      </c>
      <c r="D83" s="10" t="n">
        <v>0</v>
      </c>
      <c r="E83" s="10" t="s">
        <v>1601</v>
      </c>
      <c r="F83" s="10" t="n">
        <v>1</v>
      </c>
      <c r="G83" s="10" t="s">
        <v>1596</v>
      </c>
      <c r="H83" s="79" t="n">
        <v>116904.916497945</v>
      </c>
      <c r="I83" s="10" t="n">
        <v>0</v>
      </c>
      <c r="J83" s="10"/>
      <c r="K83" s="10" t="s">
        <v>62</v>
      </c>
      <c r="L83" s="10" t="str">
        <f aca="false">LEFT(K83,1)</f>
        <v>H</v>
      </c>
    </row>
    <row r="84" customFormat="false" ht="15" hidden="false" customHeight="true" outlineLevel="0" collapsed="false">
      <c r="A84" s="10" t="s">
        <v>1720</v>
      </c>
      <c r="B84" s="10" t="s">
        <v>1599</v>
      </c>
      <c r="C84" s="10" t="s">
        <v>1602</v>
      </c>
      <c r="D84" s="10" t="n">
        <v>198</v>
      </c>
      <c r="E84" s="10" t="s">
        <v>1755</v>
      </c>
      <c r="F84" s="10" t="n">
        <v>1</v>
      </c>
      <c r="G84" s="10" t="s">
        <v>1596</v>
      </c>
      <c r="H84" s="79" t="n">
        <v>6595</v>
      </c>
      <c r="I84" s="10" t="n">
        <v>0</v>
      </c>
      <c r="J84" s="10" t="s">
        <v>1724</v>
      </c>
      <c r="K84" s="10" t="s">
        <v>62</v>
      </c>
      <c r="L84" s="10" t="str">
        <f aca="false">LEFT(K84,1)</f>
        <v>H</v>
      </c>
    </row>
    <row r="85" customFormat="false" ht="15" hidden="false" customHeight="true" outlineLevel="0" collapsed="false">
      <c r="A85" s="10" t="s">
        <v>1720</v>
      </c>
      <c r="B85" s="10" t="s">
        <v>1599</v>
      </c>
      <c r="C85" s="10" t="s">
        <v>1602</v>
      </c>
      <c r="D85" s="10" t="n">
        <v>0</v>
      </c>
      <c r="E85" s="10" t="s">
        <v>1603</v>
      </c>
      <c r="F85" s="10" t="n">
        <v>1</v>
      </c>
      <c r="G85" s="10" t="s">
        <v>1596</v>
      </c>
      <c r="H85" s="79" t="n">
        <v>1052144.24848151</v>
      </c>
      <c r="I85" s="10" t="n">
        <v>0</v>
      </c>
      <c r="J85" s="10"/>
      <c r="K85" s="10" t="s">
        <v>62</v>
      </c>
      <c r="L85" s="10" t="str">
        <f aca="false">LEFT(K85,1)</f>
        <v>H</v>
      </c>
    </row>
    <row r="86" customFormat="false" ht="15" hidden="false" customHeight="true" outlineLevel="0" collapsed="false">
      <c r="A86" s="10" t="s">
        <v>1720</v>
      </c>
      <c r="B86" s="10" t="s">
        <v>1604</v>
      </c>
      <c r="C86" s="10" t="s">
        <v>1756</v>
      </c>
      <c r="D86" s="10" t="n">
        <v>106</v>
      </c>
      <c r="E86" s="10" t="s">
        <v>1757</v>
      </c>
      <c r="F86" s="10" t="n">
        <v>80</v>
      </c>
      <c r="G86" s="10" t="s">
        <v>1607</v>
      </c>
      <c r="H86" s="79" t="n">
        <v>5634.18849032258</v>
      </c>
      <c r="I86" s="10" t="n">
        <v>80</v>
      </c>
      <c r="J86" s="10" t="s">
        <v>1758</v>
      </c>
      <c r="K86" s="10" t="s">
        <v>62</v>
      </c>
      <c r="L86" s="10" t="str">
        <f aca="false">LEFT(K86,1)</f>
        <v>H</v>
      </c>
    </row>
    <row r="87" customFormat="false" ht="15" hidden="false" customHeight="true" outlineLevel="0" collapsed="false">
      <c r="A87" s="10" t="s">
        <v>1720</v>
      </c>
      <c r="B87" s="10" t="s">
        <v>1604</v>
      </c>
      <c r="C87" s="10" t="s">
        <v>1759</v>
      </c>
      <c r="D87" s="10" t="n">
        <v>107</v>
      </c>
      <c r="E87" s="10" t="s">
        <v>1760</v>
      </c>
      <c r="F87" s="10" t="n">
        <v>80</v>
      </c>
      <c r="G87" s="10" t="s">
        <v>1607</v>
      </c>
      <c r="H87" s="79" t="n">
        <v>14151.4368</v>
      </c>
      <c r="I87" s="10" t="n">
        <v>80</v>
      </c>
      <c r="J87" s="10" t="s">
        <v>1758</v>
      </c>
      <c r="K87" s="10" t="s">
        <v>62</v>
      </c>
      <c r="L87" s="10" t="str">
        <f aca="false">LEFT(K87,1)</f>
        <v>H</v>
      </c>
    </row>
    <row r="88" customFormat="false" ht="15" hidden="false" customHeight="true" outlineLevel="0" collapsed="false">
      <c r="A88" s="10" t="s">
        <v>1720</v>
      </c>
      <c r="B88" s="10" t="s">
        <v>1604</v>
      </c>
      <c r="C88" s="10" t="s">
        <v>1759</v>
      </c>
      <c r="D88" s="10" t="n">
        <v>437</v>
      </c>
      <c r="E88" s="10" t="s">
        <v>1760</v>
      </c>
      <c r="F88" s="10" t="n">
        <v>1</v>
      </c>
      <c r="G88" s="10" t="s">
        <v>1596</v>
      </c>
      <c r="H88" s="79" t="n">
        <v>32190.27</v>
      </c>
      <c r="I88" s="10" t="n">
        <v>0</v>
      </c>
      <c r="J88" s="10" t="s">
        <v>1724</v>
      </c>
      <c r="K88" s="10" t="s">
        <v>62</v>
      </c>
      <c r="L88" s="10" t="str">
        <f aca="false">LEFT(K88,1)</f>
        <v>H</v>
      </c>
    </row>
    <row r="89" customFormat="false" ht="15" hidden="false" customHeight="true" outlineLevel="0" collapsed="false">
      <c r="A89" s="10" t="s">
        <v>1720</v>
      </c>
      <c r="B89" s="10" t="s">
        <v>1604</v>
      </c>
      <c r="C89" s="10" t="s">
        <v>1605</v>
      </c>
      <c r="D89" s="10" t="n">
        <v>238</v>
      </c>
      <c r="E89" s="10" t="s">
        <v>1606</v>
      </c>
      <c r="F89" s="10" t="n">
        <v>360</v>
      </c>
      <c r="G89" s="10" t="s">
        <v>1607</v>
      </c>
      <c r="H89" s="79" t="n">
        <v>24476.0609032258</v>
      </c>
      <c r="I89" s="10" t="n">
        <v>360</v>
      </c>
      <c r="J89" s="10" t="s">
        <v>1758</v>
      </c>
      <c r="K89" s="10" t="s">
        <v>62</v>
      </c>
      <c r="L89" s="10" t="str">
        <f aca="false">LEFT(K89,1)</f>
        <v>H</v>
      </c>
    </row>
    <row r="90" customFormat="false" ht="15" hidden="false" customHeight="true" outlineLevel="0" collapsed="false">
      <c r="A90" s="10" t="s">
        <v>1720</v>
      </c>
      <c r="B90" s="10" t="s">
        <v>1604</v>
      </c>
      <c r="C90" s="10" t="s">
        <v>1605</v>
      </c>
      <c r="D90" s="10" t="n">
        <v>439</v>
      </c>
      <c r="E90" s="10" t="s">
        <v>1606</v>
      </c>
      <c r="F90" s="10" t="n">
        <v>1</v>
      </c>
      <c r="G90" s="10" t="s">
        <v>1596</v>
      </c>
      <c r="H90" s="79" t="n">
        <v>129726.39</v>
      </c>
      <c r="I90" s="10" t="n">
        <v>0</v>
      </c>
      <c r="J90" s="10" t="s">
        <v>1724</v>
      </c>
      <c r="K90" s="10" t="s">
        <v>62</v>
      </c>
      <c r="L90" s="10" t="str">
        <f aca="false">LEFT(K90,1)</f>
        <v>H</v>
      </c>
    </row>
    <row r="91" customFormat="false" ht="15" hidden="false" customHeight="true" outlineLevel="0" collapsed="false">
      <c r="A91" s="10" t="s">
        <v>1720</v>
      </c>
      <c r="B91" s="10" t="s">
        <v>1604</v>
      </c>
      <c r="C91" s="10" t="s">
        <v>1608</v>
      </c>
      <c r="D91" s="10" t="n">
        <v>239</v>
      </c>
      <c r="E91" s="10" t="s">
        <v>1609</v>
      </c>
      <c r="F91" s="10" t="n">
        <v>1050</v>
      </c>
      <c r="G91" s="10" t="s">
        <v>1607</v>
      </c>
      <c r="H91" s="79" t="n">
        <v>186895.546645161</v>
      </c>
      <c r="I91" s="10" t="n">
        <v>1050</v>
      </c>
      <c r="J91" s="10" t="s">
        <v>1758</v>
      </c>
      <c r="K91" s="10" t="s">
        <v>62</v>
      </c>
      <c r="L91" s="10" t="str">
        <f aca="false">LEFT(K91,1)</f>
        <v>H</v>
      </c>
    </row>
    <row r="92" customFormat="false" ht="15" hidden="false" customHeight="true" outlineLevel="0" collapsed="false">
      <c r="A92" s="10" t="s">
        <v>1720</v>
      </c>
      <c r="B92" s="10" t="s">
        <v>1604</v>
      </c>
      <c r="C92" s="10" t="s">
        <v>1608</v>
      </c>
      <c r="D92" s="10" t="n">
        <v>440</v>
      </c>
      <c r="E92" s="10" t="s">
        <v>1609</v>
      </c>
      <c r="F92" s="10" t="n">
        <v>1</v>
      </c>
      <c r="G92" s="10" t="s">
        <v>1596</v>
      </c>
      <c r="H92" s="79" t="n">
        <v>24652.8</v>
      </c>
      <c r="I92" s="10" t="n">
        <v>0</v>
      </c>
      <c r="J92" s="10" t="s">
        <v>1724</v>
      </c>
      <c r="K92" s="10" t="s">
        <v>62</v>
      </c>
      <c r="L92" s="10" t="str">
        <f aca="false">LEFT(K92,1)</f>
        <v>H</v>
      </c>
    </row>
    <row r="93" customFormat="false" ht="15" hidden="false" customHeight="true" outlineLevel="0" collapsed="false">
      <c r="A93" s="10" t="s">
        <v>1720</v>
      </c>
      <c r="B93" s="10" t="s">
        <v>1604</v>
      </c>
      <c r="C93" s="10" t="s">
        <v>1761</v>
      </c>
      <c r="D93" s="10" t="n">
        <v>442</v>
      </c>
      <c r="E93" s="10" t="s">
        <v>1762</v>
      </c>
      <c r="F93" s="10" t="n">
        <v>1</v>
      </c>
      <c r="G93" s="10" t="s">
        <v>1596</v>
      </c>
      <c r="H93" s="79" t="n">
        <v>127849.97</v>
      </c>
      <c r="I93" s="10" t="n">
        <v>0</v>
      </c>
      <c r="J93" s="10" t="s">
        <v>1724</v>
      </c>
      <c r="K93" s="10" t="s">
        <v>62</v>
      </c>
      <c r="L93" s="10" t="str">
        <f aca="false">LEFT(K93,1)</f>
        <v>H</v>
      </c>
    </row>
    <row r="94" customFormat="false" ht="15" hidden="false" customHeight="true" outlineLevel="0" collapsed="false">
      <c r="A94" s="10" t="s">
        <v>1720</v>
      </c>
      <c r="B94" s="10" t="s">
        <v>1604</v>
      </c>
      <c r="C94" s="10" t="s">
        <v>1610</v>
      </c>
      <c r="D94" s="10" t="n">
        <v>242</v>
      </c>
      <c r="E94" s="10" t="s">
        <v>1611</v>
      </c>
      <c r="F94" s="10" t="n">
        <v>440</v>
      </c>
      <c r="G94" s="10" t="s">
        <v>1607</v>
      </c>
      <c r="H94" s="79" t="n">
        <v>29915.1855483871</v>
      </c>
      <c r="I94" s="10" t="n">
        <v>440</v>
      </c>
      <c r="J94" s="10" t="s">
        <v>1758</v>
      </c>
      <c r="K94" s="10" t="s">
        <v>62</v>
      </c>
      <c r="L94" s="10" t="str">
        <f aca="false">LEFT(K94,1)</f>
        <v>H</v>
      </c>
    </row>
    <row r="95" customFormat="false" ht="15" hidden="false" customHeight="true" outlineLevel="0" collapsed="false">
      <c r="A95" s="10" t="s">
        <v>1720</v>
      </c>
      <c r="B95" s="10" t="s">
        <v>1604</v>
      </c>
      <c r="C95" s="10" t="s">
        <v>1610</v>
      </c>
      <c r="D95" s="10" t="n">
        <v>443</v>
      </c>
      <c r="E95" s="10" t="s">
        <v>1611</v>
      </c>
      <c r="F95" s="10" t="n">
        <v>1</v>
      </c>
      <c r="G95" s="10" t="s">
        <v>1596</v>
      </c>
      <c r="H95" s="79" t="n">
        <v>69427.64</v>
      </c>
      <c r="I95" s="10" t="n">
        <v>0</v>
      </c>
      <c r="J95" s="10" t="s">
        <v>1724</v>
      </c>
      <c r="K95" s="10" t="s">
        <v>62</v>
      </c>
      <c r="L95" s="10" t="str">
        <f aca="false">LEFT(K95,1)</f>
        <v>H</v>
      </c>
    </row>
    <row r="96" customFormat="false" ht="15" hidden="false" customHeight="true" outlineLevel="0" collapsed="false">
      <c r="A96" s="10" t="s">
        <v>1720</v>
      </c>
      <c r="B96" s="10" t="s">
        <v>1604</v>
      </c>
      <c r="C96" s="10" t="s">
        <v>1612</v>
      </c>
      <c r="D96" s="10" t="n">
        <v>243</v>
      </c>
      <c r="E96" s="10" t="s">
        <v>1613</v>
      </c>
      <c r="F96" s="10" t="n">
        <v>900</v>
      </c>
      <c r="G96" s="10" t="s">
        <v>1607</v>
      </c>
      <c r="H96" s="79" t="n">
        <v>162181.220516129</v>
      </c>
      <c r="I96" s="10" t="n">
        <v>900</v>
      </c>
      <c r="J96" s="10" t="s">
        <v>1758</v>
      </c>
      <c r="K96" s="10" t="s">
        <v>62</v>
      </c>
      <c r="L96" s="10" t="str">
        <f aca="false">LEFT(K96,1)</f>
        <v>H</v>
      </c>
    </row>
    <row r="97" customFormat="false" ht="15" hidden="false" customHeight="true" outlineLevel="0" collapsed="false">
      <c r="A97" s="10" t="s">
        <v>1720</v>
      </c>
      <c r="B97" s="10" t="s">
        <v>1604</v>
      </c>
      <c r="C97" s="10" t="s">
        <v>1763</v>
      </c>
      <c r="D97" s="10" t="n">
        <v>126</v>
      </c>
      <c r="E97" s="10" t="s">
        <v>1764</v>
      </c>
      <c r="F97" s="10" t="n">
        <v>120</v>
      </c>
      <c r="G97" s="10" t="s">
        <v>1607</v>
      </c>
      <c r="H97" s="79" t="n">
        <v>8729.30941935484</v>
      </c>
      <c r="I97" s="10" t="n">
        <v>120</v>
      </c>
      <c r="J97" s="10" t="s">
        <v>1729</v>
      </c>
      <c r="K97" s="10" t="s">
        <v>62</v>
      </c>
      <c r="L97" s="10" t="str">
        <f aca="false">LEFT(K97,1)</f>
        <v>H</v>
      </c>
    </row>
    <row r="98" customFormat="false" ht="15" hidden="false" customHeight="true" outlineLevel="0" collapsed="false">
      <c r="A98" s="10" t="s">
        <v>1720</v>
      </c>
      <c r="B98" s="10" t="s">
        <v>1604</v>
      </c>
      <c r="C98" s="10" t="s">
        <v>1765</v>
      </c>
      <c r="D98" s="10" t="n">
        <v>127</v>
      </c>
      <c r="E98" s="10" t="s">
        <v>1766</v>
      </c>
      <c r="F98" s="10" t="n">
        <v>160</v>
      </c>
      <c r="G98" s="10" t="s">
        <v>1607</v>
      </c>
      <c r="H98" s="79" t="n">
        <v>28479.3213935484</v>
      </c>
      <c r="I98" s="10" t="n">
        <v>160</v>
      </c>
      <c r="J98" s="26" t="s">
        <v>1767</v>
      </c>
      <c r="K98" s="10" t="s">
        <v>62</v>
      </c>
      <c r="L98" s="10" t="str">
        <f aca="false">LEFT(K98,1)</f>
        <v>H</v>
      </c>
    </row>
    <row r="99" customFormat="false" ht="15" hidden="false" customHeight="true" outlineLevel="0" collapsed="false">
      <c r="A99" s="10" t="s">
        <v>1720</v>
      </c>
      <c r="B99" s="10" t="s">
        <v>1604</v>
      </c>
      <c r="C99" s="10" t="s">
        <v>1768</v>
      </c>
      <c r="D99" s="10" t="n">
        <v>128</v>
      </c>
      <c r="E99" s="10" t="s">
        <v>1769</v>
      </c>
      <c r="F99" s="10" t="n">
        <v>80</v>
      </c>
      <c r="G99" s="10" t="s">
        <v>1607</v>
      </c>
      <c r="H99" s="79" t="n">
        <v>5819.53961290323</v>
      </c>
      <c r="I99" s="10" t="n">
        <v>80</v>
      </c>
      <c r="J99" s="10" t="s">
        <v>1729</v>
      </c>
      <c r="K99" s="10" t="s">
        <v>62</v>
      </c>
      <c r="L99" s="10" t="str">
        <f aca="false">LEFT(K99,1)</f>
        <v>H</v>
      </c>
    </row>
    <row r="100" customFormat="false" ht="15" hidden="false" customHeight="true" outlineLevel="0" collapsed="false">
      <c r="A100" s="10" t="s">
        <v>1720</v>
      </c>
      <c r="B100" s="10" t="s">
        <v>1604</v>
      </c>
      <c r="C100" s="10" t="s">
        <v>1768</v>
      </c>
      <c r="D100" s="10" t="n">
        <v>444</v>
      </c>
      <c r="E100" s="10" t="s">
        <v>1769</v>
      </c>
      <c r="F100" s="10" t="n">
        <v>1</v>
      </c>
      <c r="G100" s="10" t="s">
        <v>1596</v>
      </c>
      <c r="H100" s="79" t="n">
        <v>3963.13</v>
      </c>
      <c r="I100" s="10" t="n">
        <v>0</v>
      </c>
      <c r="J100" s="10" t="s">
        <v>1724</v>
      </c>
      <c r="K100" s="10" t="s">
        <v>62</v>
      </c>
      <c r="L100" s="10" t="str">
        <f aca="false">LEFT(K100,1)</f>
        <v>H</v>
      </c>
    </row>
    <row r="101" customFormat="false" ht="15" hidden="false" customHeight="true" outlineLevel="0" collapsed="false">
      <c r="A101" s="10" t="s">
        <v>1720</v>
      </c>
      <c r="B101" s="10" t="s">
        <v>1604</v>
      </c>
      <c r="C101" s="10" t="s">
        <v>1770</v>
      </c>
      <c r="D101" s="10" t="n">
        <v>129</v>
      </c>
      <c r="E101" s="10" t="s">
        <v>1771</v>
      </c>
      <c r="F101" s="10" t="n">
        <v>80</v>
      </c>
      <c r="G101" s="10" t="s">
        <v>1607</v>
      </c>
      <c r="H101" s="79" t="n">
        <v>14239.6606967742</v>
      </c>
      <c r="I101" s="10" t="n">
        <v>80</v>
      </c>
      <c r="J101" s="10" t="s">
        <v>1758</v>
      </c>
      <c r="K101" s="10" t="s">
        <v>62</v>
      </c>
      <c r="L101" s="10" t="str">
        <f aca="false">LEFT(K101,1)</f>
        <v>H</v>
      </c>
    </row>
    <row r="102" customFormat="false" ht="15" hidden="false" customHeight="true" outlineLevel="0" collapsed="false">
      <c r="A102" s="10" t="s">
        <v>1720</v>
      </c>
      <c r="B102" s="10" t="s">
        <v>1604</v>
      </c>
      <c r="C102" s="10" t="s">
        <v>1614</v>
      </c>
      <c r="D102" s="10" t="n">
        <v>247</v>
      </c>
      <c r="E102" s="10" t="s">
        <v>1615</v>
      </c>
      <c r="F102" s="10" t="n">
        <v>380</v>
      </c>
      <c r="G102" s="10" t="s">
        <v>1607</v>
      </c>
      <c r="H102" s="79" t="n">
        <v>26762.3953290323</v>
      </c>
      <c r="I102" s="10" t="n">
        <v>380</v>
      </c>
      <c r="J102" s="10" t="s">
        <v>1758</v>
      </c>
      <c r="K102" s="10" t="s">
        <v>62</v>
      </c>
      <c r="L102" s="10" t="str">
        <f aca="false">LEFT(K102,1)</f>
        <v>H</v>
      </c>
    </row>
    <row r="103" customFormat="false" ht="15" hidden="false" customHeight="true" outlineLevel="0" collapsed="false">
      <c r="A103" s="10" t="s">
        <v>1720</v>
      </c>
      <c r="B103" s="10" t="s">
        <v>1616</v>
      </c>
      <c r="C103" s="10" t="s">
        <v>1772</v>
      </c>
      <c r="D103" s="10" t="n">
        <v>302</v>
      </c>
      <c r="E103" s="10" t="s">
        <v>1773</v>
      </c>
      <c r="F103" s="10" t="n">
        <v>4</v>
      </c>
      <c r="G103" s="10" t="s">
        <v>1619</v>
      </c>
      <c r="H103" s="79" t="n">
        <v>1327378.76106195</v>
      </c>
      <c r="I103" s="10" t="n">
        <v>0</v>
      </c>
      <c r="J103" s="26" t="s">
        <v>1774</v>
      </c>
      <c r="K103" s="10" t="s">
        <v>54</v>
      </c>
      <c r="L103" s="10" t="str">
        <f aca="false">LEFT(K103,1)</f>
        <v>D</v>
      </c>
    </row>
    <row r="104" customFormat="false" ht="15" hidden="false" customHeight="true" outlineLevel="0" collapsed="false">
      <c r="A104" s="10" t="s">
        <v>1720</v>
      </c>
      <c r="B104" s="10" t="s">
        <v>1616</v>
      </c>
      <c r="C104" s="10" t="s">
        <v>1775</v>
      </c>
      <c r="D104" s="10" t="n">
        <v>326</v>
      </c>
      <c r="E104" s="10" t="s">
        <v>1776</v>
      </c>
      <c r="F104" s="10" t="n">
        <v>1</v>
      </c>
      <c r="G104" s="10" t="s">
        <v>1619</v>
      </c>
      <c r="H104" s="79" t="n">
        <v>87656.7749336283</v>
      </c>
      <c r="I104" s="10" t="n">
        <v>0</v>
      </c>
      <c r="J104" s="10" t="s">
        <v>1777</v>
      </c>
      <c r="K104" s="10" t="s">
        <v>54</v>
      </c>
      <c r="L104" s="10" t="str">
        <f aca="false">LEFT(K104,1)</f>
        <v>D</v>
      </c>
    </row>
    <row r="105" customFormat="false" ht="15" hidden="false" customHeight="true" outlineLevel="0" collapsed="false">
      <c r="A105" s="10" t="s">
        <v>1720</v>
      </c>
      <c r="B105" s="10" t="s">
        <v>1616</v>
      </c>
      <c r="C105" s="10" t="s">
        <v>1775</v>
      </c>
      <c r="D105" s="10" t="n">
        <v>338</v>
      </c>
      <c r="E105" s="10" t="s">
        <v>1778</v>
      </c>
      <c r="F105" s="10" t="n">
        <v>4</v>
      </c>
      <c r="G105" s="10" t="s">
        <v>1596</v>
      </c>
      <c r="H105" s="79" t="n">
        <v>1066455.918</v>
      </c>
      <c r="I105" s="10" t="n">
        <v>0</v>
      </c>
      <c r="J105" s="26" t="s">
        <v>1779</v>
      </c>
      <c r="K105" s="10" t="s">
        <v>52</v>
      </c>
      <c r="L105" s="10" t="str">
        <f aca="false">LEFT(K105,1)</f>
        <v>C</v>
      </c>
    </row>
    <row r="106" customFormat="false" ht="15" hidden="false" customHeight="true" outlineLevel="0" collapsed="false">
      <c r="A106" s="10" t="s">
        <v>1720</v>
      </c>
      <c r="B106" s="10" t="s">
        <v>1616</v>
      </c>
      <c r="C106" s="10" t="s">
        <v>1780</v>
      </c>
      <c r="D106" s="10" t="n">
        <v>421</v>
      </c>
      <c r="E106" s="10" t="s">
        <v>1781</v>
      </c>
      <c r="F106" s="10" t="n">
        <v>500</v>
      </c>
      <c r="G106" s="10" t="s">
        <v>1626</v>
      </c>
      <c r="H106" s="79" t="n">
        <v>52265.5387168142</v>
      </c>
      <c r="I106" s="10" t="n">
        <v>0</v>
      </c>
      <c r="J106" s="10" t="s">
        <v>1782</v>
      </c>
      <c r="K106" s="10" t="s">
        <v>54</v>
      </c>
      <c r="L106" s="10" t="str">
        <f aca="false">LEFT(K106,1)</f>
        <v>D</v>
      </c>
    </row>
    <row r="107" customFormat="false" ht="15" hidden="false" customHeight="true" outlineLevel="0" collapsed="false">
      <c r="A107" s="10" t="s">
        <v>1720</v>
      </c>
      <c r="B107" s="10" t="s">
        <v>1616</v>
      </c>
      <c r="C107" s="10" t="s">
        <v>1780</v>
      </c>
      <c r="D107" s="10" t="n">
        <v>411</v>
      </c>
      <c r="E107" s="10" t="s">
        <v>1783</v>
      </c>
      <c r="F107" s="10" t="n">
        <v>2750</v>
      </c>
      <c r="G107" s="10" t="s">
        <v>1626</v>
      </c>
      <c r="H107" s="79" t="n">
        <v>199305.920973451</v>
      </c>
      <c r="I107" s="10" t="n">
        <v>0</v>
      </c>
      <c r="J107" s="10" t="s">
        <v>1784</v>
      </c>
      <c r="K107" s="10" t="s">
        <v>54</v>
      </c>
      <c r="L107" s="10" t="str">
        <f aca="false">LEFT(K107,1)</f>
        <v>D</v>
      </c>
    </row>
    <row r="108" customFormat="false" ht="15" hidden="false" customHeight="true" outlineLevel="0" collapsed="false">
      <c r="A108" s="10" t="s">
        <v>1720</v>
      </c>
      <c r="B108" s="10" t="s">
        <v>1616</v>
      </c>
      <c r="C108" s="10" t="s">
        <v>1780</v>
      </c>
      <c r="D108" s="10" t="n">
        <v>423</v>
      </c>
      <c r="E108" s="10" t="s">
        <v>1785</v>
      </c>
      <c r="F108" s="10" t="n">
        <v>27</v>
      </c>
      <c r="G108" s="10" t="s">
        <v>1619</v>
      </c>
      <c r="H108" s="79" t="n">
        <v>3551.38060619469</v>
      </c>
      <c r="I108" s="10" t="n">
        <v>0</v>
      </c>
      <c r="J108" s="26" t="s">
        <v>1786</v>
      </c>
      <c r="K108" s="10" t="s">
        <v>54</v>
      </c>
      <c r="L108" s="10" t="str">
        <f aca="false">LEFT(K108,1)</f>
        <v>D</v>
      </c>
    </row>
    <row r="109" customFormat="false" ht="15" hidden="false" customHeight="true" outlineLevel="0" collapsed="false">
      <c r="A109" s="10" t="s">
        <v>1720</v>
      </c>
      <c r="B109" s="10" t="s">
        <v>1616</v>
      </c>
      <c r="C109" s="10" t="s">
        <v>1780</v>
      </c>
      <c r="D109" s="10" t="n">
        <v>415</v>
      </c>
      <c r="E109" s="10" t="s">
        <v>1787</v>
      </c>
      <c r="F109" s="10" t="n">
        <v>48</v>
      </c>
      <c r="G109" s="10" t="s">
        <v>1619</v>
      </c>
      <c r="H109" s="79" t="n">
        <v>7056.89762831858</v>
      </c>
      <c r="I109" s="10" t="n">
        <v>0</v>
      </c>
      <c r="J109" s="26" t="s">
        <v>1788</v>
      </c>
      <c r="K109" s="10" t="s">
        <v>54</v>
      </c>
      <c r="L109" s="10" t="str">
        <f aca="false">LEFT(K109,1)</f>
        <v>D</v>
      </c>
    </row>
    <row r="110" customFormat="false" ht="15" hidden="false" customHeight="true" outlineLevel="0" collapsed="false">
      <c r="A110" s="10" t="s">
        <v>1720</v>
      </c>
      <c r="B110" s="10" t="s">
        <v>1616</v>
      </c>
      <c r="C110" s="10" t="s">
        <v>1780</v>
      </c>
      <c r="D110" s="10" t="n">
        <v>413</v>
      </c>
      <c r="E110" s="10" t="s">
        <v>1789</v>
      </c>
      <c r="F110" s="10" t="n">
        <v>2000</v>
      </c>
      <c r="G110" s="10" t="s">
        <v>1626</v>
      </c>
      <c r="H110" s="79" t="n">
        <v>16017.0370501475</v>
      </c>
      <c r="I110" s="10" t="n">
        <v>0</v>
      </c>
      <c r="J110" s="10" t="s">
        <v>1790</v>
      </c>
      <c r="K110" s="10" t="s">
        <v>50</v>
      </c>
      <c r="L110" s="10" t="str">
        <f aca="false">LEFT(K110,1)</f>
        <v>B</v>
      </c>
    </row>
    <row r="111" customFormat="false" ht="15" hidden="false" customHeight="true" outlineLevel="0" collapsed="false">
      <c r="A111" s="10" t="s">
        <v>1720</v>
      </c>
      <c r="B111" s="10" t="s">
        <v>1616</v>
      </c>
      <c r="C111" s="10" t="s">
        <v>1780</v>
      </c>
      <c r="D111" s="10" t="n">
        <v>417</v>
      </c>
      <c r="E111" s="10" t="s">
        <v>1791</v>
      </c>
      <c r="F111" s="10" t="n">
        <v>500</v>
      </c>
      <c r="G111" s="10" t="s">
        <v>1626</v>
      </c>
      <c r="H111" s="79" t="n">
        <v>8268.46353244838</v>
      </c>
      <c r="I111" s="10" t="n">
        <v>0</v>
      </c>
      <c r="J111" s="10" t="s">
        <v>1792</v>
      </c>
      <c r="K111" s="10" t="s">
        <v>54</v>
      </c>
      <c r="L111" s="10" t="str">
        <f aca="false">LEFT(K111,1)</f>
        <v>D</v>
      </c>
    </row>
    <row r="112" customFormat="false" ht="15" hidden="false" customHeight="true" outlineLevel="0" collapsed="false">
      <c r="A112" s="10" t="s">
        <v>1720</v>
      </c>
      <c r="B112" s="10" t="s">
        <v>1616</v>
      </c>
      <c r="C112" s="10" t="s">
        <v>1793</v>
      </c>
      <c r="D112" s="10" t="n">
        <v>310</v>
      </c>
      <c r="E112" s="10" t="s">
        <v>1794</v>
      </c>
      <c r="F112" s="10" t="n">
        <v>8</v>
      </c>
      <c r="G112" s="10" t="s">
        <v>1619</v>
      </c>
      <c r="H112" s="79" t="n">
        <v>30972.1710914454</v>
      </c>
      <c r="I112" s="10" t="n">
        <v>0</v>
      </c>
      <c r="J112" s="10" t="s">
        <v>1795</v>
      </c>
      <c r="K112" s="10" t="s">
        <v>54</v>
      </c>
      <c r="L112" s="10" t="str">
        <f aca="false">LEFT(K112,1)</f>
        <v>D</v>
      </c>
    </row>
    <row r="113" customFormat="false" ht="15" hidden="false" customHeight="true" outlineLevel="0" collapsed="false">
      <c r="A113" s="10" t="s">
        <v>1720</v>
      </c>
      <c r="B113" s="10" t="s">
        <v>1616</v>
      </c>
      <c r="C113" s="10" t="s">
        <v>1796</v>
      </c>
      <c r="D113" s="10" t="n">
        <v>478</v>
      </c>
      <c r="E113" s="10" t="s">
        <v>1797</v>
      </c>
      <c r="F113" s="10" t="n">
        <v>1</v>
      </c>
      <c r="G113" s="10" t="s">
        <v>1619</v>
      </c>
      <c r="H113" s="79" t="n">
        <v>67724.5125513422</v>
      </c>
      <c r="I113" s="10" t="n">
        <v>0</v>
      </c>
      <c r="J113" s="26" t="s">
        <v>1798</v>
      </c>
      <c r="K113" s="10" t="s">
        <v>52</v>
      </c>
      <c r="L113" s="10" t="str">
        <f aca="false">LEFT(K113,1)</f>
        <v>C</v>
      </c>
    </row>
    <row r="114" customFormat="false" ht="15" hidden="false" customHeight="true" outlineLevel="0" collapsed="false">
      <c r="A114" s="10" t="s">
        <v>1720</v>
      </c>
      <c r="B114" s="10" t="s">
        <v>1616</v>
      </c>
      <c r="C114" s="10" t="s">
        <v>1796</v>
      </c>
      <c r="D114" s="10" t="n">
        <v>419</v>
      </c>
      <c r="E114" s="10" t="s">
        <v>1799</v>
      </c>
      <c r="F114" s="10" t="n">
        <v>2</v>
      </c>
      <c r="G114" s="10" t="s">
        <v>1619</v>
      </c>
      <c r="H114" s="79" t="n">
        <v>21503.5359292035</v>
      </c>
      <c r="I114" s="10" t="n">
        <v>0</v>
      </c>
      <c r="J114" s="10"/>
      <c r="K114" s="10" t="s">
        <v>54</v>
      </c>
      <c r="L114" s="10" t="str">
        <f aca="false">LEFT(K114,1)</f>
        <v>D</v>
      </c>
    </row>
    <row r="115" customFormat="false" ht="15" hidden="false" customHeight="true" outlineLevel="0" collapsed="false">
      <c r="A115" s="10" t="s">
        <v>1720</v>
      </c>
      <c r="B115" s="10" t="s">
        <v>1616</v>
      </c>
      <c r="C115" s="10" t="s">
        <v>1796</v>
      </c>
      <c r="D115" s="10" t="n">
        <v>428</v>
      </c>
      <c r="E115" s="10" t="s">
        <v>1800</v>
      </c>
      <c r="F115" s="10" t="n">
        <v>33</v>
      </c>
      <c r="G115" s="10" t="s">
        <v>1619</v>
      </c>
      <c r="H115" s="79" t="n">
        <v>8266.45034132743</v>
      </c>
      <c r="I115" s="10" t="n">
        <v>0</v>
      </c>
      <c r="J115" s="26" t="s">
        <v>1801</v>
      </c>
      <c r="K115" s="10" t="s">
        <v>54</v>
      </c>
      <c r="L115" s="10" t="str">
        <f aca="false">LEFT(K115,1)</f>
        <v>D</v>
      </c>
    </row>
    <row r="116" customFormat="false" ht="15" hidden="false" customHeight="true" outlineLevel="0" collapsed="false">
      <c r="A116" s="10" t="s">
        <v>1720</v>
      </c>
      <c r="B116" s="10" t="s">
        <v>1616</v>
      </c>
      <c r="C116" s="10" t="s">
        <v>1796</v>
      </c>
      <c r="D116" s="10" t="n">
        <v>472</v>
      </c>
      <c r="E116" s="10" t="s">
        <v>1802</v>
      </c>
      <c r="F116" s="10" t="n">
        <v>12</v>
      </c>
      <c r="G116" s="10" t="s">
        <v>1619</v>
      </c>
      <c r="H116" s="79" t="n">
        <v>1592.85451327434</v>
      </c>
      <c r="I116" s="10" t="n">
        <v>0</v>
      </c>
      <c r="J116" s="10" t="s">
        <v>1803</v>
      </c>
      <c r="K116" s="10" t="s">
        <v>54</v>
      </c>
      <c r="L116" s="10" t="str">
        <f aca="false">LEFT(K116,1)</f>
        <v>D</v>
      </c>
    </row>
    <row r="117" customFormat="false" ht="15" hidden="false" customHeight="true" outlineLevel="0" collapsed="false">
      <c r="A117" s="10" t="s">
        <v>1720</v>
      </c>
      <c r="B117" s="10" t="s">
        <v>1616</v>
      </c>
      <c r="C117" s="10" t="s">
        <v>1796</v>
      </c>
      <c r="D117" s="10" t="n">
        <v>445</v>
      </c>
      <c r="E117" s="10" t="s">
        <v>1804</v>
      </c>
      <c r="F117" s="10" t="n">
        <v>1</v>
      </c>
      <c r="G117" s="10" t="s">
        <v>1596</v>
      </c>
      <c r="H117" s="79" t="n">
        <v>1213042</v>
      </c>
      <c r="I117" s="10" t="n">
        <v>0</v>
      </c>
      <c r="J117" s="10" t="s">
        <v>1724</v>
      </c>
      <c r="K117" s="10" t="s">
        <v>48</v>
      </c>
      <c r="L117" s="10" t="str">
        <f aca="false">LEFT(K117,1)</f>
        <v>A</v>
      </c>
    </row>
    <row r="118" customFormat="false" ht="15" hidden="false" customHeight="true" outlineLevel="0" collapsed="false">
      <c r="A118" s="10" t="s">
        <v>1720</v>
      </c>
      <c r="B118" s="10" t="s">
        <v>1616</v>
      </c>
      <c r="C118" s="10" t="s">
        <v>1796</v>
      </c>
      <c r="D118" s="10" t="n">
        <v>320</v>
      </c>
      <c r="E118" s="10" t="s">
        <v>1805</v>
      </c>
      <c r="F118" s="10" t="n">
        <v>8</v>
      </c>
      <c r="G118" s="10" t="s">
        <v>1619</v>
      </c>
      <c r="H118" s="79" t="n">
        <v>21238.0601769912</v>
      </c>
      <c r="I118" s="10" t="n">
        <v>0</v>
      </c>
      <c r="J118" s="10"/>
      <c r="K118" s="10" t="s">
        <v>54</v>
      </c>
      <c r="L118" s="10" t="str">
        <f aca="false">LEFT(K118,1)</f>
        <v>D</v>
      </c>
    </row>
    <row r="119" customFormat="false" ht="15" hidden="false" customHeight="true" outlineLevel="0" collapsed="false">
      <c r="A119" s="10" t="s">
        <v>1720</v>
      </c>
      <c r="B119" s="10" t="s">
        <v>1616</v>
      </c>
      <c r="C119" s="10" t="s">
        <v>1806</v>
      </c>
      <c r="D119" s="10" t="n">
        <v>470</v>
      </c>
      <c r="E119" s="10" t="s">
        <v>1807</v>
      </c>
      <c r="F119" s="10" t="n">
        <v>250</v>
      </c>
      <c r="G119" s="10" t="s">
        <v>1626</v>
      </c>
      <c r="H119" s="79" t="n">
        <v>580.728207964602</v>
      </c>
      <c r="I119" s="10" t="n">
        <v>0</v>
      </c>
      <c r="J119" s="10" t="s">
        <v>1808</v>
      </c>
      <c r="K119" s="10" t="s">
        <v>54</v>
      </c>
      <c r="L119" s="10" t="str">
        <f aca="false">LEFT(K119,1)</f>
        <v>D</v>
      </c>
    </row>
    <row r="120" customFormat="false" ht="15" hidden="false" customHeight="true" outlineLevel="0" collapsed="false">
      <c r="A120" s="10" t="s">
        <v>1720</v>
      </c>
      <c r="B120" s="10" t="s">
        <v>1616</v>
      </c>
      <c r="C120" s="10" t="s">
        <v>1617</v>
      </c>
      <c r="D120" s="10" t="n">
        <v>334</v>
      </c>
      <c r="E120" s="10" t="s">
        <v>1809</v>
      </c>
      <c r="F120" s="10" t="n">
        <v>4</v>
      </c>
      <c r="G120" s="10" t="s">
        <v>1619</v>
      </c>
      <c r="H120" s="79" t="n">
        <v>152648.557522124</v>
      </c>
      <c r="I120" s="10" t="n">
        <v>0</v>
      </c>
      <c r="J120" s="10"/>
      <c r="K120" s="10" t="s">
        <v>54</v>
      </c>
      <c r="L120" s="10" t="str">
        <f aca="false">LEFT(K120,1)</f>
        <v>D</v>
      </c>
    </row>
    <row r="121" customFormat="false" ht="15" hidden="false" customHeight="true" outlineLevel="0" collapsed="false">
      <c r="A121" s="10" t="s">
        <v>1720</v>
      </c>
      <c r="B121" s="10" t="s">
        <v>1616</v>
      </c>
      <c r="C121" s="10" t="s">
        <v>1624</v>
      </c>
      <c r="D121" s="10" t="n">
        <v>298</v>
      </c>
      <c r="E121" s="10" t="s">
        <v>1630</v>
      </c>
      <c r="F121" s="10" t="n">
        <v>10000</v>
      </c>
      <c r="G121" s="10" t="s">
        <v>1626</v>
      </c>
      <c r="H121" s="79" t="n">
        <v>19578.8367256637</v>
      </c>
      <c r="I121" s="10" t="n">
        <v>0</v>
      </c>
      <c r="J121" s="10" t="s">
        <v>1631</v>
      </c>
      <c r="K121" s="10" t="s">
        <v>54</v>
      </c>
      <c r="L121" s="10" t="str">
        <f aca="false">LEFT(K121,1)</f>
        <v>D</v>
      </c>
    </row>
    <row r="122" customFormat="false" ht="15" hidden="false" customHeight="true" outlineLevel="0" collapsed="false">
      <c r="A122" s="10" t="s">
        <v>1720</v>
      </c>
      <c r="B122" s="10" t="s">
        <v>1616</v>
      </c>
      <c r="C122" s="10" t="s">
        <v>1810</v>
      </c>
      <c r="D122" s="10" t="n">
        <v>476</v>
      </c>
      <c r="E122" s="10" t="s">
        <v>1811</v>
      </c>
      <c r="F122" s="10" t="n">
        <v>1</v>
      </c>
      <c r="G122" s="10" t="s">
        <v>1619</v>
      </c>
      <c r="H122" s="79" t="n">
        <v>263177.174657817</v>
      </c>
      <c r="I122" s="10" t="n">
        <v>0</v>
      </c>
      <c r="J122" s="26" t="s">
        <v>1812</v>
      </c>
      <c r="K122" s="10" t="s">
        <v>52</v>
      </c>
      <c r="L122" s="10" t="str">
        <f aca="false">LEFT(K122,1)</f>
        <v>C</v>
      </c>
    </row>
    <row r="123" customFormat="false" ht="15" hidden="false" customHeight="true" outlineLevel="0" collapsed="false">
      <c r="A123" s="10" t="s">
        <v>1720</v>
      </c>
      <c r="B123" s="10" t="s">
        <v>1616</v>
      </c>
      <c r="C123" s="10" t="s">
        <v>1813</v>
      </c>
      <c r="D123" s="10" t="n">
        <v>393</v>
      </c>
      <c r="E123" s="10" t="s">
        <v>1814</v>
      </c>
      <c r="F123" s="10" t="n">
        <v>480</v>
      </c>
      <c r="G123" s="10" t="s">
        <v>1626</v>
      </c>
      <c r="H123" s="79" t="n">
        <v>14174.8123136283</v>
      </c>
      <c r="I123" s="10" t="n">
        <v>0</v>
      </c>
      <c r="J123" s="10" t="s">
        <v>1815</v>
      </c>
      <c r="K123" s="10" t="s">
        <v>50</v>
      </c>
      <c r="L123" s="10" t="str">
        <f aca="false">LEFT(K123,1)</f>
        <v>B</v>
      </c>
    </row>
    <row r="124" customFormat="false" ht="15" hidden="false" customHeight="true" outlineLevel="0" collapsed="false">
      <c r="A124" s="10" t="s">
        <v>1720</v>
      </c>
      <c r="B124" s="10" t="s">
        <v>1616</v>
      </c>
      <c r="C124" s="10" t="s">
        <v>1813</v>
      </c>
      <c r="D124" s="10" t="n">
        <v>395</v>
      </c>
      <c r="E124" s="10" t="s">
        <v>1816</v>
      </c>
      <c r="F124" s="10" t="n">
        <v>24</v>
      </c>
      <c r="G124" s="10" t="s">
        <v>1619</v>
      </c>
      <c r="H124" s="79" t="n">
        <v>22007.9398584071</v>
      </c>
      <c r="I124" s="10" t="n">
        <v>0</v>
      </c>
      <c r="J124" s="10" t="s">
        <v>1817</v>
      </c>
      <c r="K124" s="10" t="s">
        <v>50</v>
      </c>
      <c r="L124" s="10" t="str">
        <f aca="false">LEFT(K124,1)</f>
        <v>B</v>
      </c>
    </row>
    <row r="125" customFormat="false" ht="15" hidden="false" customHeight="true" outlineLevel="0" collapsed="false">
      <c r="A125" s="10" t="s">
        <v>1720</v>
      </c>
      <c r="B125" s="10" t="s">
        <v>1616</v>
      </c>
      <c r="C125" s="10" t="s">
        <v>1813</v>
      </c>
      <c r="D125" s="10" t="n">
        <v>432</v>
      </c>
      <c r="E125" s="10" t="s">
        <v>1818</v>
      </c>
      <c r="F125" s="10" t="n">
        <v>1</v>
      </c>
      <c r="G125" s="10" t="s">
        <v>1596</v>
      </c>
      <c r="H125" s="79" t="n">
        <v>11778061.8258879</v>
      </c>
      <c r="I125" s="10" t="n">
        <v>0</v>
      </c>
      <c r="J125" s="26" t="s">
        <v>1819</v>
      </c>
      <c r="K125" s="10" t="s">
        <v>48</v>
      </c>
      <c r="L125" s="10" t="str">
        <f aca="false">LEFT(K125,1)</f>
        <v>A</v>
      </c>
    </row>
    <row r="126" customFormat="false" ht="15" hidden="false" customHeight="true" outlineLevel="0" collapsed="false">
      <c r="A126" s="10" t="s">
        <v>1720</v>
      </c>
      <c r="B126" s="10" t="s">
        <v>1616</v>
      </c>
      <c r="C126" s="10" t="s">
        <v>1820</v>
      </c>
      <c r="D126" s="10" t="n">
        <v>260</v>
      </c>
      <c r="E126" s="10" t="s">
        <v>1821</v>
      </c>
      <c r="F126" s="10" t="n">
        <v>4400</v>
      </c>
      <c r="G126" s="10" t="s">
        <v>1626</v>
      </c>
      <c r="H126" s="79" t="n">
        <v>25600.7117050148</v>
      </c>
      <c r="I126" s="10" t="n">
        <v>0</v>
      </c>
      <c r="J126" s="26" t="s">
        <v>1822</v>
      </c>
      <c r="K126" s="10" t="s">
        <v>54</v>
      </c>
      <c r="L126" s="10" t="str">
        <f aca="false">LEFT(K126,1)</f>
        <v>D</v>
      </c>
    </row>
    <row r="127" customFormat="false" ht="15" hidden="false" customHeight="true" outlineLevel="0" collapsed="false">
      <c r="A127" s="10" t="s">
        <v>1720</v>
      </c>
      <c r="B127" s="10" t="s">
        <v>1616</v>
      </c>
      <c r="C127" s="10" t="s">
        <v>1820</v>
      </c>
      <c r="D127" s="10" t="n">
        <v>268</v>
      </c>
      <c r="E127" s="10" t="s">
        <v>1823</v>
      </c>
      <c r="F127" s="10" t="n">
        <v>25</v>
      </c>
      <c r="G127" s="10" t="s">
        <v>1619</v>
      </c>
      <c r="H127" s="79" t="n">
        <v>774.304277286136</v>
      </c>
      <c r="I127" s="10" t="n">
        <v>0</v>
      </c>
      <c r="J127" s="10"/>
      <c r="K127" s="10" t="s">
        <v>54</v>
      </c>
      <c r="L127" s="10" t="str">
        <f aca="false">LEFT(K127,1)</f>
        <v>D</v>
      </c>
    </row>
    <row r="128" customFormat="false" ht="15" hidden="false" customHeight="true" outlineLevel="0" collapsed="false">
      <c r="A128" s="10" t="s">
        <v>1720</v>
      </c>
      <c r="B128" s="10" t="s">
        <v>1616</v>
      </c>
      <c r="C128" s="10" t="s">
        <v>1820</v>
      </c>
      <c r="D128" s="10" t="n">
        <v>266</v>
      </c>
      <c r="E128" s="10" t="s">
        <v>1824</v>
      </c>
      <c r="F128" s="10" t="n">
        <v>50</v>
      </c>
      <c r="G128" s="10" t="s">
        <v>1619</v>
      </c>
      <c r="H128" s="79" t="n">
        <v>1216.76386430679</v>
      </c>
      <c r="I128" s="10" t="n">
        <v>0</v>
      </c>
      <c r="J128" s="10"/>
      <c r="K128" s="10" t="s">
        <v>54</v>
      </c>
      <c r="L128" s="10" t="str">
        <f aca="false">LEFT(K128,1)</f>
        <v>D</v>
      </c>
    </row>
    <row r="129" customFormat="false" ht="15" hidden="false" customHeight="true" outlineLevel="0" collapsed="false">
      <c r="A129" s="10" t="s">
        <v>1720</v>
      </c>
      <c r="B129" s="10" t="s">
        <v>1616</v>
      </c>
      <c r="C129" s="10" t="s">
        <v>1820</v>
      </c>
      <c r="D129" s="10" t="n">
        <v>264</v>
      </c>
      <c r="E129" s="10" t="s">
        <v>1825</v>
      </c>
      <c r="F129" s="10" t="n">
        <v>100</v>
      </c>
      <c r="G129" s="10" t="s">
        <v>1619</v>
      </c>
      <c r="H129" s="79" t="n">
        <v>2654.75752212389</v>
      </c>
      <c r="I129" s="10" t="n">
        <v>0</v>
      </c>
      <c r="J129" s="10"/>
      <c r="K129" s="10" t="s">
        <v>54</v>
      </c>
      <c r="L129" s="10" t="str">
        <f aca="false">LEFT(K129,1)</f>
        <v>D</v>
      </c>
    </row>
    <row r="130" customFormat="false" ht="15" hidden="false" customHeight="true" outlineLevel="0" collapsed="false">
      <c r="A130" s="10" t="s">
        <v>1720</v>
      </c>
      <c r="B130" s="10" t="s">
        <v>1616</v>
      </c>
      <c r="C130" s="10" t="s">
        <v>1820</v>
      </c>
      <c r="D130" s="10" t="n">
        <v>262</v>
      </c>
      <c r="E130" s="10" t="s">
        <v>1826</v>
      </c>
      <c r="F130" s="10" t="n">
        <v>100</v>
      </c>
      <c r="G130" s="10" t="s">
        <v>1619</v>
      </c>
      <c r="H130" s="79" t="n">
        <v>2322.91283185841</v>
      </c>
      <c r="I130" s="10" t="n">
        <v>0</v>
      </c>
      <c r="J130" s="10" t="s">
        <v>1827</v>
      </c>
      <c r="K130" s="10" t="s">
        <v>54</v>
      </c>
      <c r="L130" s="10" t="str">
        <f aca="false">LEFT(K130,1)</f>
        <v>D</v>
      </c>
    </row>
    <row r="131" customFormat="false" ht="15" hidden="false" customHeight="true" outlineLevel="0" collapsed="false">
      <c r="A131" s="10" t="s">
        <v>1720</v>
      </c>
      <c r="B131" s="10" t="s">
        <v>1616</v>
      </c>
      <c r="C131" s="10" t="s">
        <v>1820</v>
      </c>
      <c r="D131" s="10" t="n">
        <v>474</v>
      </c>
      <c r="E131" s="10" t="s">
        <v>1828</v>
      </c>
      <c r="F131" s="10" t="n">
        <v>1</v>
      </c>
      <c r="G131" s="10" t="s">
        <v>1596</v>
      </c>
      <c r="H131" s="79" t="n">
        <v>116145.64159292</v>
      </c>
      <c r="I131" s="10" t="n">
        <v>0</v>
      </c>
      <c r="J131" s="26" t="s">
        <v>1829</v>
      </c>
      <c r="K131" s="10" t="s">
        <v>54</v>
      </c>
      <c r="L131" s="10" t="str">
        <f aca="false">LEFT(K131,1)</f>
        <v>D</v>
      </c>
    </row>
    <row r="132" customFormat="false" ht="15" hidden="false" customHeight="true" outlineLevel="0" collapsed="false">
      <c r="A132" s="10" t="s">
        <v>1720</v>
      </c>
      <c r="B132" s="10" t="s">
        <v>1632</v>
      </c>
      <c r="C132" s="10" t="s">
        <v>1830</v>
      </c>
      <c r="D132" s="10" t="n">
        <v>481</v>
      </c>
      <c r="E132" s="10" t="s">
        <v>1831</v>
      </c>
      <c r="F132" s="10" t="n">
        <v>1</v>
      </c>
      <c r="G132" s="10" t="s">
        <v>1596</v>
      </c>
      <c r="H132" s="79" t="n">
        <v>45091.772188</v>
      </c>
      <c r="I132" s="10" t="n">
        <v>0</v>
      </c>
      <c r="J132" s="10"/>
      <c r="K132" s="10" t="s">
        <v>50</v>
      </c>
      <c r="L132" s="10" t="str">
        <f aca="false">LEFT(K132,1)</f>
        <v>B</v>
      </c>
    </row>
    <row r="133" customFormat="false" ht="15" hidden="false" customHeight="true" outlineLevel="0" collapsed="false">
      <c r="A133" s="10" t="s">
        <v>1720</v>
      </c>
      <c r="B133" s="10" t="s">
        <v>1632</v>
      </c>
      <c r="C133" s="10" t="s">
        <v>1830</v>
      </c>
      <c r="D133" s="10" t="n">
        <v>480</v>
      </c>
      <c r="E133" s="10" t="s">
        <v>1832</v>
      </c>
      <c r="F133" s="10" t="n">
        <v>1</v>
      </c>
      <c r="G133" s="10" t="s">
        <v>1596</v>
      </c>
      <c r="H133" s="79" t="n">
        <v>86952.1372</v>
      </c>
      <c r="I133" s="10" t="n">
        <v>0</v>
      </c>
      <c r="J133" s="26" t="s">
        <v>1833</v>
      </c>
      <c r="K133" s="10" t="s">
        <v>50</v>
      </c>
      <c r="L133" s="10" t="str">
        <f aca="false">LEFT(K133,1)</f>
        <v>B</v>
      </c>
    </row>
    <row r="134" customFormat="false" ht="15" hidden="false" customHeight="true" outlineLevel="0" collapsed="false">
      <c r="A134" s="10" t="s">
        <v>1720</v>
      </c>
      <c r="B134" s="10" t="s">
        <v>1632</v>
      </c>
      <c r="C134" s="10" t="s">
        <v>1830</v>
      </c>
      <c r="D134" s="10" t="n">
        <v>288</v>
      </c>
      <c r="E134" s="10" t="s">
        <v>1834</v>
      </c>
      <c r="F134" s="10" t="n">
        <v>760</v>
      </c>
      <c r="G134" s="10" t="s">
        <v>1626</v>
      </c>
      <c r="H134" s="79" t="n">
        <v>44934.468</v>
      </c>
      <c r="I134" s="10" t="n">
        <v>0</v>
      </c>
      <c r="J134" s="10" t="s">
        <v>1835</v>
      </c>
      <c r="K134" s="10" t="s">
        <v>56</v>
      </c>
      <c r="L134" s="10" t="str">
        <f aca="false">LEFT(K134,1)</f>
        <v>E</v>
      </c>
    </row>
    <row r="135" customFormat="false" ht="15" hidden="false" customHeight="true" outlineLevel="0" collapsed="false">
      <c r="A135" s="10" t="s">
        <v>1720</v>
      </c>
      <c r="B135" s="10" t="s">
        <v>1632</v>
      </c>
      <c r="C135" s="10" t="s">
        <v>1830</v>
      </c>
      <c r="D135" s="10" t="n">
        <v>289</v>
      </c>
      <c r="E135" s="10" t="s">
        <v>1836</v>
      </c>
      <c r="F135" s="10" t="n">
        <v>760</v>
      </c>
      <c r="G135" s="10" t="s">
        <v>1626</v>
      </c>
      <c r="H135" s="79" t="n">
        <v>274358.2881</v>
      </c>
      <c r="I135" s="10" t="n">
        <v>1900</v>
      </c>
      <c r="J135" s="10" t="s">
        <v>1835</v>
      </c>
      <c r="K135" s="10" t="s">
        <v>56</v>
      </c>
      <c r="L135" s="10" t="str">
        <f aca="false">LEFT(K135,1)</f>
        <v>E</v>
      </c>
    </row>
    <row r="136" customFormat="false" ht="15" hidden="false" customHeight="true" outlineLevel="0" collapsed="false">
      <c r="A136" s="10" t="s">
        <v>1720</v>
      </c>
      <c r="B136" s="10" t="s">
        <v>1632</v>
      </c>
      <c r="C136" s="10" t="s">
        <v>1830</v>
      </c>
      <c r="D136" s="10" t="n">
        <v>343</v>
      </c>
      <c r="E136" s="10" t="s">
        <v>1837</v>
      </c>
      <c r="F136" s="10" t="n">
        <v>24</v>
      </c>
      <c r="G136" s="10" t="s">
        <v>1619</v>
      </c>
      <c r="H136" s="79" t="n">
        <v>16693.92</v>
      </c>
      <c r="I136" s="10" t="n">
        <v>0</v>
      </c>
      <c r="J136" s="10" t="s">
        <v>1838</v>
      </c>
      <c r="K136" s="10" t="s">
        <v>56</v>
      </c>
      <c r="L136" s="10" t="str">
        <f aca="false">LEFT(K136,1)</f>
        <v>E</v>
      </c>
    </row>
    <row r="137" customFormat="false" ht="15" hidden="false" customHeight="true" outlineLevel="0" collapsed="false">
      <c r="A137" s="10" t="s">
        <v>1720</v>
      </c>
      <c r="B137" s="10" t="s">
        <v>1632</v>
      </c>
      <c r="C137" s="10" t="s">
        <v>1830</v>
      </c>
      <c r="D137" s="10" t="n">
        <v>344</v>
      </c>
      <c r="E137" s="10" t="s">
        <v>1839</v>
      </c>
      <c r="F137" s="10" t="n">
        <v>24</v>
      </c>
      <c r="G137" s="10" t="s">
        <v>1619</v>
      </c>
      <c r="H137" s="79" t="n">
        <v>199033.3272</v>
      </c>
      <c r="I137" s="10" t="n">
        <v>1440</v>
      </c>
      <c r="J137" s="10"/>
      <c r="K137" s="10" t="s">
        <v>56</v>
      </c>
      <c r="L137" s="10" t="str">
        <f aca="false">LEFT(K137,1)</f>
        <v>E</v>
      </c>
    </row>
    <row r="138" customFormat="false" ht="15" hidden="false" customHeight="true" outlineLevel="0" collapsed="false">
      <c r="A138" s="10" t="s">
        <v>1720</v>
      </c>
      <c r="B138" s="10" t="s">
        <v>1632</v>
      </c>
      <c r="C138" s="10" t="s">
        <v>1633</v>
      </c>
      <c r="D138" s="10" t="n">
        <v>132</v>
      </c>
      <c r="E138" s="10" t="s">
        <v>1634</v>
      </c>
      <c r="F138" s="10" t="n">
        <v>32</v>
      </c>
      <c r="G138" s="10" t="s">
        <v>1607</v>
      </c>
      <c r="H138" s="79" t="n">
        <v>2114.670752</v>
      </c>
      <c r="I138" s="10" t="n">
        <v>32</v>
      </c>
      <c r="J138" s="26" t="s">
        <v>1840</v>
      </c>
      <c r="K138" s="10" t="s">
        <v>54</v>
      </c>
      <c r="L138" s="10" t="str">
        <f aca="false">LEFT(K138,1)</f>
        <v>D</v>
      </c>
    </row>
    <row r="139" customFormat="false" ht="15" hidden="false" customHeight="true" outlineLevel="0" collapsed="false">
      <c r="A139" s="10" t="s">
        <v>1720</v>
      </c>
      <c r="B139" s="10" t="s">
        <v>1632</v>
      </c>
      <c r="C139" s="10" t="s">
        <v>1636</v>
      </c>
      <c r="D139" s="10" t="n">
        <v>0</v>
      </c>
      <c r="E139" s="10" t="s">
        <v>1637</v>
      </c>
      <c r="F139" s="10" t="n">
        <v>1</v>
      </c>
      <c r="G139" s="10" t="s">
        <v>1596</v>
      </c>
      <c r="H139" s="79" t="n">
        <v>156741.069336675</v>
      </c>
      <c r="I139" s="10" t="n">
        <v>0</v>
      </c>
      <c r="J139" s="10"/>
      <c r="K139" s="10" t="s">
        <v>56</v>
      </c>
      <c r="L139" s="10" t="str">
        <f aca="false">LEFT(K139,1)</f>
        <v>E</v>
      </c>
    </row>
    <row r="140" customFormat="false" ht="15" hidden="false" customHeight="true" outlineLevel="0" collapsed="false">
      <c r="A140" s="10" t="s">
        <v>1720</v>
      </c>
      <c r="B140" s="10" t="s">
        <v>1632</v>
      </c>
      <c r="C140" s="10" t="s">
        <v>1636</v>
      </c>
      <c r="D140" s="10" t="n">
        <v>0</v>
      </c>
      <c r="E140" s="10" t="s">
        <v>1638</v>
      </c>
      <c r="F140" s="10" t="n">
        <v>1</v>
      </c>
      <c r="G140" s="10" t="s">
        <v>1596</v>
      </c>
      <c r="H140" s="79" t="n">
        <v>156741.069336675</v>
      </c>
      <c r="I140" s="10" t="n">
        <v>0</v>
      </c>
      <c r="J140" s="10"/>
      <c r="K140" s="10" t="s">
        <v>56</v>
      </c>
      <c r="L140" s="10" t="str">
        <f aca="false">LEFT(K140,1)</f>
        <v>E</v>
      </c>
    </row>
    <row r="141" customFormat="false" ht="15" hidden="false" customHeight="true" outlineLevel="0" collapsed="false">
      <c r="A141" s="10" t="s">
        <v>1720</v>
      </c>
      <c r="B141" s="10" t="s">
        <v>1632</v>
      </c>
      <c r="C141" s="10" t="s">
        <v>1841</v>
      </c>
      <c r="D141" s="10" t="n">
        <v>342</v>
      </c>
      <c r="E141" s="10" t="s">
        <v>1842</v>
      </c>
      <c r="F141" s="10" t="n">
        <v>12</v>
      </c>
      <c r="G141" s="10" t="s">
        <v>1619</v>
      </c>
      <c r="H141" s="79" t="n">
        <v>137515.55544</v>
      </c>
      <c r="I141" s="10" t="n">
        <v>720</v>
      </c>
      <c r="J141" s="10"/>
      <c r="K141" s="10" t="s">
        <v>56</v>
      </c>
      <c r="L141" s="10" t="str">
        <f aca="false">LEFT(K141,1)</f>
        <v>E</v>
      </c>
    </row>
    <row r="142" customFormat="false" ht="15" hidden="false" customHeight="true" outlineLevel="0" collapsed="false">
      <c r="A142" s="10" t="s">
        <v>1720</v>
      </c>
      <c r="B142" s="10" t="s">
        <v>1632</v>
      </c>
      <c r="C142" s="10" t="s">
        <v>1843</v>
      </c>
      <c r="D142" s="10" t="n">
        <v>321</v>
      </c>
      <c r="E142" s="10" t="s">
        <v>1844</v>
      </c>
      <c r="F142" s="10" t="n">
        <v>8</v>
      </c>
      <c r="G142" s="10" t="s">
        <v>1619</v>
      </c>
      <c r="H142" s="79" t="n">
        <v>27307.056768</v>
      </c>
      <c r="I142" s="10" t="n">
        <v>128</v>
      </c>
      <c r="J142" s="10"/>
      <c r="K142" s="10" t="s">
        <v>54</v>
      </c>
      <c r="L142" s="10" t="str">
        <f aca="false">LEFT(K142,1)</f>
        <v>D</v>
      </c>
    </row>
    <row r="143" customFormat="false" ht="15" hidden="false" customHeight="true" outlineLevel="0" collapsed="false">
      <c r="A143" s="10" t="s">
        <v>1720</v>
      </c>
      <c r="B143" s="10" t="s">
        <v>1632</v>
      </c>
      <c r="C143" s="10" t="s">
        <v>1845</v>
      </c>
      <c r="D143" s="10" t="n">
        <v>422</v>
      </c>
      <c r="E143" s="10" t="s">
        <v>1846</v>
      </c>
      <c r="F143" s="10" t="n">
        <v>500</v>
      </c>
      <c r="G143" s="10" t="s">
        <v>1626</v>
      </c>
      <c r="H143" s="79" t="n">
        <v>19727.064185</v>
      </c>
      <c r="I143" s="10" t="n">
        <v>105</v>
      </c>
      <c r="J143" s="10" t="s">
        <v>1782</v>
      </c>
      <c r="K143" s="10" t="s">
        <v>54</v>
      </c>
      <c r="L143" s="10" t="str">
        <f aca="false">LEFT(K143,1)</f>
        <v>D</v>
      </c>
    </row>
    <row r="144" customFormat="false" ht="15" hidden="false" customHeight="true" outlineLevel="0" collapsed="false">
      <c r="A144" s="10" t="s">
        <v>1720</v>
      </c>
      <c r="B144" s="10" t="s">
        <v>1632</v>
      </c>
      <c r="C144" s="10" t="s">
        <v>1845</v>
      </c>
      <c r="D144" s="10" t="n">
        <v>412</v>
      </c>
      <c r="E144" s="10" t="s">
        <v>1847</v>
      </c>
      <c r="F144" s="10" t="n">
        <v>2750</v>
      </c>
      <c r="G144" s="10" t="s">
        <v>1626</v>
      </c>
      <c r="H144" s="79" t="n">
        <v>108498.858322</v>
      </c>
      <c r="I144" s="10" t="n">
        <v>577.5</v>
      </c>
      <c r="J144" s="10" t="s">
        <v>1784</v>
      </c>
      <c r="K144" s="10" t="s">
        <v>54</v>
      </c>
      <c r="L144" s="10" t="str">
        <f aca="false">LEFT(K144,1)</f>
        <v>D</v>
      </c>
    </row>
    <row r="145" customFormat="false" ht="15" hidden="false" customHeight="true" outlineLevel="0" collapsed="false">
      <c r="A145" s="10" t="s">
        <v>1720</v>
      </c>
      <c r="B145" s="10" t="s">
        <v>1632</v>
      </c>
      <c r="C145" s="10" t="s">
        <v>1848</v>
      </c>
      <c r="D145" s="10" t="n">
        <v>341</v>
      </c>
      <c r="E145" s="10" t="s">
        <v>1849</v>
      </c>
      <c r="F145" s="10" t="n">
        <v>12</v>
      </c>
      <c r="G145" s="10" t="s">
        <v>1619</v>
      </c>
      <c r="H145" s="79" t="n">
        <v>7651.38</v>
      </c>
      <c r="I145" s="10" t="n">
        <v>0</v>
      </c>
      <c r="J145" s="10" t="s">
        <v>1838</v>
      </c>
      <c r="K145" s="10" t="s">
        <v>56</v>
      </c>
      <c r="L145" s="10" t="str">
        <f aca="false">LEFT(K145,1)</f>
        <v>E</v>
      </c>
    </row>
    <row r="146" customFormat="false" ht="15" hidden="false" customHeight="true" outlineLevel="0" collapsed="false">
      <c r="A146" s="10" t="s">
        <v>1720</v>
      </c>
      <c r="B146" s="10" t="s">
        <v>1632</v>
      </c>
      <c r="C146" s="10" t="s">
        <v>1850</v>
      </c>
      <c r="D146" s="10" t="n">
        <v>293</v>
      </c>
      <c r="E146" s="10" t="s">
        <v>1851</v>
      </c>
      <c r="F146" s="10" t="n">
        <v>570</v>
      </c>
      <c r="G146" s="10" t="s">
        <v>1852</v>
      </c>
      <c r="H146" s="79" t="n">
        <v>65015.718195</v>
      </c>
      <c r="I146" s="10" t="n">
        <v>285</v>
      </c>
      <c r="J146" s="10"/>
      <c r="K146" s="10" t="s">
        <v>56</v>
      </c>
      <c r="L146" s="10" t="str">
        <f aca="false">LEFT(K146,1)</f>
        <v>E</v>
      </c>
    </row>
    <row r="147" customFormat="false" ht="15" hidden="false" customHeight="true" outlineLevel="0" collapsed="false">
      <c r="A147" s="10" t="s">
        <v>1720</v>
      </c>
      <c r="B147" s="10" t="s">
        <v>1632</v>
      </c>
      <c r="C147" s="10" t="s">
        <v>1850</v>
      </c>
      <c r="D147" s="10" t="n">
        <v>292</v>
      </c>
      <c r="E147" s="10" t="s">
        <v>1853</v>
      </c>
      <c r="F147" s="10" t="n">
        <v>570</v>
      </c>
      <c r="G147" s="10" t="s">
        <v>1852</v>
      </c>
      <c r="H147" s="79" t="n">
        <v>27753.642</v>
      </c>
      <c r="I147" s="10" t="n">
        <v>0</v>
      </c>
      <c r="J147" s="10"/>
      <c r="K147" s="10" t="s">
        <v>56</v>
      </c>
      <c r="L147" s="10" t="str">
        <f aca="false">LEFT(K147,1)</f>
        <v>E</v>
      </c>
    </row>
    <row r="148" customFormat="false" ht="15" hidden="false" customHeight="true" outlineLevel="0" collapsed="false">
      <c r="A148" s="10" t="s">
        <v>1720</v>
      </c>
      <c r="B148" s="10" t="s">
        <v>1632</v>
      </c>
      <c r="C148" s="10" t="s">
        <v>1850</v>
      </c>
      <c r="D148" s="10" t="n">
        <v>283</v>
      </c>
      <c r="E148" s="10" t="s">
        <v>1854</v>
      </c>
      <c r="F148" s="10" t="n">
        <v>4.25</v>
      </c>
      <c r="G148" s="10" t="s">
        <v>1855</v>
      </c>
      <c r="H148" s="79" t="n">
        <v>83877.671475</v>
      </c>
      <c r="I148" s="10" t="n">
        <v>425</v>
      </c>
      <c r="J148" s="10" t="s">
        <v>1856</v>
      </c>
      <c r="K148" s="10" t="s">
        <v>56</v>
      </c>
      <c r="L148" s="10" t="str">
        <f aca="false">LEFT(K148,1)</f>
        <v>E</v>
      </c>
    </row>
    <row r="149" customFormat="false" ht="15" hidden="false" customHeight="true" outlineLevel="0" collapsed="false">
      <c r="A149" s="10" t="s">
        <v>1720</v>
      </c>
      <c r="B149" s="10" t="s">
        <v>1632</v>
      </c>
      <c r="C149" s="10" t="s">
        <v>1850</v>
      </c>
      <c r="D149" s="10" t="n">
        <v>290</v>
      </c>
      <c r="E149" s="10" t="s">
        <v>1857</v>
      </c>
      <c r="F149" s="10" t="n">
        <v>2520</v>
      </c>
      <c r="G149" s="10" t="s">
        <v>1852</v>
      </c>
      <c r="H149" s="79" t="n">
        <v>67371.3936</v>
      </c>
      <c r="I149" s="10" t="n">
        <v>0</v>
      </c>
      <c r="J149" s="10" t="s">
        <v>1858</v>
      </c>
      <c r="K149" s="10" t="s">
        <v>56</v>
      </c>
      <c r="L149" s="10" t="str">
        <f aca="false">LEFT(K149,1)</f>
        <v>E</v>
      </c>
    </row>
    <row r="150" customFormat="false" ht="15" hidden="false" customHeight="true" outlineLevel="0" collapsed="false">
      <c r="A150" s="10" t="s">
        <v>1720</v>
      </c>
      <c r="B150" s="10" t="s">
        <v>1632</v>
      </c>
      <c r="C150" s="10" t="s">
        <v>1850</v>
      </c>
      <c r="D150" s="10" t="n">
        <v>291</v>
      </c>
      <c r="E150" s="10" t="s">
        <v>1859</v>
      </c>
      <c r="F150" s="10" t="n">
        <v>2520</v>
      </c>
      <c r="G150" s="10" t="s">
        <v>1852</v>
      </c>
      <c r="H150" s="79" t="n">
        <v>388267.75764</v>
      </c>
      <c r="I150" s="10" t="n">
        <v>2520</v>
      </c>
      <c r="J150" s="10" t="s">
        <v>1858</v>
      </c>
      <c r="K150" s="10" t="s">
        <v>56</v>
      </c>
      <c r="L150" s="10" t="str">
        <f aca="false">LEFT(K150,1)</f>
        <v>E</v>
      </c>
    </row>
    <row r="151" customFormat="false" ht="15" hidden="false" customHeight="true" outlineLevel="0" collapsed="false">
      <c r="A151" s="10" t="s">
        <v>1720</v>
      </c>
      <c r="B151" s="10" t="s">
        <v>1632</v>
      </c>
      <c r="C151" s="10" t="s">
        <v>1850</v>
      </c>
      <c r="D151" s="10" t="n">
        <v>286</v>
      </c>
      <c r="E151" s="10" t="s">
        <v>1860</v>
      </c>
      <c r="F151" s="10" t="n">
        <v>4900</v>
      </c>
      <c r="G151" s="10" t="s">
        <v>1861</v>
      </c>
      <c r="H151" s="79" t="n">
        <v>340834.2</v>
      </c>
      <c r="I151" s="10" t="n">
        <v>0</v>
      </c>
      <c r="J151" s="10" t="s">
        <v>1862</v>
      </c>
      <c r="K151" s="10" t="s">
        <v>56</v>
      </c>
      <c r="L151" s="10" t="str">
        <f aca="false">LEFT(K151,1)</f>
        <v>E</v>
      </c>
    </row>
    <row r="152" customFormat="false" ht="15" hidden="false" customHeight="true" outlineLevel="0" collapsed="false">
      <c r="A152" s="10" t="s">
        <v>1720</v>
      </c>
      <c r="B152" s="10" t="s">
        <v>1632</v>
      </c>
      <c r="C152" s="10" t="s">
        <v>1850</v>
      </c>
      <c r="D152" s="10" t="n">
        <v>287</v>
      </c>
      <c r="E152" s="10" t="s">
        <v>1863</v>
      </c>
      <c r="F152" s="10" t="n">
        <v>4900</v>
      </c>
      <c r="G152" s="10" t="s">
        <v>1861</v>
      </c>
      <c r="H152" s="79" t="n">
        <v>150993.01686</v>
      </c>
      <c r="I152" s="10" t="n">
        <v>980</v>
      </c>
      <c r="J152" s="10" t="s">
        <v>1862</v>
      </c>
      <c r="K152" s="10" t="s">
        <v>56</v>
      </c>
      <c r="L152" s="10" t="str">
        <f aca="false">LEFT(K152,1)</f>
        <v>E</v>
      </c>
    </row>
    <row r="153" customFormat="false" ht="15" hidden="false" customHeight="true" outlineLevel="0" collapsed="false">
      <c r="A153" s="10" t="s">
        <v>1720</v>
      </c>
      <c r="B153" s="10" t="s">
        <v>1632</v>
      </c>
      <c r="C153" s="10" t="s">
        <v>1864</v>
      </c>
      <c r="D153" s="10" t="n">
        <v>270</v>
      </c>
      <c r="E153" s="10" t="s">
        <v>1865</v>
      </c>
      <c r="F153" s="10" t="n">
        <v>800</v>
      </c>
      <c r="G153" s="10" t="s">
        <v>1626</v>
      </c>
      <c r="H153" s="79" t="n">
        <v>18493.2064</v>
      </c>
      <c r="I153" s="10" t="n">
        <v>0</v>
      </c>
      <c r="J153" s="10"/>
      <c r="K153" s="10" t="s">
        <v>56</v>
      </c>
      <c r="L153" s="10" t="str">
        <f aca="false">LEFT(K153,1)</f>
        <v>E</v>
      </c>
    </row>
    <row r="154" customFormat="false" ht="15" hidden="false" customHeight="true" outlineLevel="0" collapsed="false">
      <c r="A154" s="10" t="s">
        <v>1720</v>
      </c>
      <c r="B154" s="10" t="s">
        <v>1632</v>
      </c>
      <c r="C154" s="10" t="s">
        <v>1864</v>
      </c>
      <c r="D154" s="10" t="n">
        <v>271</v>
      </c>
      <c r="E154" s="10" t="s">
        <v>1866</v>
      </c>
      <c r="F154" s="10" t="n">
        <v>800</v>
      </c>
      <c r="G154" s="10" t="s">
        <v>1626</v>
      </c>
      <c r="H154" s="79" t="n">
        <v>73955.76336</v>
      </c>
      <c r="I154" s="10" t="n">
        <v>480</v>
      </c>
      <c r="J154" s="10"/>
      <c r="K154" s="10" t="s">
        <v>56</v>
      </c>
      <c r="L154" s="10" t="str">
        <f aca="false">LEFT(K154,1)</f>
        <v>E</v>
      </c>
    </row>
    <row r="155" customFormat="false" ht="15" hidden="false" customHeight="true" outlineLevel="0" collapsed="false">
      <c r="A155" s="10" t="s">
        <v>1720</v>
      </c>
      <c r="B155" s="10" t="s">
        <v>1632</v>
      </c>
      <c r="C155" s="10" t="s">
        <v>1864</v>
      </c>
      <c r="D155" s="10" t="n">
        <v>276</v>
      </c>
      <c r="E155" s="10" t="s">
        <v>1867</v>
      </c>
      <c r="F155" s="10" t="n">
        <v>3</v>
      </c>
      <c r="G155" s="10" t="s">
        <v>1619</v>
      </c>
      <c r="H155" s="79" t="n">
        <v>3419.935</v>
      </c>
      <c r="I155" s="10" t="n">
        <v>0</v>
      </c>
      <c r="J155" s="10" t="s">
        <v>1868</v>
      </c>
      <c r="K155" s="10" t="s">
        <v>56</v>
      </c>
      <c r="L155" s="10" t="str">
        <f aca="false">LEFT(K155,1)</f>
        <v>E</v>
      </c>
    </row>
    <row r="156" customFormat="false" ht="15" hidden="false" customHeight="true" outlineLevel="0" collapsed="false">
      <c r="A156" s="10" t="s">
        <v>1720</v>
      </c>
      <c r="B156" s="10" t="s">
        <v>1632</v>
      </c>
      <c r="C156" s="10" t="s">
        <v>1864</v>
      </c>
      <c r="D156" s="10" t="n">
        <v>277</v>
      </c>
      <c r="E156" s="10" t="s">
        <v>1869</v>
      </c>
      <c r="F156" s="10" t="n">
        <v>3</v>
      </c>
      <c r="G156" s="10" t="s">
        <v>1619</v>
      </c>
      <c r="H156" s="79" t="n">
        <v>6779.278308</v>
      </c>
      <c r="I156" s="10" t="n">
        <v>44</v>
      </c>
      <c r="J156" s="10" t="s">
        <v>1868</v>
      </c>
      <c r="K156" s="10" t="s">
        <v>56</v>
      </c>
      <c r="L156" s="10" t="str">
        <f aca="false">LEFT(K156,1)</f>
        <v>E</v>
      </c>
    </row>
    <row r="157" customFormat="false" ht="15" hidden="false" customHeight="true" outlineLevel="0" collapsed="false">
      <c r="A157" s="10" t="s">
        <v>1720</v>
      </c>
      <c r="B157" s="10" t="s">
        <v>1632</v>
      </c>
      <c r="C157" s="10" t="s">
        <v>1864</v>
      </c>
      <c r="D157" s="10" t="n">
        <v>278</v>
      </c>
      <c r="E157" s="10" t="s">
        <v>1870</v>
      </c>
      <c r="F157" s="10" t="n">
        <v>280</v>
      </c>
      <c r="G157" s="10" t="s">
        <v>1626</v>
      </c>
      <c r="H157" s="79" t="n">
        <v>109066.944</v>
      </c>
      <c r="I157" s="10" t="n">
        <v>0</v>
      </c>
      <c r="J157" s="10"/>
      <c r="K157" s="10" t="s">
        <v>56</v>
      </c>
      <c r="L157" s="10" t="str">
        <f aca="false">LEFT(K157,1)</f>
        <v>E</v>
      </c>
    </row>
    <row r="158" customFormat="false" ht="15" hidden="false" customHeight="true" outlineLevel="0" collapsed="false">
      <c r="A158" s="10" t="s">
        <v>1720</v>
      </c>
      <c r="B158" s="10" t="s">
        <v>1632</v>
      </c>
      <c r="C158" s="10" t="s">
        <v>1864</v>
      </c>
      <c r="D158" s="10" t="n">
        <v>279</v>
      </c>
      <c r="E158" s="10" t="s">
        <v>1871</v>
      </c>
      <c r="F158" s="10" t="n">
        <v>280</v>
      </c>
      <c r="G158" s="10" t="s">
        <v>1626</v>
      </c>
      <c r="H158" s="79" t="n">
        <v>361286.52448</v>
      </c>
      <c r="I158" s="10" t="n">
        <v>2240</v>
      </c>
      <c r="J158" s="10"/>
      <c r="K158" s="10" t="s">
        <v>56</v>
      </c>
      <c r="L158" s="10" t="str">
        <f aca="false">LEFT(K158,1)</f>
        <v>E</v>
      </c>
    </row>
    <row r="159" customFormat="false" ht="15" hidden="false" customHeight="true" outlineLevel="0" collapsed="false">
      <c r="A159" s="10" t="s">
        <v>1720</v>
      </c>
      <c r="B159" s="10" t="s">
        <v>1632</v>
      </c>
      <c r="C159" s="10" t="s">
        <v>1872</v>
      </c>
      <c r="D159" s="10" t="n">
        <v>336</v>
      </c>
      <c r="E159" s="10" t="s">
        <v>1873</v>
      </c>
      <c r="F159" s="10" t="n">
        <v>4</v>
      </c>
      <c r="G159" s="10" t="s">
        <v>1619</v>
      </c>
      <c r="H159" s="79" t="n">
        <v>10864.9596</v>
      </c>
      <c r="I159" s="10" t="n">
        <v>0</v>
      </c>
      <c r="J159" s="10" t="s">
        <v>1874</v>
      </c>
      <c r="K159" s="10" t="s">
        <v>52</v>
      </c>
      <c r="L159" s="10" t="str">
        <f aca="false">LEFT(K159,1)</f>
        <v>C</v>
      </c>
    </row>
    <row r="160" customFormat="false" ht="15" hidden="false" customHeight="true" outlineLevel="0" collapsed="false">
      <c r="A160" s="10" t="s">
        <v>1720</v>
      </c>
      <c r="B160" s="10" t="s">
        <v>1632</v>
      </c>
      <c r="C160" s="10" t="s">
        <v>1872</v>
      </c>
      <c r="D160" s="10" t="n">
        <v>337</v>
      </c>
      <c r="E160" s="10" t="s">
        <v>1875</v>
      </c>
      <c r="F160" s="10" t="n">
        <v>4</v>
      </c>
      <c r="G160" s="10" t="s">
        <v>1619</v>
      </c>
      <c r="H160" s="79" t="n">
        <v>45852.575405</v>
      </c>
      <c r="I160" s="10" t="n">
        <v>297.6</v>
      </c>
      <c r="J160" s="10" t="s">
        <v>1874</v>
      </c>
      <c r="K160" s="10" t="s">
        <v>52</v>
      </c>
      <c r="L160" s="10" t="str">
        <f aca="false">LEFT(K160,1)</f>
        <v>C</v>
      </c>
    </row>
    <row r="161" customFormat="false" ht="15" hidden="false" customHeight="true" outlineLevel="0" collapsed="false">
      <c r="A161" s="10" t="s">
        <v>1720</v>
      </c>
      <c r="B161" s="10" t="s">
        <v>1632</v>
      </c>
      <c r="C161" s="10" t="s">
        <v>1872</v>
      </c>
      <c r="D161" s="10" t="n">
        <v>430</v>
      </c>
      <c r="E161" s="10" t="s">
        <v>1876</v>
      </c>
      <c r="F161" s="10" t="n">
        <v>12</v>
      </c>
      <c r="G161" s="10" t="s">
        <v>1619</v>
      </c>
      <c r="H161" s="79" t="n">
        <v>109331.2644</v>
      </c>
      <c r="I161" s="10" t="n">
        <v>0</v>
      </c>
      <c r="J161" s="10"/>
      <c r="K161" s="10" t="s">
        <v>50</v>
      </c>
      <c r="L161" s="10" t="str">
        <f aca="false">LEFT(K161,1)</f>
        <v>B</v>
      </c>
    </row>
    <row r="162" customFormat="false" ht="15" hidden="false" customHeight="true" outlineLevel="0" collapsed="false">
      <c r="A162" s="10" t="s">
        <v>1720</v>
      </c>
      <c r="B162" s="10" t="s">
        <v>1632</v>
      </c>
      <c r="C162" s="10" t="s">
        <v>1872</v>
      </c>
      <c r="D162" s="10" t="n">
        <v>431</v>
      </c>
      <c r="E162" s="10" t="s">
        <v>1877</v>
      </c>
      <c r="F162" s="10" t="n">
        <v>12</v>
      </c>
      <c r="G162" s="10" t="s">
        <v>1619</v>
      </c>
      <c r="H162" s="79" t="n">
        <v>231111.7605</v>
      </c>
      <c r="I162" s="10" t="n">
        <v>1500</v>
      </c>
      <c r="J162" s="10"/>
      <c r="K162" s="10" t="s">
        <v>50</v>
      </c>
      <c r="L162" s="10" t="str">
        <f aca="false">LEFT(K162,1)</f>
        <v>B</v>
      </c>
    </row>
    <row r="163" customFormat="false" ht="15" hidden="false" customHeight="true" outlineLevel="0" collapsed="false">
      <c r="A163" s="10" t="s">
        <v>1720</v>
      </c>
      <c r="B163" s="10" t="s">
        <v>1632</v>
      </c>
      <c r="C163" s="10" t="s">
        <v>1872</v>
      </c>
      <c r="D163" s="10" t="n">
        <v>388</v>
      </c>
      <c r="E163" s="10" t="s">
        <v>1878</v>
      </c>
      <c r="F163" s="10" t="n">
        <v>1</v>
      </c>
      <c r="G163" s="10" t="s">
        <v>1619</v>
      </c>
      <c r="H163" s="79" t="n">
        <v>14174.854644</v>
      </c>
      <c r="I163" s="10" t="n">
        <v>92</v>
      </c>
      <c r="J163" s="10" t="s">
        <v>1879</v>
      </c>
      <c r="K163" s="10" t="s">
        <v>54</v>
      </c>
      <c r="L163" s="10" t="str">
        <f aca="false">LEFT(K163,1)</f>
        <v>D</v>
      </c>
    </row>
    <row r="164" customFormat="false" ht="15" hidden="false" customHeight="true" outlineLevel="0" collapsed="false">
      <c r="A164" s="10" t="s">
        <v>1720</v>
      </c>
      <c r="B164" s="10" t="s">
        <v>1632</v>
      </c>
      <c r="C164" s="10" t="s">
        <v>1872</v>
      </c>
      <c r="D164" s="10" t="n">
        <v>387</v>
      </c>
      <c r="E164" s="10" t="s">
        <v>1880</v>
      </c>
      <c r="F164" s="10" t="n">
        <v>1</v>
      </c>
      <c r="G164" s="10" t="s">
        <v>1619</v>
      </c>
      <c r="H164" s="79" t="n">
        <v>3593.83</v>
      </c>
      <c r="I164" s="10" t="n">
        <v>0</v>
      </c>
      <c r="J164" s="10" t="s">
        <v>1879</v>
      </c>
      <c r="K164" s="10" t="s">
        <v>54</v>
      </c>
      <c r="L164" s="10" t="str">
        <f aca="false">LEFT(K164,1)</f>
        <v>D</v>
      </c>
    </row>
    <row r="165" customFormat="false" ht="15" hidden="false" customHeight="true" outlineLevel="0" collapsed="false">
      <c r="A165" s="10" t="s">
        <v>1720</v>
      </c>
      <c r="B165" s="10" t="s">
        <v>1632</v>
      </c>
      <c r="C165" s="10" t="s">
        <v>1872</v>
      </c>
      <c r="D165" s="10" t="n">
        <v>391</v>
      </c>
      <c r="E165" s="10" t="s">
        <v>1881</v>
      </c>
      <c r="F165" s="10" t="n">
        <v>4</v>
      </c>
      <c r="G165" s="10" t="s">
        <v>1619</v>
      </c>
      <c r="H165" s="79" t="n">
        <v>5564.64</v>
      </c>
      <c r="I165" s="10" t="n">
        <v>0</v>
      </c>
      <c r="J165" s="10" t="s">
        <v>1882</v>
      </c>
      <c r="K165" s="10" t="s">
        <v>54</v>
      </c>
      <c r="L165" s="10" t="str">
        <f aca="false">LEFT(K165,1)</f>
        <v>D</v>
      </c>
    </row>
    <row r="166" customFormat="false" ht="15" hidden="false" customHeight="true" outlineLevel="0" collapsed="false">
      <c r="A166" s="10" t="s">
        <v>1720</v>
      </c>
      <c r="B166" s="10" t="s">
        <v>1632</v>
      </c>
      <c r="C166" s="10" t="s">
        <v>1872</v>
      </c>
      <c r="D166" s="10" t="n">
        <v>392</v>
      </c>
      <c r="E166" s="10" t="s">
        <v>1883</v>
      </c>
      <c r="F166" s="10" t="n">
        <v>4</v>
      </c>
      <c r="G166" s="10" t="s">
        <v>1619</v>
      </c>
      <c r="H166" s="79" t="n">
        <v>14791.152672</v>
      </c>
      <c r="I166" s="10" t="n">
        <v>96</v>
      </c>
      <c r="J166" s="10" t="s">
        <v>1882</v>
      </c>
      <c r="K166" s="10" t="s">
        <v>54</v>
      </c>
      <c r="L166" s="10" t="str">
        <f aca="false">LEFT(K166,1)</f>
        <v>D</v>
      </c>
    </row>
    <row r="167" customFormat="false" ht="15" hidden="false" customHeight="true" outlineLevel="0" collapsed="false">
      <c r="A167" s="10" t="s">
        <v>1720</v>
      </c>
      <c r="B167" s="10" t="s">
        <v>1632</v>
      </c>
      <c r="C167" s="10" t="s">
        <v>1872</v>
      </c>
      <c r="D167" s="10" t="n">
        <v>313</v>
      </c>
      <c r="E167" s="10" t="s">
        <v>1884</v>
      </c>
      <c r="F167" s="10" t="n">
        <v>4</v>
      </c>
      <c r="G167" s="10" t="s">
        <v>1619</v>
      </c>
      <c r="H167" s="79" t="n">
        <v>7395.576336</v>
      </c>
      <c r="I167" s="10" t="n">
        <v>48</v>
      </c>
      <c r="J167" s="10"/>
      <c r="K167" s="10" t="s">
        <v>54</v>
      </c>
      <c r="L167" s="10" t="str">
        <f aca="false">LEFT(K167,1)</f>
        <v>D</v>
      </c>
    </row>
    <row r="168" customFormat="false" ht="15" hidden="false" customHeight="true" outlineLevel="0" collapsed="false">
      <c r="A168" s="10" t="s">
        <v>1720</v>
      </c>
      <c r="B168" s="10" t="s">
        <v>1632</v>
      </c>
      <c r="C168" s="10" t="s">
        <v>1872</v>
      </c>
      <c r="D168" s="10" t="n">
        <v>312</v>
      </c>
      <c r="E168" s="10" t="s">
        <v>1885</v>
      </c>
      <c r="F168" s="10" t="n">
        <v>4</v>
      </c>
      <c r="G168" s="10" t="s">
        <v>1619</v>
      </c>
      <c r="H168" s="79" t="n">
        <v>11210.66286</v>
      </c>
      <c r="I168" s="10" t="n">
        <v>0</v>
      </c>
      <c r="J168" s="10"/>
      <c r="K168" s="10" t="s">
        <v>54</v>
      </c>
      <c r="L168" s="10" t="str">
        <f aca="false">LEFT(K168,1)</f>
        <v>D</v>
      </c>
    </row>
    <row r="169" customFormat="false" ht="15" hidden="false" customHeight="true" outlineLevel="0" collapsed="false">
      <c r="A169" s="10" t="s">
        <v>1720</v>
      </c>
      <c r="B169" s="10" t="s">
        <v>1632</v>
      </c>
      <c r="C169" s="10" t="s">
        <v>1872</v>
      </c>
      <c r="D169" s="10" t="n">
        <v>324</v>
      </c>
      <c r="E169" s="10" t="s">
        <v>1886</v>
      </c>
      <c r="F169" s="10" t="n">
        <v>1</v>
      </c>
      <c r="G169" s="10" t="s">
        <v>1619</v>
      </c>
      <c r="H169" s="79" t="n">
        <v>1921.945505</v>
      </c>
      <c r="I169" s="10" t="n">
        <v>0</v>
      </c>
      <c r="J169" s="10" t="s">
        <v>1887</v>
      </c>
      <c r="K169" s="10" t="s">
        <v>54</v>
      </c>
      <c r="L169" s="10" t="str">
        <f aca="false">LEFT(K169,1)</f>
        <v>D</v>
      </c>
    </row>
    <row r="170" customFormat="false" ht="15" hidden="false" customHeight="true" outlineLevel="0" collapsed="false">
      <c r="A170" s="10" t="s">
        <v>1720</v>
      </c>
      <c r="B170" s="10" t="s">
        <v>1632</v>
      </c>
      <c r="C170" s="10" t="s">
        <v>1872</v>
      </c>
      <c r="D170" s="10" t="n">
        <v>325</v>
      </c>
      <c r="E170" s="10" t="s">
        <v>1888</v>
      </c>
      <c r="F170" s="10" t="n">
        <v>1</v>
      </c>
      <c r="G170" s="10" t="s">
        <v>1619</v>
      </c>
      <c r="H170" s="79" t="n">
        <v>1540.74507</v>
      </c>
      <c r="I170" s="10" t="n">
        <v>10</v>
      </c>
      <c r="J170" s="10"/>
      <c r="K170" s="10" t="s">
        <v>54</v>
      </c>
      <c r="L170" s="10" t="str">
        <f aca="false">LEFT(K170,1)</f>
        <v>D</v>
      </c>
    </row>
    <row r="171" customFormat="false" ht="15" hidden="false" customHeight="true" outlineLevel="0" collapsed="false">
      <c r="A171" s="10" t="s">
        <v>1720</v>
      </c>
      <c r="B171" s="10" t="s">
        <v>1632</v>
      </c>
      <c r="C171" s="10" t="s">
        <v>1889</v>
      </c>
      <c r="D171" s="10" t="n">
        <v>303</v>
      </c>
      <c r="E171" s="10" t="s">
        <v>1890</v>
      </c>
      <c r="F171" s="10" t="n">
        <v>4</v>
      </c>
      <c r="G171" s="10" t="s">
        <v>1619</v>
      </c>
      <c r="H171" s="79" t="n">
        <v>169250.89368</v>
      </c>
      <c r="I171" s="10" t="n">
        <v>880</v>
      </c>
      <c r="J171" s="26" t="s">
        <v>1774</v>
      </c>
      <c r="K171" s="10" t="s">
        <v>54</v>
      </c>
      <c r="L171" s="10" t="str">
        <f aca="false">LEFT(K171,1)</f>
        <v>D</v>
      </c>
    </row>
    <row r="172" customFormat="false" ht="15" hidden="false" customHeight="true" outlineLevel="0" collapsed="false">
      <c r="A172" s="10" t="s">
        <v>1720</v>
      </c>
      <c r="B172" s="10" t="s">
        <v>1632</v>
      </c>
      <c r="C172" s="10" t="s">
        <v>1891</v>
      </c>
      <c r="D172" s="10" t="n">
        <v>311</v>
      </c>
      <c r="E172" s="10" t="s">
        <v>1892</v>
      </c>
      <c r="F172" s="10" t="n">
        <v>8</v>
      </c>
      <c r="G172" s="10" t="s">
        <v>1619</v>
      </c>
      <c r="H172" s="79" t="n">
        <v>207526.46824</v>
      </c>
      <c r="I172" s="10" t="n">
        <v>1040</v>
      </c>
      <c r="J172" s="10"/>
      <c r="K172" s="10" t="s">
        <v>54</v>
      </c>
      <c r="L172" s="10" t="str">
        <f aca="false">LEFT(K172,1)</f>
        <v>D</v>
      </c>
    </row>
    <row r="173" customFormat="false" ht="15" hidden="false" customHeight="true" outlineLevel="0" collapsed="false">
      <c r="A173" s="10" t="s">
        <v>1720</v>
      </c>
      <c r="B173" s="10" t="s">
        <v>1632</v>
      </c>
      <c r="C173" s="10" t="s">
        <v>1893</v>
      </c>
      <c r="D173" s="10" t="n">
        <v>327</v>
      </c>
      <c r="E173" s="10" t="s">
        <v>1894</v>
      </c>
      <c r="F173" s="10" t="n">
        <v>1</v>
      </c>
      <c r="G173" s="10" t="s">
        <v>1619</v>
      </c>
      <c r="H173" s="79" t="n">
        <v>6923.900196</v>
      </c>
      <c r="I173" s="10" t="n">
        <v>36</v>
      </c>
      <c r="J173" s="10" t="s">
        <v>1777</v>
      </c>
      <c r="K173" s="10" t="s">
        <v>54</v>
      </c>
      <c r="L173" s="10" t="str">
        <f aca="false">LEFT(K173,1)</f>
        <v>D</v>
      </c>
    </row>
    <row r="174" customFormat="false" ht="15" hidden="false" customHeight="true" outlineLevel="0" collapsed="false">
      <c r="A174" s="10" t="s">
        <v>1720</v>
      </c>
      <c r="B174" s="10" t="s">
        <v>1632</v>
      </c>
      <c r="C174" s="10" t="s">
        <v>1893</v>
      </c>
      <c r="D174" s="10" t="n">
        <v>339</v>
      </c>
      <c r="E174" s="10" t="s">
        <v>1895</v>
      </c>
      <c r="F174" s="10" t="n">
        <v>4</v>
      </c>
      <c r="G174" s="10" t="s">
        <v>1619</v>
      </c>
      <c r="H174" s="79" t="n">
        <v>317168.7858</v>
      </c>
      <c r="I174" s="10" t="n">
        <v>1800</v>
      </c>
      <c r="J174" s="10"/>
      <c r="K174" s="10" t="s">
        <v>52</v>
      </c>
      <c r="L174" s="10" t="str">
        <f aca="false">LEFT(K174,1)</f>
        <v>C</v>
      </c>
    </row>
    <row r="175" customFormat="false" ht="15" hidden="false" customHeight="true" outlineLevel="0" collapsed="false">
      <c r="A175" s="10" t="s">
        <v>1720</v>
      </c>
      <c r="B175" s="10" t="s">
        <v>1632</v>
      </c>
      <c r="C175" s="10" t="s">
        <v>1896</v>
      </c>
      <c r="D175" s="10" t="n">
        <v>403</v>
      </c>
      <c r="E175" s="10" t="s">
        <v>1897</v>
      </c>
      <c r="F175" s="10" t="n">
        <v>300</v>
      </c>
      <c r="G175" s="10" t="s">
        <v>1626</v>
      </c>
      <c r="H175" s="79" t="n">
        <v>3972.45738</v>
      </c>
      <c r="I175" s="10" t="n">
        <v>0</v>
      </c>
      <c r="J175" s="10" t="s">
        <v>1898</v>
      </c>
      <c r="K175" s="10" t="s">
        <v>54</v>
      </c>
      <c r="L175" s="10" t="str">
        <f aca="false">LEFT(K175,1)</f>
        <v>D</v>
      </c>
    </row>
    <row r="176" customFormat="false" ht="15" hidden="false" customHeight="true" outlineLevel="0" collapsed="false">
      <c r="A176" s="10" t="s">
        <v>1720</v>
      </c>
      <c r="B176" s="10" t="s">
        <v>1632</v>
      </c>
      <c r="C176" s="10" t="s">
        <v>1896</v>
      </c>
      <c r="D176" s="10" t="n">
        <v>404</v>
      </c>
      <c r="E176" s="10" t="s">
        <v>1899</v>
      </c>
      <c r="F176" s="10" t="n">
        <v>300</v>
      </c>
      <c r="G176" s="10" t="s">
        <v>1626</v>
      </c>
      <c r="H176" s="79" t="n">
        <v>4401.758972</v>
      </c>
      <c r="I176" s="10" t="n">
        <v>28.569</v>
      </c>
      <c r="J176" s="10" t="s">
        <v>1898</v>
      </c>
      <c r="K176" s="10" t="s">
        <v>54</v>
      </c>
      <c r="L176" s="10" t="str">
        <f aca="false">LEFT(K176,1)</f>
        <v>D</v>
      </c>
    </row>
    <row r="177" customFormat="false" ht="15" hidden="false" customHeight="true" outlineLevel="0" collapsed="false">
      <c r="A177" s="10" t="s">
        <v>1720</v>
      </c>
      <c r="B177" s="10" t="s">
        <v>1632</v>
      </c>
      <c r="C177" s="10" t="s">
        <v>1896</v>
      </c>
      <c r="D177" s="10" t="n">
        <v>397</v>
      </c>
      <c r="E177" s="10" t="s">
        <v>1900</v>
      </c>
      <c r="F177" s="10" t="n">
        <v>440</v>
      </c>
      <c r="G177" s="10" t="s">
        <v>1626</v>
      </c>
      <c r="H177" s="79" t="n">
        <v>22770.50688</v>
      </c>
      <c r="I177" s="10" t="n">
        <v>0</v>
      </c>
      <c r="J177" s="10" t="s">
        <v>1901</v>
      </c>
      <c r="K177" s="10" t="s">
        <v>54</v>
      </c>
      <c r="L177" s="10" t="str">
        <f aca="false">LEFT(K177,1)</f>
        <v>D</v>
      </c>
    </row>
    <row r="178" customFormat="false" ht="15" hidden="false" customHeight="true" outlineLevel="0" collapsed="false">
      <c r="A178" s="10" t="s">
        <v>1720</v>
      </c>
      <c r="B178" s="10" t="s">
        <v>1632</v>
      </c>
      <c r="C178" s="10" t="s">
        <v>1896</v>
      </c>
      <c r="D178" s="10" t="n">
        <v>399</v>
      </c>
      <c r="E178" s="10" t="s">
        <v>1902</v>
      </c>
      <c r="F178" s="10" t="n">
        <v>800</v>
      </c>
      <c r="G178" s="10" t="s">
        <v>1626</v>
      </c>
      <c r="H178" s="79" t="n">
        <v>41400.9216</v>
      </c>
      <c r="I178" s="10" t="n">
        <v>0</v>
      </c>
      <c r="J178" s="10" t="s">
        <v>1903</v>
      </c>
      <c r="K178" s="10" t="s">
        <v>54</v>
      </c>
      <c r="L178" s="10" t="str">
        <f aca="false">LEFT(K178,1)</f>
        <v>D</v>
      </c>
    </row>
    <row r="179" customFormat="false" ht="15" hidden="false" customHeight="true" outlineLevel="0" collapsed="false">
      <c r="A179" s="10" t="s">
        <v>1720</v>
      </c>
      <c r="B179" s="10" t="s">
        <v>1632</v>
      </c>
      <c r="C179" s="10" t="s">
        <v>1896</v>
      </c>
      <c r="D179" s="10" t="n">
        <v>398</v>
      </c>
      <c r="E179" s="10" t="s">
        <v>1904</v>
      </c>
      <c r="F179" s="10" t="n">
        <v>440</v>
      </c>
      <c r="G179" s="10" t="s">
        <v>1626</v>
      </c>
      <c r="H179" s="79" t="n">
        <v>103045.026038</v>
      </c>
      <c r="I179" s="10" t="n">
        <v>668.8</v>
      </c>
      <c r="J179" s="10" t="s">
        <v>1901</v>
      </c>
      <c r="K179" s="10" t="s">
        <v>54</v>
      </c>
      <c r="L179" s="10" t="str">
        <f aca="false">LEFT(K179,1)</f>
        <v>D</v>
      </c>
    </row>
    <row r="180" customFormat="false" ht="15" hidden="false" customHeight="true" outlineLevel="0" collapsed="false">
      <c r="A180" s="10" t="s">
        <v>1720</v>
      </c>
      <c r="B180" s="10" t="s">
        <v>1632</v>
      </c>
      <c r="C180" s="10" t="s">
        <v>1896</v>
      </c>
      <c r="D180" s="10" t="n">
        <v>400</v>
      </c>
      <c r="E180" s="10" t="s">
        <v>1905</v>
      </c>
      <c r="F180" s="10" t="n">
        <v>800</v>
      </c>
      <c r="G180" s="10" t="s">
        <v>1626</v>
      </c>
      <c r="H180" s="79" t="n">
        <v>187354.600512</v>
      </c>
      <c r="I180" s="10" t="n">
        <v>1216</v>
      </c>
      <c r="J180" s="10" t="s">
        <v>1903</v>
      </c>
      <c r="K180" s="10" t="s">
        <v>54</v>
      </c>
      <c r="L180" s="10" t="str">
        <f aca="false">LEFT(K180,1)</f>
        <v>D</v>
      </c>
    </row>
    <row r="181" customFormat="false" ht="15" hidden="false" customHeight="true" outlineLevel="0" collapsed="false">
      <c r="A181" s="10" t="s">
        <v>1720</v>
      </c>
      <c r="B181" s="10" t="s">
        <v>1632</v>
      </c>
      <c r="C181" s="10" t="s">
        <v>1906</v>
      </c>
      <c r="D181" s="10" t="n">
        <v>394</v>
      </c>
      <c r="E181" s="10" t="s">
        <v>1907</v>
      </c>
      <c r="F181" s="10" t="n">
        <v>480</v>
      </c>
      <c r="G181" s="10" t="s">
        <v>1626</v>
      </c>
      <c r="H181" s="79" t="n">
        <v>68470.694136</v>
      </c>
      <c r="I181" s="10" t="n">
        <v>216</v>
      </c>
      <c r="J181" s="10" t="s">
        <v>1815</v>
      </c>
      <c r="K181" s="10" t="s">
        <v>50</v>
      </c>
      <c r="L181" s="10" t="str">
        <f aca="false">LEFT(K181,1)</f>
        <v>B</v>
      </c>
    </row>
    <row r="182" customFormat="false" ht="15" hidden="false" customHeight="true" outlineLevel="0" collapsed="false">
      <c r="A182" s="10" t="s">
        <v>1720</v>
      </c>
      <c r="B182" s="10" t="s">
        <v>1632</v>
      </c>
      <c r="C182" s="10" t="s">
        <v>1906</v>
      </c>
      <c r="D182" s="10" t="n">
        <v>396</v>
      </c>
      <c r="E182" s="10" t="s">
        <v>1908</v>
      </c>
      <c r="F182" s="10" t="n">
        <v>24</v>
      </c>
      <c r="G182" s="10" t="s">
        <v>1619</v>
      </c>
      <c r="H182" s="79" t="n">
        <v>13847.800392</v>
      </c>
      <c r="I182" s="10" t="n">
        <v>72</v>
      </c>
      <c r="J182" s="10" t="s">
        <v>1909</v>
      </c>
      <c r="K182" s="10" t="s">
        <v>50</v>
      </c>
      <c r="L182" s="10" t="str">
        <f aca="false">LEFT(K182,1)</f>
        <v>B</v>
      </c>
    </row>
    <row r="183" customFormat="false" ht="15" hidden="false" customHeight="true" outlineLevel="0" collapsed="false">
      <c r="A183" s="10" t="s">
        <v>1720</v>
      </c>
      <c r="B183" s="10" t="s">
        <v>1632</v>
      </c>
      <c r="C183" s="10" t="s">
        <v>1910</v>
      </c>
      <c r="D183" s="10" t="n">
        <v>485</v>
      </c>
      <c r="E183" s="10" t="s">
        <v>1911</v>
      </c>
      <c r="F183" s="10" t="n">
        <v>2</v>
      </c>
      <c r="G183" s="10" t="s">
        <v>1619</v>
      </c>
      <c r="H183" s="79" t="n">
        <v>1068769.384885</v>
      </c>
      <c r="I183" s="10" t="n">
        <v>5556.94</v>
      </c>
      <c r="J183" s="10" t="s">
        <v>1912</v>
      </c>
      <c r="K183" s="10" t="s">
        <v>50</v>
      </c>
      <c r="L183" s="10" t="str">
        <f aca="false">LEFT(K183,1)</f>
        <v>B</v>
      </c>
    </row>
    <row r="184" customFormat="false" ht="15" hidden="false" customHeight="true" outlineLevel="0" collapsed="false">
      <c r="A184" s="10" t="s">
        <v>1720</v>
      </c>
      <c r="B184" s="10" t="s">
        <v>1632</v>
      </c>
      <c r="C184" s="10" t="s">
        <v>1639</v>
      </c>
      <c r="D184" s="10" t="n">
        <v>471</v>
      </c>
      <c r="E184" s="10" t="s">
        <v>1913</v>
      </c>
      <c r="F184" s="10" t="n">
        <v>250</v>
      </c>
      <c r="G184" s="10" t="s">
        <v>1626</v>
      </c>
      <c r="H184" s="79" t="n">
        <v>3990.89362</v>
      </c>
      <c r="I184" s="10" t="n">
        <v>20</v>
      </c>
      <c r="J184" s="10"/>
      <c r="K184" s="10" t="s">
        <v>54</v>
      </c>
      <c r="L184" s="10" t="str">
        <f aca="false">LEFT(K184,1)</f>
        <v>D</v>
      </c>
    </row>
    <row r="185" customFormat="false" ht="15" hidden="false" customHeight="true" outlineLevel="0" collapsed="false">
      <c r="A185" s="10" t="s">
        <v>1720</v>
      </c>
      <c r="B185" s="10" t="s">
        <v>1632</v>
      </c>
      <c r="C185" s="10" t="s">
        <v>1639</v>
      </c>
      <c r="D185" s="10" t="n">
        <v>261</v>
      </c>
      <c r="E185" s="10" t="s">
        <v>1914</v>
      </c>
      <c r="F185" s="10" t="n">
        <v>4400</v>
      </c>
      <c r="G185" s="10" t="s">
        <v>1626</v>
      </c>
      <c r="H185" s="79" t="n">
        <v>42312.72342</v>
      </c>
      <c r="I185" s="10" t="n">
        <v>220</v>
      </c>
      <c r="J185" s="10" t="s">
        <v>1915</v>
      </c>
      <c r="K185" s="10" t="s">
        <v>54</v>
      </c>
      <c r="L185" s="10" t="str">
        <f aca="false">LEFT(K185,1)</f>
        <v>D</v>
      </c>
    </row>
    <row r="186" customFormat="false" ht="15" hidden="false" customHeight="true" outlineLevel="0" collapsed="false">
      <c r="A186" s="10" t="s">
        <v>1720</v>
      </c>
      <c r="B186" s="10" t="s">
        <v>1632</v>
      </c>
      <c r="C186" s="10" t="s">
        <v>1639</v>
      </c>
      <c r="D186" s="10" t="n">
        <v>269</v>
      </c>
      <c r="E186" s="10" t="s">
        <v>1916</v>
      </c>
      <c r="F186" s="10" t="n">
        <v>25</v>
      </c>
      <c r="G186" s="10" t="s">
        <v>1619</v>
      </c>
      <c r="H186" s="79" t="n">
        <v>4808.264025</v>
      </c>
      <c r="I186" s="10" t="n">
        <v>25</v>
      </c>
      <c r="J186" s="10"/>
      <c r="K186" s="10" t="s">
        <v>54</v>
      </c>
      <c r="L186" s="10" t="str">
        <f aca="false">LEFT(K186,1)</f>
        <v>D</v>
      </c>
    </row>
    <row r="187" customFormat="false" ht="15" hidden="false" customHeight="true" outlineLevel="0" collapsed="false">
      <c r="A187" s="10" t="s">
        <v>1720</v>
      </c>
      <c r="B187" s="10" t="s">
        <v>1632</v>
      </c>
      <c r="C187" s="10" t="s">
        <v>1639</v>
      </c>
      <c r="D187" s="10" t="n">
        <v>267</v>
      </c>
      <c r="E187" s="10" t="s">
        <v>1917</v>
      </c>
      <c r="F187" s="10" t="n">
        <v>50</v>
      </c>
      <c r="G187" s="10" t="s">
        <v>1619</v>
      </c>
      <c r="H187" s="79" t="n">
        <v>9616.52805</v>
      </c>
      <c r="I187" s="10" t="n">
        <v>50</v>
      </c>
      <c r="J187" s="10"/>
      <c r="K187" s="10" t="s">
        <v>54</v>
      </c>
      <c r="L187" s="10" t="str">
        <f aca="false">LEFT(K187,1)</f>
        <v>D</v>
      </c>
    </row>
    <row r="188" customFormat="false" ht="15" hidden="false" customHeight="true" outlineLevel="0" collapsed="false">
      <c r="A188" s="10" t="s">
        <v>1720</v>
      </c>
      <c r="B188" s="10" t="s">
        <v>1632</v>
      </c>
      <c r="C188" s="10" t="s">
        <v>1639</v>
      </c>
      <c r="D188" s="10" t="n">
        <v>265</v>
      </c>
      <c r="E188" s="10" t="s">
        <v>1918</v>
      </c>
      <c r="F188" s="10" t="n">
        <v>100</v>
      </c>
      <c r="G188" s="10" t="s">
        <v>1619</v>
      </c>
      <c r="H188" s="79" t="n">
        <v>19233.0561</v>
      </c>
      <c r="I188" s="10" t="n">
        <v>100</v>
      </c>
      <c r="J188" s="10"/>
      <c r="K188" s="10" t="s">
        <v>54</v>
      </c>
      <c r="L188" s="10" t="str">
        <f aca="false">LEFT(K188,1)</f>
        <v>D</v>
      </c>
    </row>
    <row r="189" customFormat="false" ht="15" hidden="false" customHeight="true" outlineLevel="0" collapsed="false">
      <c r="A189" s="10" t="s">
        <v>1720</v>
      </c>
      <c r="B189" s="10" t="s">
        <v>1632</v>
      </c>
      <c r="C189" s="10" t="s">
        <v>1639</v>
      </c>
      <c r="D189" s="10" t="n">
        <v>263</v>
      </c>
      <c r="E189" s="10" t="s">
        <v>1919</v>
      </c>
      <c r="F189" s="10" t="n">
        <v>100</v>
      </c>
      <c r="G189" s="10" t="s">
        <v>1619</v>
      </c>
      <c r="H189" s="79" t="n">
        <v>19233.0561</v>
      </c>
      <c r="I189" s="10" t="n">
        <v>100</v>
      </c>
      <c r="J189" s="10" t="s">
        <v>1827</v>
      </c>
      <c r="K189" s="10" t="s">
        <v>54</v>
      </c>
      <c r="L189" s="10" t="str">
        <f aca="false">LEFT(K189,1)</f>
        <v>D</v>
      </c>
    </row>
    <row r="190" customFormat="false" ht="15" hidden="false" customHeight="true" outlineLevel="0" collapsed="false">
      <c r="A190" s="10" t="s">
        <v>1720</v>
      </c>
      <c r="B190" s="10" t="s">
        <v>1632</v>
      </c>
      <c r="C190" s="10" t="s">
        <v>1639</v>
      </c>
      <c r="D190" s="10" t="n">
        <v>475</v>
      </c>
      <c r="E190" s="10" t="s">
        <v>1920</v>
      </c>
      <c r="F190" s="10" t="n">
        <v>1</v>
      </c>
      <c r="G190" s="10" t="s">
        <v>1596</v>
      </c>
      <c r="H190" s="79" t="n">
        <v>92318.66928</v>
      </c>
      <c r="I190" s="10" t="n">
        <v>480</v>
      </c>
      <c r="J190" s="10"/>
      <c r="K190" s="10" t="s">
        <v>54</v>
      </c>
      <c r="L190" s="10" t="str">
        <f aca="false">LEFT(K190,1)</f>
        <v>D</v>
      </c>
    </row>
    <row r="191" customFormat="false" ht="15" hidden="false" customHeight="true" outlineLevel="0" collapsed="false">
      <c r="A191" s="10" t="s">
        <v>1720</v>
      </c>
      <c r="B191" s="10" t="s">
        <v>1632</v>
      </c>
      <c r="C191" s="10" t="s">
        <v>1639</v>
      </c>
      <c r="D191" s="10" t="n">
        <v>299</v>
      </c>
      <c r="E191" s="10" t="s">
        <v>1644</v>
      </c>
      <c r="F191" s="10" t="n">
        <v>10000</v>
      </c>
      <c r="G191" s="10" t="s">
        <v>1626</v>
      </c>
      <c r="H191" s="79" t="n">
        <v>46159.33464</v>
      </c>
      <c r="I191" s="10" t="n">
        <v>240</v>
      </c>
      <c r="J191" s="10" t="s">
        <v>1631</v>
      </c>
      <c r="K191" s="10" t="s">
        <v>54</v>
      </c>
      <c r="L191" s="10" t="str">
        <f aca="false">LEFT(K191,1)</f>
        <v>D</v>
      </c>
    </row>
    <row r="192" customFormat="false" ht="15" hidden="false" customHeight="true" outlineLevel="0" collapsed="false">
      <c r="A192" s="10" t="s">
        <v>1720</v>
      </c>
      <c r="B192" s="10" t="s">
        <v>1632</v>
      </c>
      <c r="C192" s="10" t="s">
        <v>1639</v>
      </c>
      <c r="D192" s="10" t="n">
        <v>425</v>
      </c>
      <c r="E192" s="10" t="s">
        <v>1921</v>
      </c>
      <c r="F192" s="10" t="n">
        <v>27</v>
      </c>
      <c r="G192" s="10" t="s">
        <v>1619</v>
      </c>
      <c r="H192" s="79" t="n">
        <v>20725.869708</v>
      </c>
      <c r="I192" s="10" t="n">
        <v>108</v>
      </c>
      <c r="J192" s="26" t="s">
        <v>1786</v>
      </c>
      <c r="K192" s="10" t="s">
        <v>54</v>
      </c>
      <c r="L192" s="10" t="str">
        <f aca="false">LEFT(K192,1)</f>
        <v>D</v>
      </c>
    </row>
    <row r="193" customFormat="false" ht="15" hidden="false" customHeight="true" outlineLevel="0" collapsed="false">
      <c r="A193" s="10" t="s">
        <v>1720</v>
      </c>
      <c r="B193" s="10" t="s">
        <v>1632</v>
      </c>
      <c r="C193" s="10" t="s">
        <v>1639</v>
      </c>
      <c r="D193" s="10" t="n">
        <v>416</v>
      </c>
      <c r="E193" s="10" t="s">
        <v>1922</v>
      </c>
      <c r="F193" s="10" t="n">
        <v>48</v>
      </c>
      <c r="G193" s="10" t="s">
        <v>1619</v>
      </c>
      <c r="H193" s="79" t="n">
        <v>36845.990592</v>
      </c>
      <c r="I193" s="10" t="n">
        <v>192</v>
      </c>
      <c r="J193" s="10" t="s">
        <v>1923</v>
      </c>
      <c r="K193" s="10" t="s">
        <v>54</v>
      </c>
      <c r="L193" s="10" t="str">
        <f aca="false">LEFT(K193,1)</f>
        <v>D</v>
      </c>
    </row>
    <row r="194" customFormat="false" ht="15" hidden="false" customHeight="true" outlineLevel="0" collapsed="false">
      <c r="A194" s="10" t="s">
        <v>1720</v>
      </c>
      <c r="B194" s="10" t="s">
        <v>1632</v>
      </c>
      <c r="C194" s="10" t="s">
        <v>1639</v>
      </c>
      <c r="D194" s="10" t="n">
        <v>418</v>
      </c>
      <c r="E194" s="10" t="s">
        <v>1924</v>
      </c>
      <c r="F194" s="10" t="n">
        <v>500</v>
      </c>
      <c r="G194" s="10" t="s">
        <v>1626</v>
      </c>
      <c r="H194" s="79" t="n">
        <v>20150.151105</v>
      </c>
      <c r="I194" s="10" t="n">
        <v>105</v>
      </c>
      <c r="J194" s="26" t="s">
        <v>1925</v>
      </c>
      <c r="K194" s="10" t="s">
        <v>54</v>
      </c>
      <c r="L194" s="10" t="str">
        <f aca="false">LEFT(K194,1)</f>
        <v>D</v>
      </c>
    </row>
    <row r="195" customFormat="false" ht="15" hidden="false" customHeight="true" outlineLevel="0" collapsed="false">
      <c r="A195" s="10" t="s">
        <v>1720</v>
      </c>
      <c r="B195" s="10" t="s">
        <v>1632</v>
      </c>
      <c r="C195" s="10" t="s">
        <v>1639</v>
      </c>
      <c r="D195" s="10" t="n">
        <v>414</v>
      </c>
      <c r="E195" s="10" t="s">
        <v>1926</v>
      </c>
      <c r="F195" s="10" t="n">
        <v>2000</v>
      </c>
      <c r="G195" s="10" t="s">
        <v>1626</v>
      </c>
      <c r="H195" s="79" t="n">
        <v>57571.8603</v>
      </c>
      <c r="I195" s="10" t="n">
        <v>300</v>
      </c>
      <c r="J195" s="10" t="s">
        <v>1927</v>
      </c>
      <c r="K195" s="10" t="s">
        <v>50</v>
      </c>
      <c r="L195" s="10" t="str">
        <f aca="false">LEFT(K195,1)</f>
        <v>B</v>
      </c>
    </row>
    <row r="196" customFormat="false" ht="15" hidden="false" customHeight="true" outlineLevel="0" collapsed="false">
      <c r="A196" s="10" t="s">
        <v>1720</v>
      </c>
      <c r="B196" s="10" t="s">
        <v>1632</v>
      </c>
      <c r="C196" s="10" t="s">
        <v>1928</v>
      </c>
      <c r="D196" s="10" t="n">
        <v>479</v>
      </c>
      <c r="E196" s="10" t="s">
        <v>1929</v>
      </c>
      <c r="F196" s="10" t="n">
        <v>1</v>
      </c>
      <c r="G196" s="10" t="s">
        <v>1619</v>
      </c>
      <c r="H196" s="79" t="n">
        <v>69239.00196</v>
      </c>
      <c r="I196" s="10" t="n">
        <v>360</v>
      </c>
      <c r="J196" s="10"/>
      <c r="K196" s="10" t="s">
        <v>52</v>
      </c>
      <c r="L196" s="10" t="str">
        <f aca="false">LEFT(K196,1)</f>
        <v>C</v>
      </c>
    </row>
    <row r="197" customFormat="false" ht="15" hidden="false" customHeight="true" outlineLevel="0" collapsed="false">
      <c r="A197" s="10" t="s">
        <v>1720</v>
      </c>
      <c r="B197" s="10" t="s">
        <v>1632</v>
      </c>
      <c r="C197" s="10" t="s">
        <v>1928</v>
      </c>
      <c r="D197" s="10" t="n">
        <v>420</v>
      </c>
      <c r="E197" s="10" t="s">
        <v>1930</v>
      </c>
      <c r="F197" s="10" t="n">
        <v>2</v>
      </c>
      <c r="G197" s="10" t="s">
        <v>1619</v>
      </c>
      <c r="H197" s="79" t="n">
        <v>6923.900196</v>
      </c>
      <c r="I197" s="10" t="n">
        <v>36</v>
      </c>
      <c r="J197" s="10"/>
      <c r="K197" s="10" t="s">
        <v>54</v>
      </c>
      <c r="L197" s="10" t="str">
        <f aca="false">LEFT(K197,1)</f>
        <v>D</v>
      </c>
    </row>
    <row r="198" customFormat="false" ht="15" hidden="false" customHeight="true" outlineLevel="0" collapsed="false">
      <c r="A198" s="10" t="s">
        <v>1720</v>
      </c>
      <c r="B198" s="10" t="s">
        <v>1632</v>
      </c>
      <c r="C198" s="10" t="s">
        <v>1928</v>
      </c>
      <c r="D198" s="10" t="n">
        <v>429</v>
      </c>
      <c r="E198" s="10" t="s">
        <v>1931</v>
      </c>
      <c r="F198" s="10" t="n">
        <v>33</v>
      </c>
      <c r="G198" s="10" t="s">
        <v>1619</v>
      </c>
      <c r="H198" s="79" t="n">
        <v>12693.817026</v>
      </c>
      <c r="I198" s="10" t="n">
        <v>66</v>
      </c>
      <c r="J198" s="26" t="s">
        <v>1801</v>
      </c>
      <c r="K198" s="10" t="s">
        <v>54</v>
      </c>
      <c r="L198" s="10" t="str">
        <f aca="false">LEFT(K198,1)</f>
        <v>D</v>
      </c>
    </row>
    <row r="199" customFormat="false" ht="15" hidden="false" customHeight="true" outlineLevel="0" collapsed="false">
      <c r="A199" s="10" t="s">
        <v>1720</v>
      </c>
      <c r="B199" s="10" t="s">
        <v>1632</v>
      </c>
      <c r="C199" s="10" t="s">
        <v>1928</v>
      </c>
      <c r="D199" s="10" t="n">
        <v>473</v>
      </c>
      <c r="E199" s="10" t="s">
        <v>1932</v>
      </c>
      <c r="F199" s="10" t="n">
        <v>12</v>
      </c>
      <c r="G199" s="10" t="s">
        <v>1619</v>
      </c>
      <c r="H199" s="79" t="n">
        <v>13847.800392</v>
      </c>
      <c r="I199" s="10" t="n">
        <v>72</v>
      </c>
      <c r="J199" s="10"/>
      <c r="K199" s="10" t="s">
        <v>54</v>
      </c>
      <c r="L199" s="10" t="str">
        <f aca="false">LEFT(K199,1)</f>
        <v>D</v>
      </c>
    </row>
    <row r="200" customFormat="false" ht="15" hidden="false" customHeight="true" outlineLevel="0" collapsed="false">
      <c r="A200" s="10" t="s">
        <v>1720</v>
      </c>
      <c r="B200" s="10" t="s">
        <v>1632</v>
      </c>
      <c r="C200" s="10" t="s">
        <v>1928</v>
      </c>
      <c r="D200" s="10" t="n">
        <v>487</v>
      </c>
      <c r="E200" s="10" t="s">
        <v>1933</v>
      </c>
      <c r="F200" s="10" t="n">
        <v>1</v>
      </c>
      <c r="G200" s="10" t="s">
        <v>1596</v>
      </c>
      <c r="H200" s="79" t="n">
        <v>25659.85</v>
      </c>
      <c r="I200" s="10" t="n">
        <v>0</v>
      </c>
      <c r="J200" s="10" t="s">
        <v>1724</v>
      </c>
      <c r="K200" s="10" t="s">
        <v>54</v>
      </c>
      <c r="L200" s="10" t="str">
        <f aca="false">LEFT(K200,1)</f>
        <v>D</v>
      </c>
    </row>
    <row r="201" customFormat="false" ht="15" hidden="false" customHeight="true" outlineLevel="0" collapsed="false">
      <c r="A201" s="10" t="s">
        <v>1720</v>
      </c>
      <c r="B201" s="10" t="s">
        <v>1632</v>
      </c>
      <c r="C201" s="10" t="s">
        <v>1928</v>
      </c>
      <c r="D201" s="10" t="n">
        <v>294</v>
      </c>
      <c r="E201" s="10" t="s">
        <v>1934</v>
      </c>
      <c r="F201" s="10" t="n">
        <v>12</v>
      </c>
      <c r="G201" s="10" t="s">
        <v>1619</v>
      </c>
      <c r="H201" s="79" t="n">
        <v>17389.5</v>
      </c>
      <c r="I201" s="10" t="n">
        <v>0</v>
      </c>
      <c r="J201" s="10"/>
      <c r="K201" s="10" t="s">
        <v>54</v>
      </c>
      <c r="L201" s="10" t="str">
        <f aca="false">LEFT(K201,1)</f>
        <v>D</v>
      </c>
    </row>
    <row r="202" customFormat="false" ht="15" hidden="false" customHeight="true" outlineLevel="0" collapsed="false">
      <c r="A202" s="10" t="s">
        <v>1720</v>
      </c>
      <c r="B202" s="10" t="s">
        <v>1632</v>
      </c>
      <c r="C202" s="10" t="s">
        <v>1928</v>
      </c>
      <c r="D202" s="10" t="n">
        <v>295</v>
      </c>
      <c r="E202" s="10" t="s">
        <v>1935</v>
      </c>
      <c r="F202" s="10" t="n">
        <v>12</v>
      </c>
      <c r="G202" s="10" t="s">
        <v>1619</v>
      </c>
      <c r="H202" s="79" t="n">
        <v>14367.217032</v>
      </c>
      <c r="I202" s="10" t="n">
        <v>72</v>
      </c>
      <c r="J202" s="10"/>
      <c r="K202" s="10" t="s">
        <v>54</v>
      </c>
      <c r="L202" s="10" t="str">
        <f aca="false">LEFT(K202,1)</f>
        <v>D</v>
      </c>
    </row>
    <row r="203" customFormat="false" ht="15" hidden="false" customHeight="true" outlineLevel="0" collapsed="false">
      <c r="A203" s="10" t="s">
        <v>1720</v>
      </c>
      <c r="B203" s="10" t="s">
        <v>1632</v>
      </c>
      <c r="C203" s="10" t="s">
        <v>1928</v>
      </c>
      <c r="D203" s="10" t="n">
        <v>297</v>
      </c>
      <c r="E203" s="10" t="s">
        <v>1936</v>
      </c>
      <c r="F203" s="10" t="n">
        <v>1200</v>
      </c>
      <c r="G203" s="10" t="s">
        <v>1626</v>
      </c>
      <c r="H203" s="79" t="n">
        <v>239453.6172</v>
      </c>
      <c r="I203" s="10" t="n">
        <v>1200</v>
      </c>
      <c r="J203" s="10" t="s">
        <v>1937</v>
      </c>
      <c r="K203" s="10" t="s">
        <v>54</v>
      </c>
      <c r="L203" s="10" t="str">
        <f aca="false">LEFT(K203,1)</f>
        <v>D</v>
      </c>
    </row>
    <row r="204" customFormat="false" ht="15" hidden="false" customHeight="true" outlineLevel="0" collapsed="false">
      <c r="A204" s="10" t="s">
        <v>1720</v>
      </c>
      <c r="B204" s="10" t="s">
        <v>1632</v>
      </c>
      <c r="C204" s="10" t="s">
        <v>1928</v>
      </c>
      <c r="D204" s="10" t="n">
        <v>296</v>
      </c>
      <c r="E204" s="10" t="s">
        <v>1938</v>
      </c>
      <c r="F204" s="10" t="n">
        <v>1200</v>
      </c>
      <c r="G204" s="10" t="s">
        <v>1626</v>
      </c>
      <c r="H204" s="79" t="n">
        <v>41734.8</v>
      </c>
      <c r="I204" s="10" t="n">
        <v>0</v>
      </c>
      <c r="J204" s="10" t="s">
        <v>1937</v>
      </c>
      <c r="K204" s="10" t="s">
        <v>54</v>
      </c>
      <c r="L204" s="10" t="str">
        <f aca="false">LEFT(K204,1)</f>
        <v>D</v>
      </c>
    </row>
    <row r="205" customFormat="false" ht="15" hidden="false" customHeight="true" outlineLevel="0" collapsed="false">
      <c r="A205" s="10" t="s">
        <v>1720</v>
      </c>
      <c r="B205" s="10" t="s">
        <v>1632</v>
      </c>
      <c r="C205" s="10" t="s">
        <v>1645</v>
      </c>
      <c r="D205" s="10" t="n">
        <v>335</v>
      </c>
      <c r="E205" s="10" t="s">
        <v>1939</v>
      </c>
      <c r="F205" s="10" t="n">
        <v>4</v>
      </c>
      <c r="G205" s="10" t="s">
        <v>1619</v>
      </c>
      <c r="H205" s="79" t="n">
        <v>92318.66928</v>
      </c>
      <c r="I205" s="10" t="n">
        <v>480</v>
      </c>
      <c r="J205" s="10"/>
      <c r="K205" s="10" t="s">
        <v>54</v>
      </c>
      <c r="L205" s="10" t="str">
        <f aca="false">LEFT(K205,1)</f>
        <v>D</v>
      </c>
    </row>
    <row r="206" customFormat="false" ht="15" hidden="false" customHeight="true" outlineLevel="0" collapsed="false">
      <c r="A206" s="10" t="s">
        <v>1720</v>
      </c>
      <c r="B206" s="10" t="s">
        <v>1632</v>
      </c>
      <c r="C206" s="10" t="s">
        <v>1940</v>
      </c>
      <c r="D206" s="10" t="n">
        <v>477</v>
      </c>
      <c r="E206" s="10" t="s">
        <v>1941</v>
      </c>
      <c r="F206" s="10" t="n">
        <v>1</v>
      </c>
      <c r="G206" s="10" t="s">
        <v>1619</v>
      </c>
      <c r="H206" s="79" t="n">
        <v>92318.66928</v>
      </c>
      <c r="I206" s="10" t="n">
        <v>480</v>
      </c>
      <c r="J206" s="10"/>
      <c r="K206" s="10" t="s">
        <v>52</v>
      </c>
      <c r="L206" s="10" t="str">
        <f aca="false">LEFT(K206,1)</f>
        <v>C</v>
      </c>
    </row>
    <row r="207" customFormat="false" ht="15" hidden="false" customHeight="true" outlineLevel="0" collapsed="false">
      <c r="A207" s="10" t="s">
        <v>1720</v>
      </c>
      <c r="B207" s="10" t="s">
        <v>1632</v>
      </c>
      <c r="C207" s="10" t="s">
        <v>1942</v>
      </c>
      <c r="D207" s="10" t="n">
        <v>352</v>
      </c>
      <c r="E207" s="10" t="s">
        <v>1943</v>
      </c>
      <c r="F207" s="10" t="n">
        <v>1</v>
      </c>
      <c r="G207" s="10" t="s">
        <v>1596</v>
      </c>
      <c r="H207" s="79" t="n">
        <v>11593</v>
      </c>
      <c r="I207" s="10" t="n">
        <v>0</v>
      </c>
      <c r="J207" s="10" t="s">
        <v>1944</v>
      </c>
      <c r="K207" s="10" t="s">
        <v>54</v>
      </c>
      <c r="L207" s="10" t="str">
        <f aca="false">LEFT(K207,1)</f>
        <v>D</v>
      </c>
    </row>
    <row r="208" customFormat="false" ht="15" hidden="false" customHeight="true" outlineLevel="0" collapsed="false">
      <c r="A208" s="10" t="s">
        <v>1720</v>
      </c>
      <c r="B208" s="10" t="s">
        <v>1651</v>
      </c>
      <c r="C208" s="10" t="s">
        <v>1652</v>
      </c>
      <c r="D208" s="10" t="n">
        <v>138</v>
      </c>
      <c r="E208" s="10" t="s">
        <v>1653</v>
      </c>
      <c r="F208" s="10" t="n">
        <v>1600</v>
      </c>
      <c r="G208" s="10" t="s">
        <v>1607</v>
      </c>
      <c r="H208" s="79" t="n">
        <v>408064.576</v>
      </c>
      <c r="I208" s="10" t="n">
        <v>1600</v>
      </c>
      <c r="J208" s="10" t="s">
        <v>1654</v>
      </c>
      <c r="K208" s="10" t="s">
        <v>60</v>
      </c>
      <c r="L208" s="10" t="str">
        <f aca="false">LEFT(K208,1)</f>
        <v>G</v>
      </c>
    </row>
    <row r="209" customFormat="false" ht="15" hidden="false" customHeight="true" outlineLevel="0" collapsed="false">
      <c r="A209" s="10" t="s">
        <v>1720</v>
      </c>
      <c r="B209" s="10" t="s">
        <v>1651</v>
      </c>
      <c r="C209" s="10" t="s">
        <v>1655</v>
      </c>
      <c r="D209" s="10" t="n">
        <v>140</v>
      </c>
      <c r="E209" s="10" t="s">
        <v>1656</v>
      </c>
      <c r="F209" s="10" t="n">
        <v>3200</v>
      </c>
      <c r="G209" s="10" t="s">
        <v>1607</v>
      </c>
      <c r="H209" s="79" t="n">
        <v>708545.4048</v>
      </c>
      <c r="I209" s="10" t="n">
        <v>3200</v>
      </c>
      <c r="J209" s="10" t="s">
        <v>1729</v>
      </c>
      <c r="K209" s="10" t="s">
        <v>60</v>
      </c>
      <c r="L209" s="10" t="str">
        <f aca="false">LEFT(K209,1)</f>
        <v>G</v>
      </c>
    </row>
    <row r="210" customFormat="false" ht="15" hidden="false" customHeight="true" outlineLevel="0" collapsed="false">
      <c r="A210" s="10" t="s">
        <v>1720</v>
      </c>
      <c r="B210" s="10" t="s">
        <v>1651</v>
      </c>
      <c r="C210" s="10" t="s">
        <v>1945</v>
      </c>
      <c r="D210" s="10" t="n">
        <v>141</v>
      </c>
      <c r="E210" s="10" t="s">
        <v>1946</v>
      </c>
      <c r="F210" s="10" t="n">
        <v>1650</v>
      </c>
      <c r="G210" s="10" t="s">
        <v>1607</v>
      </c>
      <c r="H210" s="79" t="n">
        <v>119733.174</v>
      </c>
      <c r="I210" s="10" t="n">
        <v>1650</v>
      </c>
      <c r="J210" s="10" t="s">
        <v>1729</v>
      </c>
      <c r="K210" s="10" t="s">
        <v>60</v>
      </c>
      <c r="L210" s="10" t="str">
        <f aca="false">LEFT(K210,1)</f>
        <v>G</v>
      </c>
    </row>
    <row r="211" customFormat="false" ht="15" hidden="false" customHeight="true" outlineLevel="0" collapsed="false">
      <c r="A211" s="10" t="s">
        <v>1720</v>
      </c>
      <c r="B211" s="10" t="s">
        <v>1651</v>
      </c>
      <c r="C211" s="10" t="s">
        <v>1947</v>
      </c>
      <c r="D211" s="10" t="n">
        <v>144</v>
      </c>
      <c r="E211" s="10" t="s">
        <v>1948</v>
      </c>
      <c r="F211" s="10" t="n">
        <v>120</v>
      </c>
      <c r="G211" s="10" t="s">
        <v>1607</v>
      </c>
      <c r="H211" s="79" t="n">
        <v>26570.45268</v>
      </c>
      <c r="I211" s="10" t="n">
        <v>120</v>
      </c>
      <c r="J211" s="10" t="s">
        <v>1949</v>
      </c>
      <c r="K211" s="10" t="s">
        <v>60</v>
      </c>
      <c r="L211" s="10" t="str">
        <f aca="false">LEFT(K211,1)</f>
        <v>G</v>
      </c>
    </row>
    <row r="212" customFormat="false" ht="15" hidden="false" customHeight="true" outlineLevel="0" collapsed="false">
      <c r="A212" s="10" t="s">
        <v>1720</v>
      </c>
      <c r="B212" s="10" t="s">
        <v>1658</v>
      </c>
      <c r="C212" s="10" t="s">
        <v>1950</v>
      </c>
      <c r="D212" s="10" t="n">
        <v>147</v>
      </c>
      <c r="E212" s="10" t="s">
        <v>1951</v>
      </c>
      <c r="F212" s="10" t="n">
        <v>1278</v>
      </c>
      <c r="G212" s="10" t="s">
        <v>1607</v>
      </c>
      <c r="H212" s="79" t="n">
        <v>92286.8554196479</v>
      </c>
      <c r="I212" s="10" t="n">
        <v>1278</v>
      </c>
      <c r="J212" s="26" t="s">
        <v>1952</v>
      </c>
      <c r="K212" s="10" t="s">
        <v>62</v>
      </c>
      <c r="L212" s="10" t="str">
        <f aca="false">LEFT(K212,1)</f>
        <v>H</v>
      </c>
    </row>
    <row r="213" customFormat="false" ht="15" hidden="false" customHeight="true" outlineLevel="0" collapsed="false">
      <c r="A213" s="10" t="s">
        <v>1720</v>
      </c>
      <c r="B213" s="10" t="s">
        <v>1658</v>
      </c>
      <c r="C213" s="10" t="s">
        <v>1950</v>
      </c>
      <c r="D213" s="10" t="n">
        <v>446</v>
      </c>
      <c r="E213" s="10" t="s">
        <v>1951</v>
      </c>
      <c r="F213" s="10" t="n">
        <v>1</v>
      </c>
      <c r="G213" s="10" t="s">
        <v>1596</v>
      </c>
      <c r="H213" s="79" t="n">
        <v>413557.18</v>
      </c>
      <c r="I213" s="10" t="n">
        <v>0</v>
      </c>
      <c r="J213" s="10" t="s">
        <v>1724</v>
      </c>
      <c r="K213" s="10" t="s">
        <v>62</v>
      </c>
      <c r="L213" s="10" t="str">
        <f aca="false">LEFT(K213,1)</f>
        <v>H</v>
      </c>
    </row>
    <row r="214" customFormat="false" ht="15" hidden="false" customHeight="true" outlineLevel="0" collapsed="false">
      <c r="A214" s="10" t="s">
        <v>1720</v>
      </c>
      <c r="B214" s="10" t="s">
        <v>1658</v>
      </c>
      <c r="C214" s="10" t="s">
        <v>1659</v>
      </c>
      <c r="D214" s="10" t="n">
        <v>148</v>
      </c>
      <c r="E214" s="10" t="s">
        <v>1660</v>
      </c>
      <c r="F214" s="10" t="n">
        <v>2172</v>
      </c>
      <c r="G214" s="10" t="s">
        <v>1607</v>
      </c>
      <c r="H214" s="79" t="n">
        <v>393947.1647987</v>
      </c>
      <c r="I214" s="10" t="n">
        <v>2172</v>
      </c>
      <c r="J214" s="26" t="s">
        <v>1953</v>
      </c>
      <c r="K214" s="10" t="s">
        <v>62</v>
      </c>
      <c r="L214" s="10" t="str">
        <f aca="false">LEFT(K214,1)</f>
        <v>H</v>
      </c>
    </row>
    <row r="215" customFormat="false" ht="15" hidden="false" customHeight="true" outlineLevel="0" collapsed="false">
      <c r="A215" s="10" t="s">
        <v>1720</v>
      </c>
      <c r="B215" s="10" t="s">
        <v>1658</v>
      </c>
      <c r="C215" s="10" t="s">
        <v>1659</v>
      </c>
      <c r="D215" s="10" t="n">
        <v>447</v>
      </c>
      <c r="E215" s="10" t="s">
        <v>1660</v>
      </c>
      <c r="F215" s="10" t="n">
        <v>1</v>
      </c>
      <c r="G215" s="10" t="s">
        <v>1596</v>
      </c>
      <c r="H215" s="79" t="n">
        <v>207014.17</v>
      </c>
      <c r="I215" s="10" t="n">
        <v>0</v>
      </c>
      <c r="J215" s="10" t="s">
        <v>1724</v>
      </c>
      <c r="K215" s="10" t="s">
        <v>62</v>
      </c>
      <c r="L215" s="10" t="str">
        <f aca="false">LEFT(K215,1)</f>
        <v>H</v>
      </c>
    </row>
    <row r="216" customFormat="false" ht="15" hidden="false" customHeight="true" outlineLevel="0" collapsed="false">
      <c r="A216" s="10" t="s">
        <v>1720</v>
      </c>
      <c r="B216" s="10" t="s">
        <v>1658</v>
      </c>
      <c r="C216" s="10" t="s">
        <v>1954</v>
      </c>
      <c r="D216" s="10" t="n">
        <v>153</v>
      </c>
      <c r="E216" s="10" t="s">
        <v>1955</v>
      </c>
      <c r="F216" s="10" t="n">
        <v>120</v>
      </c>
      <c r="G216" s="10" t="s">
        <v>1607</v>
      </c>
      <c r="H216" s="79" t="n">
        <v>6352.49270356659</v>
      </c>
      <c r="I216" s="10" t="n">
        <v>120</v>
      </c>
      <c r="J216" s="10" t="s">
        <v>1729</v>
      </c>
      <c r="K216" s="10" t="s">
        <v>62</v>
      </c>
      <c r="L216" s="10" t="str">
        <f aca="false">LEFT(K216,1)</f>
        <v>H</v>
      </c>
    </row>
    <row r="217" customFormat="false" ht="15" hidden="false" customHeight="true" outlineLevel="0" collapsed="false">
      <c r="A217" s="10" t="s">
        <v>1720</v>
      </c>
      <c r="B217" s="10" t="s">
        <v>1658</v>
      </c>
      <c r="C217" s="10" t="s">
        <v>1662</v>
      </c>
      <c r="D217" s="10" t="n">
        <v>151</v>
      </c>
      <c r="E217" s="10" t="s">
        <v>1956</v>
      </c>
      <c r="F217" s="10" t="n">
        <v>120</v>
      </c>
      <c r="G217" s="10" t="s">
        <v>1607</v>
      </c>
      <c r="H217" s="79" t="n">
        <v>8950.5041227991</v>
      </c>
      <c r="I217" s="10" t="n">
        <v>120</v>
      </c>
      <c r="J217" s="10" t="s">
        <v>1729</v>
      </c>
      <c r="K217" s="10" t="s">
        <v>62</v>
      </c>
      <c r="L217" s="10" t="str">
        <f aca="false">LEFT(K217,1)</f>
        <v>H</v>
      </c>
    </row>
    <row r="218" customFormat="false" ht="15" hidden="false" customHeight="true" outlineLevel="0" collapsed="false">
      <c r="A218" s="10" t="s">
        <v>1720</v>
      </c>
      <c r="B218" s="10" t="s">
        <v>1658</v>
      </c>
      <c r="C218" s="10" t="s">
        <v>1662</v>
      </c>
      <c r="D218" s="10" t="n">
        <v>149</v>
      </c>
      <c r="E218" s="10" t="s">
        <v>1663</v>
      </c>
      <c r="F218" s="10" t="n">
        <v>40</v>
      </c>
      <c r="G218" s="10" t="s">
        <v>1607</v>
      </c>
      <c r="H218" s="79" t="n">
        <v>2983.50137426637</v>
      </c>
      <c r="I218" s="10" t="n">
        <v>40</v>
      </c>
      <c r="J218" s="10"/>
      <c r="K218" s="10" t="s">
        <v>62</v>
      </c>
      <c r="L218" s="10" t="str">
        <f aca="false">LEFT(K218,1)</f>
        <v>H</v>
      </c>
    </row>
    <row r="219" customFormat="false" ht="15" hidden="false" customHeight="true" outlineLevel="0" collapsed="false">
      <c r="A219" s="10" t="s">
        <v>1720</v>
      </c>
      <c r="B219" s="10" t="s">
        <v>1658</v>
      </c>
      <c r="C219" s="10" t="s">
        <v>1664</v>
      </c>
      <c r="D219" s="10" t="n">
        <v>167</v>
      </c>
      <c r="E219" s="10" t="s">
        <v>1665</v>
      </c>
      <c r="F219" s="10" t="n">
        <v>40</v>
      </c>
      <c r="G219" s="10" t="s">
        <v>1607</v>
      </c>
      <c r="H219" s="79" t="n">
        <v>3104.71613559322</v>
      </c>
      <c r="I219" s="10" t="n">
        <v>40</v>
      </c>
      <c r="J219" s="10" t="s">
        <v>1729</v>
      </c>
      <c r="K219" s="10" t="s">
        <v>62</v>
      </c>
      <c r="L219" s="10" t="str">
        <f aca="false">LEFT(K219,1)</f>
        <v>H</v>
      </c>
    </row>
    <row r="220" customFormat="false" ht="15" hidden="false" customHeight="true" outlineLevel="0" collapsed="false">
      <c r="A220" s="10" t="s">
        <v>1720</v>
      </c>
      <c r="B220" s="10" t="s">
        <v>1658</v>
      </c>
      <c r="C220" s="10" t="s">
        <v>1664</v>
      </c>
      <c r="D220" s="10" t="n">
        <v>448</v>
      </c>
      <c r="E220" s="10" t="s">
        <v>1665</v>
      </c>
      <c r="F220" s="10" t="n">
        <v>1</v>
      </c>
      <c r="G220" s="10" t="s">
        <v>1596</v>
      </c>
      <c r="H220" s="79" t="n">
        <v>53528.66</v>
      </c>
      <c r="I220" s="10" t="n">
        <v>0</v>
      </c>
      <c r="J220" s="10" t="s">
        <v>1724</v>
      </c>
      <c r="K220" s="10" t="s">
        <v>62</v>
      </c>
      <c r="L220" s="10" t="str">
        <f aca="false">LEFT(K220,1)</f>
        <v>H</v>
      </c>
    </row>
    <row r="221" customFormat="false" ht="15" hidden="false" customHeight="true" outlineLevel="0" collapsed="false">
      <c r="A221" s="10" t="s">
        <v>1720</v>
      </c>
      <c r="B221" s="10" t="s">
        <v>1658</v>
      </c>
      <c r="C221" s="10" t="s">
        <v>1666</v>
      </c>
      <c r="D221" s="10" t="n">
        <v>159</v>
      </c>
      <c r="E221" s="10" t="s">
        <v>1667</v>
      </c>
      <c r="F221" s="10" t="n">
        <v>40</v>
      </c>
      <c r="G221" s="10" t="s">
        <v>1607</v>
      </c>
      <c r="H221" s="79" t="n">
        <v>2705.71810169492</v>
      </c>
      <c r="I221" s="10" t="n">
        <v>40</v>
      </c>
      <c r="J221" s="10" t="s">
        <v>1957</v>
      </c>
      <c r="K221" s="10" t="s">
        <v>62</v>
      </c>
      <c r="L221" s="10" t="str">
        <f aca="false">LEFT(K221,1)</f>
        <v>H</v>
      </c>
    </row>
    <row r="222" customFormat="false" ht="15" hidden="false" customHeight="true" outlineLevel="0" collapsed="false">
      <c r="A222" s="10" t="s">
        <v>1720</v>
      </c>
      <c r="B222" s="10" t="s">
        <v>1658</v>
      </c>
      <c r="C222" s="10" t="s">
        <v>1666</v>
      </c>
      <c r="D222" s="10" t="n">
        <v>449</v>
      </c>
      <c r="E222" s="10" t="s">
        <v>1667</v>
      </c>
      <c r="F222" s="10" t="n">
        <v>1</v>
      </c>
      <c r="G222" s="10" t="s">
        <v>1596</v>
      </c>
      <c r="H222" s="79" t="n">
        <v>10113</v>
      </c>
      <c r="I222" s="10" t="n">
        <v>0</v>
      </c>
      <c r="J222" s="10" t="s">
        <v>1724</v>
      </c>
      <c r="K222" s="10" t="s">
        <v>62</v>
      </c>
      <c r="L222" s="10" t="str">
        <f aca="false">LEFT(K222,1)</f>
        <v>H</v>
      </c>
    </row>
    <row r="223" customFormat="false" ht="15" hidden="false" customHeight="true" outlineLevel="0" collapsed="false">
      <c r="A223" s="10" t="s">
        <v>1720</v>
      </c>
      <c r="B223" s="10" t="s">
        <v>1658</v>
      </c>
      <c r="C223" s="10" t="s">
        <v>1958</v>
      </c>
      <c r="D223" s="10" t="n">
        <v>160</v>
      </c>
      <c r="E223" s="10" t="s">
        <v>1959</v>
      </c>
      <c r="F223" s="10" t="n">
        <v>40</v>
      </c>
      <c r="G223" s="10" t="s">
        <v>1607</v>
      </c>
      <c r="H223" s="79" t="n">
        <v>7096.7259661017</v>
      </c>
      <c r="I223" s="10" t="n">
        <v>40</v>
      </c>
      <c r="J223" s="10" t="s">
        <v>1960</v>
      </c>
      <c r="K223" s="10" t="s">
        <v>62</v>
      </c>
      <c r="L223" s="10" t="str">
        <f aca="false">LEFT(K223,1)</f>
        <v>H</v>
      </c>
    </row>
    <row r="224" customFormat="false" ht="15" hidden="false" customHeight="true" outlineLevel="0" collapsed="false">
      <c r="A224" s="10" t="s">
        <v>1720</v>
      </c>
      <c r="B224" s="10" t="s">
        <v>1658</v>
      </c>
      <c r="C224" s="10" t="s">
        <v>1668</v>
      </c>
      <c r="D224" s="10" t="n">
        <v>157</v>
      </c>
      <c r="E224" s="10" t="s">
        <v>1669</v>
      </c>
      <c r="F224" s="10" t="n">
        <v>480</v>
      </c>
      <c r="G224" s="10" t="s">
        <v>1607</v>
      </c>
      <c r="H224" s="79" t="n">
        <v>25562.6111246438</v>
      </c>
      <c r="I224" s="10" t="n">
        <v>480</v>
      </c>
      <c r="J224" s="10"/>
      <c r="K224" s="10" t="s">
        <v>62</v>
      </c>
      <c r="L224" s="10" t="str">
        <f aca="false">LEFT(K224,1)</f>
        <v>H</v>
      </c>
    </row>
    <row r="225" customFormat="false" ht="15" hidden="false" customHeight="true" outlineLevel="0" collapsed="false">
      <c r="A225" s="10" t="s">
        <v>1720</v>
      </c>
      <c r="B225" s="10" t="s">
        <v>1658</v>
      </c>
      <c r="C225" s="10" t="s">
        <v>1668</v>
      </c>
      <c r="D225" s="10" t="n">
        <v>488</v>
      </c>
      <c r="E225" s="10" t="s">
        <v>1669</v>
      </c>
      <c r="F225" s="10" t="n">
        <v>1</v>
      </c>
      <c r="G225" s="10" t="s">
        <v>1596</v>
      </c>
      <c r="H225" s="79" t="n">
        <v>9913.77</v>
      </c>
      <c r="I225" s="10" t="n">
        <v>0</v>
      </c>
      <c r="J225" s="10" t="s">
        <v>1724</v>
      </c>
      <c r="K225" s="10" t="s">
        <v>62</v>
      </c>
      <c r="L225" s="10" t="str">
        <f aca="false">LEFT(K225,1)</f>
        <v>H</v>
      </c>
    </row>
    <row r="226" customFormat="false" ht="15" hidden="false" customHeight="true" outlineLevel="0" collapsed="false">
      <c r="A226" s="10" t="s">
        <v>1720</v>
      </c>
      <c r="B226" s="10" t="s">
        <v>1658</v>
      </c>
      <c r="C226" s="10" t="s">
        <v>1668</v>
      </c>
      <c r="D226" s="10" t="n">
        <v>155</v>
      </c>
      <c r="E226" s="10" t="s">
        <v>1670</v>
      </c>
      <c r="F226" s="10" t="n">
        <v>80</v>
      </c>
      <c r="G226" s="10" t="s">
        <v>1607</v>
      </c>
      <c r="H226" s="79" t="n">
        <v>4260.43518744063</v>
      </c>
      <c r="I226" s="10" t="n">
        <v>80</v>
      </c>
      <c r="J226" s="10"/>
      <c r="K226" s="10" t="s">
        <v>62</v>
      </c>
      <c r="L226" s="10" t="str">
        <f aca="false">LEFT(K226,1)</f>
        <v>H</v>
      </c>
    </row>
    <row r="227" customFormat="false" ht="15" hidden="false" customHeight="true" outlineLevel="0" collapsed="false">
      <c r="A227" s="10" t="s">
        <v>1720</v>
      </c>
      <c r="B227" s="10" t="s">
        <v>1658</v>
      </c>
      <c r="C227" s="10" t="s">
        <v>1961</v>
      </c>
      <c r="D227" s="10" t="n">
        <v>491</v>
      </c>
      <c r="E227" s="10" t="s">
        <v>1962</v>
      </c>
      <c r="F227" s="10" t="n">
        <v>1</v>
      </c>
      <c r="G227" s="10" t="s">
        <v>1596</v>
      </c>
      <c r="H227" s="79" t="n">
        <v>188728.56</v>
      </c>
      <c r="I227" s="10" t="n">
        <v>0</v>
      </c>
      <c r="J227" s="10" t="s">
        <v>1724</v>
      </c>
      <c r="K227" s="10" t="s">
        <v>62</v>
      </c>
      <c r="L227" s="10" t="str">
        <f aca="false">LEFT(K227,1)</f>
        <v>H</v>
      </c>
    </row>
    <row r="228" customFormat="false" ht="15" hidden="false" customHeight="true" outlineLevel="0" collapsed="false">
      <c r="A228" s="10" t="s">
        <v>1720</v>
      </c>
      <c r="B228" s="10" t="s">
        <v>1658</v>
      </c>
      <c r="C228" s="10" t="s">
        <v>1671</v>
      </c>
      <c r="D228" s="10" t="n">
        <v>161</v>
      </c>
      <c r="E228" s="10" t="s">
        <v>1672</v>
      </c>
      <c r="F228" s="10" t="n">
        <v>40</v>
      </c>
      <c r="G228" s="10" t="s">
        <v>1607</v>
      </c>
      <c r="H228" s="79" t="n">
        <v>2568.90011320755</v>
      </c>
      <c r="I228" s="10" t="n">
        <v>40</v>
      </c>
      <c r="J228" s="10" t="s">
        <v>1729</v>
      </c>
      <c r="K228" s="10" t="s">
        <v>62</v>
      </c>
      <c r="L228" s="10" t="str">
        <f aca="false">LEFT(K228,1)</f>
        <v>H</v>
      </c>
    </row>
    <row r="229" customFormat="false" ht="15" hidden="false" customHeight="true" outlineLevel="0" collapsed="false">
      <c r="A229" s="10" t="s">
        <v>1720</v>
      </c>
      <c r="B229" s="10" t="s">
        <v>1658</v>
      </c>
      <c r="C229" s="10" t="s">
        <v>1673</v>
      </c>
      <c r="D229" s="10" t="n">
        <v>253</v>
      </c>
      <c r="E229" s="10" t="s">
        <v>1674</v>
      </c>
      <c r="F229" s="10" t="n">
        <v>1</v>
      </c>
      <c r="G229" s="10" t="s">
        <v>1596</v>
      </c>
      <c r="H229" s="79" t="n">
        <v>89381.98</v>
      </c>
      <c r="I229" s="10" t="n">
        <v>0</v>
      </c>
      <c r="J229" s="10" t="s">
        <v>1724</v>
      </c>
      <c r="K229" s="10" t="s">
        <v>62</v>
      </c>
      <c r="L229" s="10" t="str">
        <f aca="false">LEFT(K229,1)</f>
        <v>H</v>
      </c>
    </row>
    <row r="230" customFormat="false" ht="15" hidden="false" customHeight="true" outlineLevel="0" collapsed="false">
      <c r="A230" s="10" t="s">
        <v>1720</v>
      </c>
      <c r="B230" s="10" t="s">
        <v>1658</v>
      </c>
      <c r="C230" s="10" t="s">
        <v>1673</v>
      </c>
      <c r="D230" s="10" t="n">
        <v>452</v>
      </c>
      <c r="E230" s="10" t="s">
        <v>1674</v>
      </c>
      <c r="F230" s="10" t="n">
        <v>1548</v>
      </c>
      <c r="G230" s="10" t="s">
        <v>1607</v>
      </c>
      <c r="H230" s="79" t="n">
        <v>266265.853992504</v>
      </c>
      <c r="I230" s="10" t="n">
        <v>1548</v>
      </c>
      <c r="J230" s="10" t="s">
        <v>1963</v>
      </c>
      <c r="K230" s="10" t="s">
        <v>62</v>
      </c>
      <c r="L230" s="10" t="str">
        <f aca="false">LEFT(K230,1)</f>
        <v>H</v>
      </c>
    </row>
    <row r="231" customFormat="false" ht="15" hidden="false" customHeight="true" outlineLevel="0" collapsed="false">
      <c r="A231" s="10" t="s">
        <v>1720</v>
      </c>
      <c r="B231" s="10" t="s">
        <v>1658</v>
      </c>
      <c r="C231" s="10" t="s">
        <v>1964</v>
      </c>
      <c r="D231" s="10" t="n">
        <v>175</v>
      </c>
      <c r="E231" s="10" t="s">
        <v>1965</v>
      </c>
      <c r="F231" s="10" t="n">
        <v>120</v>
      </c>
      <c r="G231" s="10" t="s">
        <v>1607</v>
      </c>
      <c r="H231" s="79" t="n">
        <v>7970.75388</v>
      </c>
      <c r="I231" s="10" t="n">
        <v>120</v>
      </c>
      <c r="J231" s="10"/>
      <c r="K231" s="10" t="s">
        <v>62</v>
      </c>
      <c r="L231" s="10" t="str">
        <f aca="false">LEFT(K231,1)</f>
        <v>H</v>
      </c>
    </row>
    <row r="232" customFormat="false" ht="15" hidden="false" customHeight="true" outlineLevel="0" collapsed="false">
      <c r="A232" s="10" t="s">
        <v>1720</v>
      </c>
      <c r="B232" s="10" t="s">
        <v>1685</v>
      </c>
      <c r="C232" s="10" t="s">
        <v>1966</v>
      </c>
      <c r="D232" s="10" t="n">
        <v>0</v>
      </c>
      <c r="E232" s="10" t="s">
        <v>1967</v>
      </c>
      <c r="F232" s="10" t="n">
        <v>1</v>
      </c>
      <c r="G232" s="10" t="s">
        <v>1596</v>
      </c>
      <c r="H232" s="79" t="n">
        <v>58459.3146515625</v>
      </c>
      <c r="I232" s="10" t="n">
        <v>0</v>
      </c>
      <c r="J232" s="10"/>
      <c r="K232" s="10" t="s">
        <v>64</v>
      </c>
      <c r="L232" s="10" t="str">
        <f aca="false">LEFT(K232,1)</f>
        <v>I</v>
      </c>
    </row>
    <row r="233" customFormat="false" ht="15" hidden="false" customHeight="true" outlineLevel="0" collapsed="false">
      <c r="A233" s="10" t="s">
        <v>1720</v>
      </c>
      <c r="B233" s="10" t="s">
        <v>1685</v>
      </c>
      <c r="C233" s="10" t="s">
        <v>1968</v>
      </c>
      <c r="D233" s="10" t="n">
        <v>170</v>
      </c>
      <c r="E233" s="10" t="s">
        <v>1969</v>
      </c>
      <c r="F233" s="10" t="n">
        <v>1</v>
      </c>
      <c r="G233" s="10" t="s">
        <v>1596</v>
      </c>
      <c r="H233" s="79" t="n">
        <v>38348.41</v>
      </c>
      <c r="I233" s="10" t="n">
        <v>0</v>
      </c>
      <c r="J233" s="10" t="s">
        <v>1970</v>
      </c>
      <c r="K233" s="10" t="s">
        <v>64</v>
      </c>
      <c r="L233" s="10" t="str">
        <f aca="false">LEFT(K233,1)</f>
        <v>I</v>
      </c>
    </row>
    <row r="234" customFormat="false" ht="15" hidden="false" customHeight="true" outlineLevel="0" collapsed="false">
      <c r="A234" s="10" t="s">
        <v>1720</v>
      </c>
      <c r="B234" s="10" t="s">
        <v>1685</v>
      </c>
      <c r="C234" s="10" t="s">
        <v>1686</v>
      </c>
      <c r="D234" s="10" t="n">
        <v>0</v>
      </c>
      <c r="E234" s="10" t="s">
        <v>1687</v>
      </c>
      <c r="F234" s="10" t="n">
        <v>1</v>
      </c>
      <c r="G234" s="10" t="s">
        <v>1596</v>
      </c>
      <c r="H234" s="79" t="n">
        <v>525183.902080946</v>
      </c>
      <c r="I234" s="10" t="n">
        <v>0</v>
      </c>
      <c r="J234" s="10"/>
      <c r="K234" s="10" t="s">
        <v>64</v>
      </c>
      <c r="L234" s="10" t="str">
        <f aca="false">LEFT(K234,1)</f>
        <v>I</v>
      </c>
    </row>
    <row r="235" customFormat="false" ht="15" hidden="false" customHeight="true" outlineLevel="0" collapsed="false">
      <c r="A235" s="10" t="s">
        <v>1720</v>
      </c>
      <c r="B235" s="10" t="s">
        <v>1685</v>
      </c>
      <c r="C235" s="10" t="s">
        <v>1971</v>
      </c>
      <c r="D235" s="10" t="n">
        <v>483</v>
      </c>
      <c r="E235" s="10" t="s">
        <v>1972</v>
      </c>
      <c r="F235" s="10" t="n">
        <v>1</v>
      </c>
      <c r="G235" s="10" t="s">
        <v>1596</v>
      </c>
      <c r="H235" s="79" t="n">
        <v>165541.585550848</v>
      </c>
      <c r="I235" s="10" t="n">
        <v>0</v>
      </c>
      <c r="J235" s="26" t="s">
        <v>1973</v>
      </c>
      <c r="K235" s="10" t="s">
        <v>64</v>
      </c>
      <c r="L235" s="10" t="str">
        <f aca="false">LEFT(K235,1)</f>
        <v>I</v>
      </c>
    </row>
    <row r="236" customFormat="false" ht="15" hidden="false" customHeight="true" outlineLevel="0" collapsed="false">
      <c r="A236" s="10" t="s">
        <v>1720</v>
      </c>
      <c r="B236" s="10" t="s">
        <v>1688</v>
      </c>
      <c r="C236" s="10" t="s">
        <v>1974</v>
      </c>
      <c r="D236" s="10" t="n">
        <v>457</v>
      </c>
      <c r="E236" s="10" t="s">
        <v>1975</v>
      </c>
      <c r="F236" s="10" t="n">
        <v>1</v>
      </c>
      <c r="G236" s="10" t="s">
        <v>1596</v>
      </c>
      <c r="H236" s="79" t="n">
        <v>300000</v>
      </c>
      <c r="I236" s="10" t="n">
        <v>0</v>
      </c>
      <c r="J236" s="10" t="s">
        <v>1976</v>
      </c>
      <c r="K236" s="10" t="s">
        <v>66</v>
      </c>
      <c r="L236" s="10" t="str">
        <f aca="false">LEFT(K236,1)</f>
        <v>J</v>
      </c>
    </row>
    <row r="237" customFormat="false" ht="15" hidden="false" customHeight="true" outlineLevel="0" collapsed="false">
      <c r="A237" s="10" t="s">
        <v>1720</v>
      </c>
      <c r="B237" s="10" t="s">
        <v>1688</v>
      </c>
      <c r="C237" s="10" t="s">
        <v>1977</v>
      </c>
      <c r="D237" s="10" t="n">
        <v>456</v>
      </c>
      <c r="E237" s="10" t="s">
        <v>1978</v>
      </c>
      <c r="F237" s="10" t="n">
        <v>1</v>
      </c>
      <c r="G237" s="10" t="s">
        <v>1596</v>
      </c>
      <c r="H237" s="79" t="n">
        <v>250000</v>
      </c>
      <c r="I237" s="10" t="n">
        <v>0</v>
      </c>
      <c r="J237" s="10" t="s">
        <v>1979</v>
      </c>
      <c r="K237" s="10" t="s">
        <v>66</v>
      </c>
      <c r="L237" s="10" t="str">
        <f aca="false">LEFT(K237,1)</f>
        <v>J</v>
      </c>
    </row>
    <row r="238" customFormat="false" ht="15" hidden="false" customHeight="true" outlineLevel="0" collapsed="false">
      <c r="A238" s="10" t="s">
        <v>1720</v>
      </c>
      <c r="B238" s="10" t="s">
        <v>1688</v>
      </c>
      <c r="C238" s="10" t="s">
        <v>1980</v>
      </c>
      <c r="D238" s="10" t="n">
        <v>464</v>
      </c>
      <c r="E238" s="10" t="s">
        <v>1981</v>
      </c>
      <c r="F238" s="10" t="n">
        <v>1</v>
      </c>
      <c r="G238" s="10" t="s">
        <v>1596</v>
      </c>
      <c r="H238" s="79" t="n">
        <v>300000</v>
      </c>
      <c r="I238" s="10" t="n">
        <v>0</v>
      </c>
      <c r="J238" s="10" t="s">
        <v>1982</v>
      </c>
      <c r="K238" s="10" t="s">
        <v>66</v>
      </c>
      <c r="L238" s="10" t="str">
        <f aca="false">LEFT(K238,1)</f>
        <v>J</v>
      </c>
    </row>
    <row r="239" customFormat="false" ht="15" hidden="false" customHeight="true" outlineLevel="0" collapsed="false">
      <c r="A239" s="10" t="s">
        <v>1720</v>
      </c>
      <c r="B239" s="10" t="s">
        <v>1688</v>
      </c>
      <c r="C239" s="10" t="s">
        <v>1980</v>
      </c>
      <c r="D239" s="10" t="n">
        <v>463</v>
      </c>
      <c r="E239" s="10" t="s">
        <v>1983</v>
      </c>
      <c r="F239" s="10" t="n">
        <v>1</v>
      </c>
      <c r="G239" s="10" t="s">
        <v>1596</v>
      </c>
      <c r="H239" s="79" t="n">
        <v>300000</v>
      </c>
      <c r="I239" s="10" t="n">
        <v>0</v>
      </c>
      <c r="J239" s="10" t="s">
        <v>1984</v>
      </c>
      <c r="K239" s="10" t="s">
        <v>66</v>
      </c>
      <c r="L239" s="10" t="str">
        <f aca="false">LEFT(K239,1)</f>
        <v>J</v>
      </c>
    </row>
    <row r="240" customFormat="false" ht="15" hidden="false" customHeight="true" outlineLevel="0" collapsed="false">
      <c r="A240" s="10" t="s">
        <v>1720</v>
      </c>
      <c r="B240" s="10" t="s">
        <v>1688</v>
      </c>
      <c r="C240" s="10" t="s">
        <v>1689</v>
      </c>
      <c r="D240" s="10" t="n">
        <v>484</v>
      </c>
      <c r="E240" s="10" t="s">
        <v>1985</v>
      </c>
      <c r="F240" s="10" t="n">
        <v>1</v>
      </c>
      <c r="G240" s="10" t="s">
        <v>1596</v>
      </c>
      <c r="H240" s="79" t="n">
        <v>250000</v>
      </c>
      <c r="I240" s="10" t="n">
        <v>0</v>
      </c>
      <c r="J240" s="10" t="s">
        <v>1986</v>
      </c>
      <c r="K240" s="10" t="s">
        <v>66</v>
      </c>
      <c r="L240" s="10" t="str">
        <f aca="false">LEFT(K240,1)</f>
        <v>J</v>
      </c>
    </row>
    <row r="241" customFormat="false" ht="15" hidden="false" customHeight="true" outlineLevel="0" collapsed="false">
      <c r="A241" s="10" t="s">
        <v>1720</v>
      </c>
      <c r="B241" s="10" t="s">
        <v>1688</v>
      </c>
      <c r="C241" s="10" t="s">
        <v>1689</v>
      </c>
      <c r="D241" s="10" t="n">
        <v>455</v>
      </c>
      <c r="E241" s="10" t="s">
        <v>1690</v>
      </c>
      <c r="F241" s="10" t="n">
        <v>1</v>
      </c>
      <c r="G241" s="10" t="s">
        <v>1596</v>
      </c>
      <c r="H241" s="79" t="n">
        <v>800000</v>
      </c>
      <c r="I241" s="10" t="n">
        <v>0</v>
      </c>
      <c r="J241" s="26" t="s">
        <v>1691</v>
      </c>
      <c r="K241" s="10" t="s">
        <v>66</v>
      </c>
      <c r="L241" s="10" t="str">
        <f aca="false">LEFT(K241,1)</f>
        <v>J</v>
      </c>
    </row>
    <row r="242" customFormat="false" ht="15" hidden="false" customHeight="true" outlineLevel="0" collapsed="false">
      <c r="A242" s="10" t="s">
        <v>1720</v>
      </c>
      <c r="B242" s="10" t="s">
        <v>1688</v>
      </c>
      <c r="C242" s="10" t="s">
        <v>1689</v>
      </c>
      <c r="D242" s="10" t="n">
        <v>461</v>
      </c>
      <c r="E242" s="10" t="s">
        <v>1692</v>
      </c>
      <c r="F242" s="10" t="n">
        <v>1</v>
      </c>
      <c r="G242" s="10" t="s">
        <v>1596</v>
      </c>
      <c r="H242" s="79" t="n">
        <v>800000</v>
      </c>
      <c r="I242" s="10" t="n">
        <v>0</v>
      </c>
      <c r="J242" s="26" t="s">
        <v>1693</v>
      </c>
      <c r="K242" s="10" t="s">
        <v>66</v>
      </c>
      <c r="L242" s="10" t="str">
        <f aca="false">LEFT(K242,1)</f>
        <v>J</v>
      </c>
    </row>
    <row r="243" customFormat="false" ht="15" hidden="false" customHeight="true" outlineLevel="0" collapsed="false">
      <c r="A243" s="10" t="s">
        <v>1720</v>
      </c>
      <c r="B243" s="10" t="s">
        <v>1688</v>
      </c>
      <c r="C243" s="10" t="s">
        <v>1689</v>
      </c>
      <c r="D243" s="10" t="n">
        <v>460</v>
      </c>
      <c r="E243" s="10" t="s">
        <v>1694</v>
      </c>
      <c r="F243" s="10" t="n">
        <v>1</v>
      </c>
      <c r="G243" s="10" t="s">
        <v>1596</v>
      </c>
      <c r="H243" s="79" t="n">
        <v>1000000</v>
      </c>
      <c r="I243" s="10" t="n">
        <v>0</v>
      </c>
      <c r="J243" s="10" t="s">
        <v>1695</v>
      </c>
      <c r="K243" s="10" t="s">
        <v>66</v>
      </c>
      <c r="L243" s="10" t="str">
        <f aca="false">LEFT(K243,1)</f>
        <v>J</v>
      </c>
    </row>
    <row r="244" customFormat="false" ht="15" hidden="false" customHeight="true" outlineLevel="0" collapsed="false">
      <c r="A244" s="10" t="s">
        <v>1720</v>
      </c>
      <c r="B244" s="10" t="s">
        <v>1688</v>
      </c>
      <c r="C244" s="10" t="s">
        <v>1689</v>
      </c>
      <c r="D244" s="10" t="n">
        <v>453</v>
      </c>
      <c r="E244" s="10" t="s">
        <v>1987</v>
      </c>
      <c r="F244" s="10" t="n">
        <v>1</v>
      </c>
      <c r="G244" s="10" t="s">
        <v>1596</v>
      </c>
      <c r="H244" s="79" t="n">
        <v>450000</v>
      </c>
      <c r="I244" s="10" t="n">
        <v>0</v>
      </c>
      <c r="J244" s="26" t="s">
        <v>1988</v>
      </c>
      <c r="K244" s="10" t="s">
        <v>66</v>
      </c>
      <c r="L244" s="10" t="str">
        <f aca="false">LEFT(K244,1)</f>
        <v>J</v>
      </c>
    </row>
    <row r="245" customFormat="false" ht="15" hidden="false" customHeight="true" outlineLevel="0" collapsed="false">
      <c r="A245" s="10" t="s">
        <v>1720</v>
      </c>
      <c r="B245" s="10" t="s">
        <v>1688</v>
      </c>
      <c r="C245" s="10" t="s">
        <v>1689</v>
      </c>
      <c r="D245" s="10" t="n">
        <v>462</v>
      </c>
      <c r="E245" s="10" t="s">
        <v>1989</v>
      </c>
      <c r="F245" s="10" t="n">
        <v>1</v>
      </c>
      <c r="G245" s="10" t="s">
        <v>1596</v>
      </c>
      <c r="H245" s="79" t="n">
        <v>250000</v>
      </c>
      <c r="I245" s="10" t="n">
        <v>0</v>
      </c>
      <c r="J245" s="10" t="s">
        <v>1990</v>
      </c>
      <c r="K245" s="10" t="s">
        <v>66</v>
      </c>
      <c r="L245" s="10" t="str">
        <f aca="false">LEFT(K245,1)</f>
        <v>J</v>
      </c>
    </row>
    <row r="246" customFormat="false" ht="15" hidden="false" customHeight="true" outlineLevel="0" collapsed="false">
      <c r="A246" s="10" t="s">
        <v>1720</v>
      </c>
      <c r="B246" s="10" t="s">
        <v>1688</v>
      </c>
      <c r="C246" s="10" t="s">
        <v>1689</v>
      </c>
      <c r="D246" s="10" t="n">
        <v>458</v>
      </c>
      <c r="E246" s="10" t="s">
        <v>1991</v>
      </c>
      <c r="F246" s="10" t="n">
        <v>1</v>
      </c>
      <c r="G246" s="10" t="s">
        <v>1596</v>
      </c>
      <c r="H246" s="79" t="n">
        <v>300000</v>
      </c>
      <c r="I246" s="10" t="n">
        <v>0</v>
      </c>
      <c r="J246" s="10" t="s">
        <v>1992</v>
      </c>
      <c r="K246" s="10" t="s">
        <v>66</v>
      </c>
      <c r="L246" s="10" t="str">
        <f aca="false">LEFT(K246,1)</f>
        <v>J</v>
      </c>
    </row>
    <row r="247" customFormat="false" ht="15" hidden="false" customHeight="true" outlineLevel="0" collapsed="false">
      <c r="A247" s="10" t="s">
        <v>1720</v>
      </c>
      <c r="B247" s="10" t="s">
        <v>1688</v>
      </c>
      <c r="C247" s="10" t="s">
        <v>1689</v>
      </c>
      <c r="D247" s="10" t="n">
        <v>454</v>
      </c>
      <c r="E247" s="10" t="s">
        <v>1696</v>
      </c>
      <c r="F247" s="10" t="n">
        <v>1</v>
      </c>
      <c r="G247" s="10" t="s">
        <v>1596</v>
      </c>
      <c r="H247" s="79" t="n">
        <v>300000</v>
      </c>
      <c r="I247" s="10" t="n">
        <v>0</v>
      </c>
      <c r="J247" s="26" t="s">
        <v>1697</v>
      </c>
      <c r="K247" s="10" t="s">
        <v>66</v>
      </c>
      <c r="L247" s="10" t="str">
        <f aca="false">LEFT(K247,1)</f>
        <v>J</v>
      </c>
    </row>
    <row r="248" customFormat="false" ht="15" hidden="false" customHeight="true" outlineLevel="0" collapsed="false">
      <c r="A248" s="10" t="s">
        <v>1720</v>
      </c>
      <c r="B248" s="10" t="s">
        <v>1698</v>
      </c>
      <c r="C248" s="10" t="s">
        <v>1699</v>
      </c>
      <c r="D248" s="10" t="n">
        <v>0</v>
      </c>
      <c r="E248" s="10" t="s">
        <v>1700</v>
      </c>
      <c r="F248" s="10" t="n">
        <v>1</v>
      </c>
      <c r="G248" s="10" t="s">
        <v>1596</v>
      </c>
      <c r="H248" s="79" t="n">
        <v>383032.469415126</v>
      </c>
      <c r="I248" s="10" t="n">
        <v>0</v>
      </c>
      <c r="J248" s="10"/>
      <c r="K248" s="10" t="s">
        <v>70</v>
      </c>
      <c r="L248" s="10" t="str">
        <f aca="false">LEFT(K248,1)</f>
        <v>L</v>
      </c>
    </row>
    <row r="249" customFormat="false" ht="15" hidden="false" customHeight="true" outlineLevel="0" collapsed="false">
      <c r="A249" s="10" t="s">
        <v>1720</v>
      </c>
      <c r="B249" s="10" t="s">
        <v>1698</v>
      </c>
      <c r="C249" s="10" t="s">
        <v>1699</v>
      </c>
      <c r="D249" s="10" t="n">
        <v>205</v>
      </c>
      <c r="E249" s="10" t="s">
        <v>1993</v>
      </c>
      <c r="F249" s="10" t="n">
        <v>1</v>
      </c>
      <c r="G249" s="10" t="s">
        <v>1596</v>
      </c>
      <c r="H249" s="79" t="n">
        <v>184571.23</v>
      </c>
      <c r="I249" s="10" t="n">
        <v>0</v>
      </c>
      <c r="J249" s="10" t="s">
        <v>1970</v>
      </c>
      <c r="K249" s="10" t="s">
        <v>70</v>
      </c>
      <c r="L249" s="10" t="str">
        <f aca="false">LEFT(K249,1)</f>
        <v>L</v>
      </c>
    </row>
    <row r="250" customFormat="false" ht="15" hidden="false" customHeight="true" outlineLevel="0" collapsed="false">
      <c r="A250" s="10" t="s">
        <v>1720</v>
      </c>
      <c r="B250" s="10" t="s">
        <v>1698</v>
      </c>
      <c r="C250" s="10" t="s">
        <v>1701</v>
      </c>
      <c r="D250" s="10" t="n">
        <v>0</v>
      </c>
      <c r="E250" s="10" t="s">
        <v>1702</v>
      </c>
      <c r="F250" s="10" t="n">
        <v>1</v>
      </c>
      <c r="G250" s="10" t="s">
        <v>1596</v>
      </c>
      <c r="H250" s="79" t="n">
        <v>172916.860855588</v>
      </c>
      <c r="I250" s="10" t="n">
        <v>0</v>
      </c>
      <c r="J250" s="10"/>
      <c r="K250" s="10" t="s">
        <v>70</v>
      </c>
      <c r="L250" s="10" t="str">
        <f aca="false">LEFT(K250,1)</f>
        <v>L</v>
      </c>
    </row>
    <row r="251" customFormat="false" ht="15" hidden="false" customHeight="true" outlineLevel="0" collapsed="false">
      <c r="A251" s="10" t="s">
        <v>1720</v>
      </c>
      <c r="B251" s="10" t="s">
        <v>1698</v>
      </c>
      <c r="C251" s="10" t="s">
        <v>1701</v>
      </c>
      <c r="D251" s="10" t="n">
        <v>206</v>
      </c>
      <c r="E251" s="10" t="s">
        <v>1994</v>
      </c>
      <c r="F251" s="10" t="n">
        <v>1</v>
      </c>
      <c r="G251" s="10" t="s">
        <v>1596</v>
      </c>
      <c r="H251" s="79" t="n">
        <v>6753.86</v>
      </c>
      <c r="I251" s="10" t="n">
        <v>0</v>
      </c>
      <c r="J251" s="10" t="s">
        <v>1970</v>
      </c>
      <c r="K251" s="10" t="s">
        <v>70</v>
      </c>
      <c r="L251" s="10" t="str">
        <f aca="false">LEFT(K251,1)</f>
        <v>L</v>
      </c>
    </row>
    <row r="252" customFormat="false" ht="15" hidden="false" customHeight="true" outlineLevel="0" collapsed="false">
      <c r="A252" s="10" t="s">
        <v>1720</v>
      </c>
      <c r="B252" s="10" t="s">
        <v>1698</v>
      </c>
      <c r="C252" s="10" t="s">
        <v>1703</v>
      </c>
      <c r="D252" s="10" t="n">
        <v>0</v>
      </c>
      <c r="E252" s="10" t="s">
        <v>1704</v>
      </c>
      <c r="F252" s="10" t="n">
        <v>1</v>
      </c>
      <c r="G252" s="10" t="s">
        <v>1596</v>
      </c>
      <c r="H252" s="79" t="n">
        <v>166272.451844131</v>
      </c>
      <c r="I252" s="10" t="n">
        <v>0</v>
      </c>
      <c r="J252" s="10"/>
      <c r="K252" s="10" t="s">
        <v>70</v>
      </c>
      <c r="L252" s="10" t="str">
        <f aca="false">LEFT(K252,1)</f>
        <v>L</v>
      </c>
    </row>
    <row r="253" customFormat="false" ht="15" hidden="false" customHeight="true" outlineLevel="0" collapsed="false">
      <c r="A253" s="10" t="s">
        <v>1720</v>
      </c>
      <c r="B253" s="10" t="s">
        <v>1698</v>
      </c>
      <c r="C253" s="10" t="s">
        <v>1703</v>
      </c>
      <c r="D253" s="10" t="n">
        <v>207</v>
      </c>
      <c r="E253" s="10" t="s">
        <v>1995</v>
      </c>
      <c r="F253" s="10" t="n">
        <v>1</v>
      </c>
      <c r="G253" s="10" t="s">
        <v>1596</v>
      </c>
      <c r="H253" s="79" t="n">
        <v>743486.83</v>
      </c>
      <c r="I253" s="10" t="n">
        <v>0</v>
      </c>
      <c r="J253" s="10" t="s">
        <v>1970</v>
      </c>
      <c r="K253" s="10" t="s">
        <v>70</v>
      </c>
      <c r="L253" s="10" t="str">
        <f aca="false">LEFT(K253,1)</f>
        <v>L</v>
      </c>
    </row>
    <row r="254" customFormat="false" ht="15" hidden="false" customHeight="true" outlineLevel="0" collapsed="false">
      <c r="A254" s="10" t="s">
        <v>1720</v>
      </c>
      <c r="B254" s="10" t="s">
        <v>1698</v>
      </c>
      <c r="C254" s="10" t="s">
        <v>1537</v>
      </c>
      <c r="D254" s="10" t="n">
        <v>0</v>
      </c>
      <c r="E254" s="10" t="s">
        <v>1705</v>
      </c>
      <c r="F254" s="10" t="n">
        <v>1</v>
      </c>
      <c r="G254" s="10" t="s">
        <v>1596</v>
      </c>
      <c r="H254" s="79" t="n">
        <v>3956889.9874656</v>
      </c>
      <c r="I254" s="10" t="n">
        <v>0</v>
      </c>
      <c r="J254" s="10"/>
      <c r="K254" s="10" t="s">
        <v>70</v>
      </c>
      <c r="L254" s="10" t="str">
        <f aca="false">LEFT(K254,1)</f>
        <v>L</v>
      </c>
    </row>
    <row r="255" customFormat="false" ht="15" hidden="false" customHeight="true" outlineLevel="0" collapsed="false">
      <c r="A255" s="10" t="s">
        <v>1720</v>
      </c>
      <c r="B255" s="10" t="s">
        <v>1698</v>
      </c>
      <c r="C255" s="10" t="s">
        <v>1537</v>
      </c>
      <c r="D255" s="10" t="n">
        <v>209</v>
      </c>
      <c r="E255" s="10" t="s">
        <v>1996</v>
      </c>
      <c r="F255" s="10" t="n">
        <v>1</v>
      </c>
      <c r="G255" s="10" t="s">
        <v>1596</v>
      </c>
      <c r="H255" s="79" t="n">
        <v>828937.32</v>
      </c>
      <c r="I255" s="10" t="n">
        <v>0</v>
      </c>
      <c r="J255" s="10" t="s">
        <v>1970</v>
      </c>
      <c r="K255" s="10" t="s">
        <v>70</v>
      </c>
      <c r="L255" s="10" t="str">
        <f aca="false">LEFT(K255,1)</f>
        <v>L</v>
      </c>
    </row>
    <row r="256" customFormat="false" ht="15" hidden="false" customHeight="true" outlineLevel="0" collapsed="false">
      <c r="A256" s="10" t="s">
        <v>1720</v>
      </c>
      <c r="B256" s="10" t="s">
        <v>1698</v>
      </c>
      <c r="C256" s="10" t="s">
        <v>1706</v>
      </c>
      <c r="D256" s="10" t="n">
        <v>0</v>
      </c>
      <c r="E256" s="10" t="s">
        <v>1707</v>
      </c>
      <c r="F256" s="10" t="n">
        <v>1</v>
      </c>
      <c r="G256" s="10" t="s">
        <v>1596</v>
      </c>
      <c r="H256" s="79" t="n">
        <v>335913.465393555</v>
      </c>
      <c r="I256" s="10" t="n">
        <v>0</v>
      </c>
      <c r="J256" s="10"/>
      <c r="K256" s="10" t="s">
        <v>70</v>
      </c>
      <c r="L256" s="10" t="str">
        <f aca="false">LEFT(K256,1)</f>
        <v>L</v>
      </c>
    </row>
    <row r="257" customFormat="false" ht="15" hidden="false" customHeight="true" outlineLevel="0" collapsed="false">
      <c r="A257" s="10" t="s">
        <v>1720</v>
      </c>
      <c r="B257" s="10" t="s">
        <v>1698</v>
      </c>
      <c r="C257" s="10" t="s">
        <v>1706</v>
      </c>
      <c r="D257" s="10" t="n">
        <v>210</v>
      </c>
      <c r="E257" s="10" t="s">
        <v>1997</v>
      </c>
      <c r="F257" s="10" t="n">
        <v>1</v>
      </c>
      <c r="G257" s="10" t="s">
        <v>1596</v>
      </c>
      <c r="H257" s="79" t="n">
        <v>33204.45</v>
      </c>
      <c r="I257" s="10" t="n">
        <v>0</v>
      </c>
      <c r="J257" s="10" t="s">
        <v>1970</v>
      </c>
      <c r="K257" s="10" t="s">
        <v>70</v>
      </c>
      <c r="L257" s="10" t="str">
        <f aca="false">LEFT(K257,1)</f>
        <v>L</v>
      </c>
    </row>
    <row r="258" customFormat="false" ht="15" hidden="false" customHeight="true" outlineLevel="0" collapsed="false">
      <c r="A258" s="10" t="s">
        <v>1720</v>
      </c>
      <c r="B258" s="10" t="s">
        <v>1698</v>
      </c>
      <c r="C258" s="10" t="s">
        <v>1708</v>
      </c>
      <c r="D258" s="10" t="n">
        <v>0</v>
      </c>
      <c r="E258" s="10" t="s">
        <v>1709</v>
      </c>
      <c r="F258" s="10" t="n">
        <v>1</v>
      </c>
      <c r="G258" s="10" t="s">
        <v>1596</v>
      </c>
      <c r="H258" s="79" t="n">
        <v>0</v>
      </c>
      <c r="I258" s="10" t="n">
        <v>0</v>
      </c>
      <c r="J258" s="10"/>
      <c r="K258" s="10" t="s">
        <v>70</v>
      </c>
      <c r="L258" s="10" t="str">
        <f aca="false">LEFT(K258,1)</f>
        <v>L</v>
      </c>
    </row>
    <row r="259" customFormat="false" ht="15" hidden="false" customHeight="true" outlineLevel="0" collapsed="false">
      <c r="A259" s="10" t="s">
        <v>1720</v>
      </c>
      <c r="B259" s="10" t="s">
        <v>1698</v>
      </c>
      <c r="C259" s="10" t="s">
        <v>1708</v>
      </c>
      <c r="D259" s="10" t="n">
        <v>212</v>
      </c>
      <c r="E259" s="10" t="s">
        <v>1998</v>
      </c>
      <c r="F259" s="10" t="n">
        <v>1</v>
      </c>
      <c r="G259" s="10" t="s">
        <v>1596</v>
      </c>
      <c r="H259" s="79" t="n">
        <v>69243.95</v>
      </c>
      <c r="I259" s="10" t="n">
        <v>0</v>
      </c>
      <c r="J259" s="10" t="s">
        <v>1970</v>
      </c>
      <c r="K259" s="10" t="s">
        <v>70</v>
      </c>
      <c r="L259" s="10" t="str">
        <f aca="false">LEFT(K259,1)</f>
        <v>L</v>
      </c>
    </row>
    <row r="260" customFormat="false" ht="15" hidden="false" customHeight="true" outlineLevel="0" collapsed="false">
      <c r="A260" s="10" t="s">
        <v>1720</v>
      </c>
      <c r="B260" s="10" t="s">
        <v>1698</v>
      </c>
      <c r="C260" s="10" t="s">
        <v>1710</v>
      </c>
      <c r="D260" s="10" t="n">
        <v>0</v>
      </c>
      <c r="E260" s="10" t="s">
        <v>1711</v>
      </c>
      <c r="F260" s="10" t="n">
        <v>1</v>
      </c>
      <c r="G260" s="10" t="s">
        <v>1596</v>
      </c>
      <c r="H260" s="79" t="n">
        <v>641900.223058441</v>
      </c>
      <c r="I260" s="10" t="n">
        <v>0</v>
      </c>
      <c r="J260" s="10"/>
      <c r="K260" s="10" t="s">
        <v>70</v>
      </c>
      <c r="L260" s="10" t="str">
        <f aca="false">LEFT(K260,1)</f>
        <v>L</v>
      </c>
    </row>
    <row r="261" customFormat="false" ht="15" hidden="false" customHeight="true" outlineLevel="0" collapsed="false">
      <c r="A261" s="10" t="s">
        <v>1720</v>
      </c>
      <c r="B261" s="10" t="s">
        <v>1698</v>
      </c>
      <c r="C261" s="10" t="s">
        <v>1710</v>
      </c>
      <c r="D261" s="10" t="n">
        <v>213</v>
      </c>
      <c r="E261" s="10" t="s">
        <v>1999</v>
      </c>
      <c r="F261" s="10" t="n">
        <v>1</v>
      </c>
      <c r="G261" s="10" t="s">
        <v>1596</v>
      </c>
      <c r="H261" s="79" t="n">
        <v>95912.21</v>
      </c>
      <c r="I261" s="10" t="n">
        <v>0</v>
      </c>
      <c r="J261" s="10" t="s">
        <v>1970</v>
      </c>
      <c r="K261" s="10" t="s">
        <v>70</v>
      </c>
      <c r="L261" s="10" t="str">
        <f aca="false">LEFT(K261,1)</f>
        <v>L</v>
      </c>
    </row>
    <row r="262" customFormat="false" ht="15" hidden="false" customHeight="true" outlineLevel="0" collapsed="false">
      <c r="A262" s="10" t="s">
        <v>1720</v>
      </c>
      <c r="B262" s="10" t="s">
        <v>1698</v>
      </c>
      <c r="C262" s="10" t="s">
        <v>1712</v>
      </c>
      <c r="D262" s="10" t="n">
        <v>0</v>
      </c>
      <c r="E262" s="10" t="s">
        <v>1713</v>
      </c>
      <c r="F262" s="10" t="n">
        <v>1</v>
      </c>
      <c r="G262" s="10" t="s">
        <v>1596</v>
      </c>
      <c r="H262" s="79" t="n">
        <v>443511.280375409</v>
      </c>
      <c r="I262" s="10" t="n">
        <v>0</v>
      </c>
      <c r="J262" s="10"/>
      <c r="K262" s="10" t="s">
        <v>70</v>
      </c>
      <c r="L262" s="10" t="str">
        <f aca="false">LEFT(K262,1)</f>
        <v>L</v>
      </c>
    </row>
    <row r="263" customFormat="false" ht="15" hidden="false" customHeight="true" outlineLevel="0" collapsed="false">
      <c r="A263" s="10" t="s">
        <v>1720</v>
      </c>
      <c r="B263" s="10" t="s">
        <v>1698</v>
      </c>
      <c r="C263" s="10" t="s">
        <v>1712</v>
      </c>
      <c r="D263" s="10" t="n">
        <v>214</v>
      </c>
      <c r="E263" s="10" t="s">
        <v>2000</v>
      </c>
      <c r="F263" s="10" t="n">
        <v>1</v>
      </c>
      <c r="G263" s="10" t="s">
        <v>1596</v>
      </c>
      <c r="H263" s="79" t="n">
        <v>2125.77</v>
      </c>
      <c r="I263" s="10" t="n">
        <v>0</v>
      </c>
      <c r="J263" s="10" t="s">
        <v>1970</v>
      </c>
      <c r="K263" s="10" t="s">
        <v>70</v>
      </c>
      <c r="L263" s="10" t="str">
        <f aca="false">LEFT(K263,1)</f>
        <v>L</v>
      </c>
    </row>
    <row r="264" customFormat="false" ht="15" hidden="false" customHeight="true" outlineLevel="0" collapsed="false">
      <c r="A264" s="10" t="s">
        <v>1720</v>
      </c>
      <c r="B264" s="10" t="s">
        <v>1714</v>
      </c>
      <c r="C264" s="10" t="s">
        <v>1715</v>
      </c>
      <c r="D264" s="10" t="n">
        <v>174</v>
      </c>
      <c r="E264" s="10" t="s">
        <v>1716</v>
      </c>
      <c r="F264" s="10" t="n">
        <v>1</v>
      </c>
      <c r="G264" s="10" t="s">
        <v>1596</v>
      </c>
      <c r="H264" s="79" t="n">
        <v>4680899.19441448</v>
      </c>
      <c r="I264" s="10" t="n">
        <v>0</v>
      </c>
      <c r="J264" s="10" t="s">
        <v>1970</v>
      </c>
      <c r="K264" s="10" t="s">
        <v>72</v>
      </c>
      <c r="L264" s="10" t="str">
        <f aca="false">LEFT(K264,1)</f>
        <v>M</v>
      </c>
    </row>
    <row r="265" customFormat="false" ht="15" hidden="false" customHeight="true" outlineLevel="0" collapsed="false">
      <c r="A265" s="10" t="s">
        <v>1720</v>
      </c>
      <c r="B265" s="10" t="s">
        <v>1717</v>
      </c>
      <c r="C265" s="10" t="s">
        <v>1718</v>
      </c>
      <c r="D265" s="10" t="n">
        <v>217</v>
      </c>
      <c r="E265" s="10" t="s">
        <v>1719</v>
      </c>
      <c r="F265" s="10" t="n">
        <v>1</v>
      </c>
      <c r="G265" s="10" t="s">
        <v>1596</v>
      </c>
      <c r="H265" s="79" t="n">
        <v>2283517</v>
      </c>
      <c r="I265" s="10" t="n">
        <v>0</v>
      </c>
      <c r="J265" s="10"/>
      <c r="K265" s="10" t="s">
        <v>68</v>
      </c>
      <c r="L265" s="10" t="str">
        <f aca="false">LEFT(K265,1)</f>
        <v>K</v>
      </c>
    </row>
    <row r="266" customFormat="false" ht="15" hidden="false" customHeight="true" outlineLevel="0" collapsed="false">
      <c r="G266" s="3" t="s">
        <v>2001</v>
      </c>
      <c r="H266" s="14" t="n">
        <f aca="false">SUM(H2:H265)</f>
        <v>57247543.9342415</v>
      </c>
    </row>
  </sheetData>
  <autoFilter ref="A1:L265"/>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2026-09-29T17:48:53Z</dcterms:created>
  <dc:creator>openpyxl</dc:creator>
  <dc:description/>
  <dc:language>en-US</dc:language>
  <cp:lastModifiedBy/>
  <dcterms:modified xsi:type="dcterms:W3CDTF">2026-10-05T12:45:48Z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