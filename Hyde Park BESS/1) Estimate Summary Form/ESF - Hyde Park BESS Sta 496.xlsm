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AD9AD079-32F8-4415-9498-D9C9B7DC5CA8}"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Overview!$A$1:$G$44</definedName>
    <definedName name="_xlnm.Print_Area" localSheetId="1">'Scope and Clarifications'!$A$2:$E$30</definedName>
    <definedName name="_xlnm.Print_Area" localSheetId="0">'Table of contents'!$B$1:$B$47</definedName>
    <definedName name="rngActualTotalCost" localSheetId="5">Bid!$E:$E</definedName>
    <definedName name="rngActualTotalCost" localSheetId="4">Schedule!$E:$E</definedName>
    <definedName name="rngBodySection" localSheetId="5">Bid!$3:$13</definedName>
    <definedName name="rngBodySection" localSheetId="10">Delta!$3:$48</definedName>
    <definedName name="rngBodySection" localSheetId="7">Item!$3:$65</definedName>
    <definedName name="rngBodySection" localSheetId="8">PAF!$34:$58</definedName>
    <definedName name="rngBodySection" localSheetId="6">Risk!$3:$8</definedName>
    <definedName name="rngBodySection" localSheetId="4">Schedule!$3:$123</definedName>
    <definedName name="rngBodySection" localSheetId="1">'Scope and Clarifications'!$17:$30</definedName>
    <definedName name="rngBodySection" localSheetId="3">Summary!$3:$123</definedName>
    <definedName name="rngConvertToValues" localSheetId="10">Delta!$D$3:$D$48,Delta!$E$2,Delta!$E$49</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Bid!$D$14</definedName>
    <definedName name="rngProjectTotal" localSheetId="10">Delta!$E$49</definedName>
    <definedName name="rngProjectTotal" localSheetId="2">Overview!$D$28</definedName>
    <definedName name="rngProjectTotal" localSheetId="8">PAF!$I$32</definedName>
    <definedName name="rngProjectTotal" localSheetId="9">'PP4'!$H$27</definedName>
    <definedName name="rngProjectTotal" localSheetId="4">Schedule!$D$124</definedName>
    <definedName name="rngProjectTotal" localSheetId="3">Summary!$D$124</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Overview!$G:$G</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7" i="36"/>
  <c r="E10" i="36"/>
  <c r="E14" i="36"/>
  <c r="E16" i="36"/>
  <c r="E19" i="36"/>
  <c r="E22" i="36"/>
  <c r="E3" i="36" s="1"/>
  <c r="E30" i="36"/>
  <c r="E32" i="36"/>
  <c r="E34" i="36"/>
  <c r="E36" i="36"/>
  <c r="E45" i="36"/>
  <c r="E47" i="36"/>
  <c r="J5" i="36"/>
  <c r="J6" i="36"/>
  <c r="J8" i="36"/>
  <c r="J9" i="36"/>
  <c r="J11" i="36"/>
  <c r="J12" i="36"/>
  <c r="J13" i="36"/>
  <c r="J15" i="36"/>
  <c r="J17" i="36"/>
  <c r="J18" i="36"/>
  <c r="J20" i="36"/>
  <c r="J21" i="36"/>
  <c r="J23" i="36"/>
  <c r="J24" i="36"/>
  <c r="J25" i="36"/>
  <c r="J26" i="36"/>
  <c r="J27" i="36"/>
  <c r="J28" i="36"/>
  <c r="J29" i="36"/>
  <c r="J31" i="36"/>
  <c r="J33" i="36"/>
  <c r="J35" i="36"/>
  <c r="J37" i="36"/>
  <c r="J38" i="36"/>
  <c r="J39" i="36"/>
  <c r="J40" i="36"/>
  <c r="J41" i="36"/>
  <c r="J42" i="36"/>
  <c r="J43" i="36"/>
  <c r="J44" i="36"/>
  <c r="J46" i="36"/>
  <c r="J48" i="36"/>
  <c r="F49" i="36" l="1"/>
  <c r="G49" i="36"/>
  <c r="H49" i="36"/>
  <c r="I49"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<sst xmlns="http://schemas.openxmlformats.org/spreadsheetml/2006/main" count="1289" uniqueCount="482">
  <si>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</si>
  <si>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</si>
  <si>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</si>
  <si>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</si>
  <si>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</si>
  <si>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</si>
  <si>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</si>
  <si>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</si>
  <si>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</si>
  <si>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</si>
  <si>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</si>
  <si>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</si>
  <si>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</si>
  <si>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</si>
  <si>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</si>
  <si>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</si>
  <si>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</si>
  <si>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</si>
  <si>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</si>
  <si>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</si>
  <si>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</si>
  <si>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</si>
  <si>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</si>
  <si>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</si>
  <si>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</si>
  <si>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</si>
  <si>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</si>
  <si>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</si>
  <si>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</si>
  <si>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</si>
  <si>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</si>
  <si>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</si>
  <si>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</si>
  <si>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</si>
  <si>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</si>
  <si>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</si>
  <si>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</si>
  <si>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</si>
  <si>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</si>
  <si>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</si>
  <si>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</si>
  <si>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</si>
  <si>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</si>
  <si>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</si>
  <si>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</si>
  <si>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</si>
  <si>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</si>
  <si>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</si>
  <si>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</si>
  <si>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</si>
  <si>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</si>
  <si>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</si>
  <si>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</si>
  <si>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</si>
  <si>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</si>
  <si>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</si>
  <si>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</si>
  <si>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</si>
  <si>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</si>
  <si>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</si>
  <si>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</si>
  <si>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</si>
  <si>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</si>
  <si>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</si>
  <si>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</si>
  <si>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</si>
  <si>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</si>
  <si>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</si>
  <si>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</si>
  <si>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</si>
  <si>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</si>
  <si>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</si>
  <si>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</si>
  <si>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</si>
  <si>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</si>
  <si>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</si>
  <si>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</si>
  <si>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</si>
  <si>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</si>
  <si>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</si>
  <si>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</si>
  <si>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</si>
  <si>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</si>
  <si>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</si>
  <si>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</si>
  <si>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</si>
  <si>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</si>
  <si>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</si>
  <si>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</si>
  <si>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</si>
  <si>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</si>
  <si>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</si>
  <si>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</si>
  <si>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</si>
  <si>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</si>
  <si>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</si>
  <si>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</si>
  <si>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</si>
  <si>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</si>
  <si>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</si>
  <si>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</si>
  <si>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</si>
  <si>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</si>
  <si>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</si>
  <si>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</si>
  <si>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</si>
  <si>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</si>
  <si>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</si>
  <si>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</si>
  <si>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</si>
  <si>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</si>
  <si>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</si>
  <si>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</si>
  <si>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</si>
  <si>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</si>
  <si>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</si>
  <si>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</si>
  <si>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</si>
  <si>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</si>
  <si>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</si>
  <si>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</si>
  <si>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</si>
  <si>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</si>
  <si>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</si>
  <si>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</si>
  <si>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</si>
  <si>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</si>
  <si>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</si>
  <si>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</si>
  <si>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</si>
  <si>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</si>
  <si>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</si>
  <si>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</si>
  <si>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</si>
  <si>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</si>
  <si>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</si>
  <si>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</si>
  <si>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</si>
  <si>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</si>
  <si>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</si>
  <si>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</si>
  <si>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</si>
  <si>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</si>
  <si>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</si>
  <si>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</si>
  <si>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</si>
  <si>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</si>
  <si>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</si>
  <si>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</si>
  <si>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</si>
  <si>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</si>
  <si>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</si>
  <si>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</si>
  <si>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</si>
  <si>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</si>
  <si>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</si>
  <si>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</si>
  <si>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</si>
  <si>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</si>
  <si>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</si>
  <si>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</si>
  <si>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12.07.00.00</t>
  </si>
  <si>
    <t>Risk - Construction</t>
  </si>
  <si>
    <t>Total amount</t>
  </si>
  <si>
    <t>Risk anaysis</t>
  </si>
  <si>
    <t>11.00.00</t>
  </si>
  <si>
    <t>Direct Cost</t>
  </si>
  <si>
    <t>11.00.00.03</t>
  </si>
  <si>
    <t>11.00</t>
  </si>
  <si>
    <t>Sequence</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</si>
  <si>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</si>
  <si>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</si>
  <si>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</si>
  <si>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</si>
  <si>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</si>
  <si>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</si>
  <si>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</si>
  <si>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</si>
  <si>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</si>
  <si>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</si>
  <si>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</si>
  <si>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</si>
  <si>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</si>
  <si>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</si>
  <si>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</si>
  <si>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</si>
  <si>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</si>
  <si>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</si>
  <si>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</si>
  <si>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</si>
  <si>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</si>
  <si>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</si>
  <si>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</si>
  <si>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</si>
  <si>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</si>
  <si>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</si>
  <si>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</si>
  <si>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</si>
  <si>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Equipment /Materials ( Eversource purchased)</t>
  </si>
  <si>
    <t>Construction  ( incl matl's by contractors)</t>
  </si>
  <si>
    <t>07.01</t>
  </si>
  <si>
    <t>07.01.02</t>
  </si>
  <si>
    <t>07.01.02.01</t>
  </si>
  <si>
    <t>07.01.04</t>
  </si>
  <si>
    <t>07.01.04.00</t>
  </si>
  <si>
    <t>Mobilization &amp; Demobilization</t>
  </si>
  <si>
    <t>07.03</t>
  </si>
  <si>
    <t>07.03.02</t>
  </si>
  <si>
    <t>08.01</t>
  </si>
  <si>
    <t>08.02</t>
  </si>
  <si>
    <t>09.01</t>
  </si>
  <si>
    <t>09.01.02</t>
  </si>
  <si>
    <t>09.01.02.00</t>
  </si>
  <si>
    <t>Project Management (PM/APM) - Contractor</t>
  </si>
  <si>
    <t>09.04</t>
  </si>
  <si>
    <t>09.04.01</t>
  </si>
  <si>
    <t>09.04.01.00</t>
  </si>
  <si>
    <t>System Planning - Eversource</t>
  </si>
  <si>
    <t>09.08</t>
  </si>
  <si>
    <t>09.08.01</t>
  </si>
  <si>
    <t>09.08.01.00</t>
  </si>
  <si>
    <t>Estimating - Eversource</t>
  </si>
  <si>
    <t>09.10</t>
  </si>
  <si>
    <t>09.10.01</t>
  </si>
  <si>
    <t>09.10.01.00</t>
  </si>
  <si>
    <t>Asset Management - Eversource</t>
  </si>
  <si>
    <t>09.11</t>
  </si>
  <si>
    <t>09.11.01</t>
  </si>
  <si>
    <t>09.11.01.00</t>
  </si>
  <si>
    <t>Construction Rep - Eversource</t>
  </si>
  <si>
    <t>Eversource Personnel</t>
  </si>
  <si>
    <t>Contractor Siting Services / Personnel</t>
  </si>
  <si>
    <t>Substation Electrical Engineering / Design</t>
  </si>
  <si>
    <t>P&amp;C Engineering / Design</t>
  </si>
  <si>
    <t>05.07</t>
  </si>
  <si>
    <t>Other Engineering / Design</t>
  </si>
  <si>
    <t>05.04.01</t>
  </si>
  <si>
    <t>05.04.01.00</t>
  </si>
  <si>
    <t>06.04</t>
  </si>
  <si>
    <t>P&amp;C Materials / Equipment</t>
  </si>
  <si>
    <t>05.07.01</t>
  </si>
  <si>
    <t>Other Engineering / Design - Eversource</t>
  </si>
  <si>
    <t>05.07.01.00</t>
  </si>
  <si>
    <t>Eversource - General</t>
  </si>
  <si>
    <t>Substation Electrical Work</t>
  </si>
  <si>
    <t>Testing / Commissioning - LCE</t>
  </si>
  <si>
    <t>Testing / Commissioning -Field Engineering</t>
  </si>
  <si>
    <t>Project Management (PM) / (APM)</t>
  </si>
  <si>
    <t>09.03</t>
  </si>
  <si>
    <t>Contracts/Purchasing (C/P)</t>
  </si>
  <si>
    <t>System Planning</t>
  </si>
  <si>
    <t>Estimating</t>
  </si>
  <si>
    <t>09.09</t>
  </si>
  <si>
    <t>Project Controls</t>
  </si>
  <si>
    <t>Asset Management</t>
  </si>
  <si>
    <t>Construction Reps</t>
  </si>
  <si>
    <t>10.01</t>
  </si>
  <si>
    <t>06.04.02</t>
  </si>
  <si>
    <t>Relays &amp; Cabinents</t>
  </si>
  <si>
    <t>06.04.03</t>
  </si>
  <si>
    <t>Control Cable</t>
  </si>
  <si>
    <t>06.04.02.00</t>
  </si>
  <si>
    <t>06.04.03.00</t>
  </si>
  <si>
    <t>12.07</t>
  </si>
  <si>
    <t>Switching &amp; Tagging</t>
  </si>
  <si>
    <t>13.01</t>
  </si>
  <si>
    <t>13.02</t>
  </si>
  <si>
    <t>13.03</t>
  </si>
  <si>
    <t>13.05</t>
  </si>
  <si>
    <t>13.06</t>
  </si>
  <si>
    <t>S/S Construction - Electrical constr.</t>
  </si>
  <si>
    <t>13.08</t>
  </si>
  <si>
    <t>07.03.03</t>
  </si>
  <si>
    <t>S/S Construction - P&amp;C</t>
  </si>
  <si>
    <t>13.09</t>
  </si>
  <si>
    <t>13.10</t>
  </si>
  <si>
    <t>14.01</t>
  </si>
  <si>
    <t>08.01.02</t>
  </si>
  <si>
    <t>LCE Contractor</t>
  </si>
  <si>
    <t>08.02.02</t>
  </si>
  <si>
    <t>Field Engineer Contractor</t>
  </si>
  <si>
    <t>Contingency - Other</t>
  </si>
  <si>
    <t>09.03.01</t>
  </si>
  <si>
    <t>Contracts/Purchasing (C/P) - Eversource</t>
  </si>
  <si>
    <t>09.09.01</t>
  </si>
  <si>
    <t>Project Controls - Eversource</t>
  </si>
  <si>
    <t>10.01.00</t>
  </si>
  <si>
    <t>07.03.02.12</t>
  </si>
  <si>
    <t>07.03.03.02</t>
  </si>
  <si>
    <t>12.07.00</t>
  </si>
  <si>
    <t>08.01.02.00</t>
  </si>
  <si>
    <t>08.02.02.00</t>
  </si>
  <si>
    <t>13.01.00</t>
  </si>
  <si>
    <t>13.02.00</t>
  </si>
  <si>
    <t>13.03.00</t>
  </si>
  <si>
    <t>13.05.00</t>
  </si>
  <si>
    <t>13.06.00</t>
  </si>
  <si>
    <t>13.08.00</t>
  </si>
  <si>
    <t>13.09.00</t>
  </si>
  <si>
    <t>13.10.00</t>
  </si>
  <si>
    <t>14.01.00</t>
  </si>
  <si>
    <t>09.03.01.00</t>
  </si>
  <si>
    <t>09.09.01.00</t>
  </si>
  <si>
    <t>10.01.00.00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</si>
  <si>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</si>
  <si>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</si>
  <si>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</si>
  <si>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</si>
  <si>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</si>
  <si>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</si>
  <si>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</si>
  <si>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</si>
  <si>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</si>
  <si>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</si>
  <si>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</si>
  <si>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</si>
  <si>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</si>
  <si>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</si>
  <si>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</si>
  <si>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</si>
  <si>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</si>
  <si>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</si>
  <si>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</si>
  <si>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</si>
  <si>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</si>
  <si>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</si>
  <si>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</si>
  <si>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</si>
  <si>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</si>
  <si>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</si>
  <si>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</si>
  <si>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</si>
  <si>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</si>
  <si>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</si>
  <si>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</si>
  <si>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</si>
  <si>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</si>
  <si>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</si>
  <si>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</si>
  <si>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</si>
  <si>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</si>
  <si>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</si>
  <si>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</si>
  <si>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</si>
  <si>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</si>
  <si>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</si>
  <si>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</si>
  <si>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</si>
  <si>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</si>
  <si>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</si>
  <si>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</si>
  <si>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</si>
  <si>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</si>
  <si>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</si>
  <si>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</si>
  <si>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</si>
  <si>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</si>
  <si>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</si>
  <si>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</si>
  <si>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C17</t>
  </si>
  <si>
    <t>Surveying, Geotechnical Studies, Eng, and Permitting</t>
  </si>
  <si>
    <t>C19</t>
  </si>
  <si>
    <t>Material - Above Grade</t>
  </si>
  <si>
    <t>C21</t>
  </si>
  <si>
    <t>Construction Labor - Above Grade</t>
  </si>
  <si>
    <t>C22</t>
  </si>
  <si>
    <t>Substation Testing, Commissioning, Energization</t>
  </si>
  <si>
    <t>C23</t>
  </si>
  <si>
    <t>Administrative &amp; General OH</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</si>
  <si>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</si>
  <si>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</si>
  <si>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</si>
  <si>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</si>
  <si>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</si>
  <si>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</si>
  <si>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</si>
  <si>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</si>
  <si>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</si>
  <si>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</si>
  <si>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</si>
  <si>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</si>
  <si>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</si>
  <si>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</si>
  <si>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t>
  </si>
  <si>
    <t>Hyde Park BESS - Sta. 496</t>
  </si>
  <si>
    <t>EM</t>
  </si>
  <si>
    <t>80089926</t>
  </si>
  <si>
    <t>Battery Storage Facility</t>
  </si>
  <si>
    <t>INSTALL:
Four (4) - SEL-351S feeder relays and associated equipment.
Four (4) - SEL-351S transformer relays and associated equipment.
Four (4) - SEL-751 feeder relays and associated equipment.
Four (4) - SEL-751 transformer relays and associated equipment.
Four (4) - SEL-735 transformer relays and associated equipment.
Eight (8) - Relay Plates.
REMOVE:
Four (4) - SEL-551 feeder relays and associated equipment.
Four (4) - SEL-551 transformer relays and associated equipment.
Four (4) - ABB-REF610 feeder relays and associated equipment.
Four (4) - ABB-REF610 transformer relays and associated equipment.</t>
  </si>
  <si>
    <t xml:space="preserve">Engineering deliverables will include all required protection, control, communication, logic, wiring, and associated design documentation necessary to support relay replacement, installation, testing, and commissioning. Develop SCADA point lists for the RTU (Orion+ or similar) and for the SEL RTAC/AXION devices being used for alarming and as data concentrators. Design transfer trip signaling between Station 496 Hyde Park and the associated feeders at Station 360 using dedicated dark fiber.
</t>
  </si>
  <si>
    <t>Length per Estimator</t>
  </si>
  <si>
    <t>20 ops x 8 hrs/ops x 2 switchers</t>
  </si>
  <si>
    <t>50% mhrs of Field Test Engr.</t>
  </si>
  <si>
    <t>SEL-751 8 reloays x 300 mhrs per RRA = 2,400 mhrs
SEL-735 4 reloays x 300 mhrs per RRA = 1,200 mhrs
SEL-351S 8 reloays x 420 mhrs per RRA = 3,360 mhrs
Total = 6,920 mhrs x 75% efficiency = 5,200 mhrs</t>
  </si>
  <si>
    <t xml:space="preserve">4 mns x 4.3 wks/mn x 8 mhrs/wk
</t>
  </si>
  <si>
    <t>2mns x 4.3wks/mn x 40 mhrs/wk</t>
  </si>
  <si>
    <t>10% of install (320 mhrs)</t>
  </si>
  <si>
    <t>50% of install (2.5 mhrs)</t>
  </si>
  <si>
    <t>2 elec x 1 wk x 40 mhrs/wk</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</si>
  <si>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</si>
  <si>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</si>
  <si>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</si>
  <si>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Delay in schedule due to adverse weather.
</t>
  </si>
  <si>
    <t>C01</t>
  </si>
  <si>
    <t>SCS, Internal, Traditional</t>
  </si>
  <si>
    <t>SCS, External, Traditional</t>
  </si>
  <si>
    <t>Siting, Internal, Application</t>
  </si>
  <si>
    <t>Siting, External, Application</t>
  </si>
  <si>
    <t>Engr. Station - Eversource</t>
  </si>
  <si>
    <t>Engr. Station - Contractor</t>
  </si>
  <si>
    <t>Engr. P&amp;C - Eversource</t>
  </si>
  <si>
    <t>Engr. P&amp;C - Contractor</t>
  </si>
  <si>
    <t>Engr. SS Drafting/Project Services - Eversource</t>
  </si>
  <si>
    <t>Miscellaneous Cabinet/ Devices Panel Plate Repacments, (Furnish)</t>
  </si>
  <si>
    <t>Relays AAB FT-1 9R Test Device, (Furnish)</t>
  </si>
  <si>
    <t>Relays SEL-351S (Transformer and Feeder Protection), (Furnish)</t>
  </si>
  <si>
    <t>Relays SEL-735 (Transformer Protection), (Furnish)</t>
  </si>
  <si>
    <t>Relays SEL-751 (Transformer and Feeder Protection), (Furnish)</t>
  </si>
  <si>
    <t>Insulated Control Cable Cable, Control, #12 SIS Switchbourd cable , (Furnish)</t>
  </si>
  <si>
    <t>Insulated Control Cable Cable, Control, #14 SIS Switchbourd cable , (Furnish)</t>
  </si>
  <si>
    <t>Insulated Control Cable Cable, Control, Lug, Termination #12-10 AWG , (Furnish)</t>
  </si>
  <si>
    <t>Insulated Control Cable Cable, Control, Lug, Termination #18-14 AWG, (Furnish)</t>
  </si>
  <si>
    <t>Insulated Control Cable Cable, Control, User Defined, (Furnish)</t>
  </si>
  <si>
    <t>Switching &amp; Tagging (Internal labor)</t>
  </si>
  <si>
    <t>Demobilization</t>
  </si>
  <si>
    <t>Mobilization</t>
  </si>
  <si>
    <t>Insulated Control Cable Cable, Control, #12 SIS Switchbourd cable , (Install)</t>
  </si>
  <si>
    <t>Insulated Control Cable Cable, Control, #14 SIS Switchbourd cable , (Install)</t>
  </si>
  <si>
    <t>Insulated Control Cable Cable, Control, Lug, Termination #12-10 AWG , (Install)</t>
  </si>
  <si>
    <t>Insulated Control Cable Cable, Control, Lug, Termination #18-14 AWG, (Install)</t>
  </si>
  <si>
    <t>Insulated Control Cable Cable, Control, User Defined, (Install)</t>
  </si>
  <si>
    <t>Miscellaneous Cabinet/ Devices Panel Plate Repacments, (Install)</t>
  </si>
  <si>
    <t>Relays AAB FT-1 9R Test Device, (Install)</t>
  </si>
  <si>
    <t>Relays SEL-351S (Transformer and Feeder Protection), (Install)</t>
  </si>
  <si>
    <t>Relays SEL-735 (Transformer Protection), (Install)</t>
  </si>
  <si>
    <t>Relays SEL-751 (Transformer and Feeder Protection), (Install)</t>
  </si>
  <si>
    <t>Lead Commissioning Engr. (LCE), Contractor</t>
  </si>
  <si>
    <t>Field Test Engr., Contractor</t>
  </si>
  <si>
    <t>Project Manager, Contractor</t>
  </si>
  <si>
    <t>Purchasing, Eversource</t>
  </si>
  <si>
    <t>System Planning, Eversource</t>
  </si>
  <si>
    <t>Estimating, Eversource</t>
  </si>
  <si>
    <t>Project Controls, Project Performance, Eversource</t>
  </si>
  <si>
    <t>Project Controls, Scheduling, Eversource</t>
  </si>
  <si>
    <t>Asset Management, Eversource</t>
  </si>
  <si>
    <t>Construction Manager (CR), Eversource</t>
  </si>
  <si>
    <t>Removals - Station - ABB-REF610 Relays (Labor)</t>
  </si>
  <si>
    <t>Removals - Station - SEL-551 Relays (Labor)</t>
  </si>
  <si>
    <t>Removals - Station - Test Switches (Labor)</t>
  </si>
  <si>
    <t>Removals - Station - Wiring (Labor)</t>
  </si>
  <si>
    <t>CWIPDistribution</t>
  </si>
  <si>
    <t>Risk - Construction - Design / Scope changes</t>
  </si>
  <si>
    <t>Risk - Construction - Labor costs impact</t>
  </si>
  <si>
    <t>Risk - Construction - Mat'l costs impact</t>
  </si>
  <si>
    <t>Risk - Construction - Weather delays imact</t>
  </si>
  <si>
    <t>Indirect - Non-Productive Basis</t>
  </si>
  <si>
    <t>Indirect - Payroll Benefit Basis</t>
  </si>
  <si>
    <t>Indirect - Gen Svc Co OH Basis</t>
  </si>
  <si>
    <t>Indirect - E&amp;S Station Basis</t>
  </si>
  <si>
    <t>Indirect - AS &amp; E Basis</t>
  </si>
  <si>
    <t>Indirect - Lobby Stock Basis</t>
  </si>
  <si>
    <t>Indirect - MDEC Basis</t>
  </si>
  <si>
    <t>Indirect - Vehicles OH Basis</t>
  </si>
  <si>
    <t>Contingency - General</t>
  </si>
  <si>
    <t>ls</t>
  </si>
  <si>
    <t>mh</t>
  </si>
  <si>
    <t>ea</t>
  </si>
  <si>
    <t>lf</t>
  </si>
  <si>
    <t>2026</t>
  </si>
  <si>
    <t>2027</t>
  </si>
  <si>
    <t>2028</t>
  </si>
  <si>
    <t>20.00 Relays</t>
  </si>
  <si>
    <t>362,700 $/Relays</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</si>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</sst>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3">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432025.31101431878</c:v>
                </c:pt>
                <c:pt idx="1">
                  <c:v>3726401.6407821914</c:v>
                </c:pt>
                <c:pt idx="2">
                  <c:v>0</c:v>
                </c:pt>
                <c:pt idx="3">
                  <c:v>1347161.6615042784</c:v>
                </c:pt>
                <c:pt idx="4">
                  <c:v>326061.50730097201</c:v>
                </c:pt>
                <c:pt idx="5">
                  <c:v>319788.62468916806</c:v>
                </c:pt>
                <c:pt idx="6">
                  <c:v>1101723</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2"/>
      <c r="C3" s="202"/>
      <c r="D3" s="202" t="s">
        <v>2</v>
      </c>
    </row>
    <row r="5" spans="2:4" ht="15.75" x14ac:dyDescent="0.25">
      <c r="B5" s="203"/>
      <c r="C5" s="203"/>
      <c r="D5" s="203"/>
    </row>
    <row r="6" spans="2:4" x14ac:dyDescent="0.25">
      <c r="B6" s="204"/>
      <c r="C6" s="204"/>
      <c r="D6" s="204"/>
    </row>
    <row r="7" spans="2:4" x14ac:dyDescent="0.25">
      <c r="B7" s="205" t="s">
        <v>315</v>
      </c>
      <c r="C7" s="205"/>
      <c r="D7" s="205"/>
    </row>
    <row r="8" spans="2:4" x14ac:dyDescent="0.25">
      <c r="B8" s="205" t="s">
        <v>307</v>
      </c>
      <c r="C8" s="205"/>
      <c r="D8" s="205"/>
    </row>
    <row r="9" spans="2:4" x14ac:dyDescent="0.25">
      <c r="B9" s="206" t="s">
        <v>65</v>
      </c>
      <c r="C9" s="206"/>
      <c r="D9" s="206"/>
    </row>
    <row r="10" spans="2:4" x14ac:dyDescent="0.25">
      <c r="B10" s="206" t="s">
        <v>109</v>
      </c>
      <c r="C10" s="206"/>
      <c r="D10" s="206"/>
    </row>
    <row r="11" spans="2:4" x14ac:dyDescent="0.25">
      <c r="B11" s="206" t="s">
        <v>374</v>
      </c>
      <c r="D11" s="206"/>
    </row>
    <row r="12" spans="2:4" x14ac:dyDescent="0.25">
      <c r="B12" s="206" t="s">
        <v>164</v>
      </c>
      <c r="D12" s="205"/>
    </row>
    <row r="13" spans="2:4" x14ac:dyDescent="0.25">
      <c r="B13" s="205" t="s">
        <v>348</v>
      </c>
      <c r="C13" s="207"/>
      <c r="D13" s="206"/>
    </row>
    <row r="14" spans="2:4" x14ac:dyDescent="0.25">
      <c r="B14" s="206" t="s">
        <v>349</v>
      </c>
      <c r="C14" s="208"/>
      <c r="D14" s="205"/>
    </row>
    <row r="15" spans="2:4" x14ac:dyDescent="0.25">
      <c r="B15" s="205" t="s">
        <v>350</v>
      </c>
      <c r="C15" s="205"/>
      <c r="D15" s="5"/>
    </row>
    <row r="16" spans="2:4" x14ac:dyDescent="0.25">
      <c r="B16" s="1" t="s">
        <v>0</v>
      </c>
      <c r="C16" s="208" t="s">
        <v>306</v>
      </c>
    </row>
    <row r="17" spans="2:4" x14ac:dyDescent="0.25">
      <c r="B17" s="1" t="s">
        <v>77</v>
      </c>
      <c r="C17" s="208" t="s">
        <v>306</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58"/>
  <sheetViews>
    <sheetView showGridLines="0" workbookViewId="0">
      <selection activeCell="D39" sqref="D39"/>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58.7109375" customWidth="1"/>
    <col min="6" max="6" width="4.7109375" customWidth="1"/>
  </cols>
  <sheetData>
    <row r="2" spans="2:6" s="5" customFormat="1" x14ac:dyDescent="0.25">
      <c r="B2" s="219"/>
      <c r="F2" s="70" t="s">
        <v>66</v>
      </c>
    </row>
    <row r="3" spans="2:6" s="5" customFormat="1" x14ac:dyDescent="0.25">
      <c r="B3" s="219" t="s">
        <v>29</v>
      </c>
      <c r="C3" s="91" t="s">
        <v>376</v>
      </c>
      <c r="D3" s="72" t="s">
        <v>320</v>
      </c>
      <c r="E3" s="218">
        <v>46260.388854976853</v>
      </c>
    </row>
    <row r="4" spans="2:6" s="5" customFormat="1" x14ac:dyDescent="0.25">
      <c r="B4" s="219" t="s">
        <v>26</v>
      </c>
      <c r="C4" s="74" t="s">
        <v>377</v>
      </c>
      <c r="D4" s="72" t="s">
        <v>321</v>
      </c>
      <c r="E4" s="71" t="s">
        <v>136</v>
      </c>
    </row>
    <row r="5" spans="2:6" s="5" customFormat="1" x14ac:dyDescent="0.25">
      <c r="B5" s="219" t="s">
        <v>159</v>
      </c>
      <c r="C5" s="74" t="s">
        <v>378</v>
      </c>
      <c r="D5" s="72" t="s">
        <v>323</v>
      </c>
      <c r="E5" s="71" t="s">
        <v>381</v>
      </c>
    </row>
    <row r="6" spans="2:6" s="5" customFormat="1" x14ac:dyDescent="0.25">
      <c r="B6" s="219" t="s">
        <v>158</v>
      </c>
      <c r="C6" s="74" t="s">
        <v>379</v>
      </c>
      <c r="D6" s="72" t="s">
        <v>324</v>
      </c>
      <c r="E6" s="71" t="s">
        <v>381</v>
      </c>
    </row>
    <row r="7" spans="2:6" s="5" customFormat="1" x14ac:dyDescent="0.25">
      <c r="B7" s="219" t="s">
        <v>319</v>
      </c>
      <c r="C7" s="71" t="s">
        <v>380</v>
      </c>
    </row>
    <row r="8" spans="2:6" s="5" customFormat="1" ht="5.25" customHeight="1" x14ac:dyDescent="0.25">
      <c r="B8" s="72"/>
      <c r="C8" s="71"/>
    </row>
    <row r="9" spans="2:6" s="5" customFormat="1" ht="7.5" customHeight="1" x14ac:dyDescent="0.25">
      <c r="D9" s="72"/>
      <c r="E9" s="71"/>
    </row>
    <row r="10" spans="2:6" ht="6" customHeight="1" x14ac:dyDescent="0.25">
      <c r="B10" s="222"/>
    </row>
    <row r="11" spans="2:6" ht="6" customHeight="1" x14ac:dyDescent="0.25">
      <c r="B11" s="221"/>
      <c r="C11" s="77"/>
      <c r="D11" s="77"/>
      <c r="E11" s="77"/>
    </row>
    <row r="12" spans="2:6" ht="6" customHeight="1" x14ac:dyDescent="0.25">
      <c r="B12" s="222"/>
    </row>
    <row r="13" spans="2:6" ht="54.75" customHeight="1" x14ac:dyDescent="0.25">
      <c r="B13" s="219" t="s">
        <v>318</v>
      </c>
      <c r="C13" s="244" t="s">
        <v>382</v>
      </c>
      <c r="D13" s="244"/>
      <c r="E13" s="244"/>
    </row>
    <row r="14" spans="2:6" ht="6" customHeight="1" x14ac:dyDescent="0.25">
      <c r="B14" s="219"/>
      <c r="C14" s="5"/>
      <c r="D14" s="5"/>
    </row>
    <row r="15" spans="2:6" ht="251.25" customHeight="1" x14ac:dyDescent="0.25">
      <c r="B15" s="219" t="s">
        <v>317</v>
      </c>
      <c r="C15" s="244" t="s">
        <v>383</v>
      </c>
      <c r="D15" s="244"/>
      <c r="E15" s="244"/>
    </row>
    <row r="16" spans="2:6" ht="6" customHeight="1" x14ac:dyDescent="0.25"/>
    <row r="17" spans="2:5" s="5" customFormat="1" x14ac:dyDescent="0.25">
      <c r="B17" s="219" t="s">
        <v>29</v>
      </c>
      <c r="C17" s="71" t="s">
        <v>376</v>
      </c>
      <c r="D17" s="72" t="s">
        <v>328</v>
      </c>
      <c r="E17" s="243" t="s">
        <v>387</v>
      </c>
    </row>
    <row r="18" spans="2:5" s="5" customFormat="1" x14ac:dyDescent="0.25">
      <c r="B18" s="219" t="s">
        <v>70</v>
      </c>
      <c r="C18" s="91" t="s">
        <v>384</v>
      </c>
      <c r="D18" s="72" t="s">
        <v>330</v>
      </c>
      <c r="E18" s="243">
        <v>1</v>
      </c>
    </row>
    <row r="19" spans="2:5" s="5" customFormat="1" x14ac:dyDescent="0.25">
      <c r="B19" s="219" t="s">
        <v>325</v>
      </c>
      <c r="C19" s="243" t="s">
        <v>386</v>
      </c>
      <c r="D19" s="72" t="s">
        <v>329</v>
      </c>
      <c r="E19" s="243" t="s">
        <v>379</v>
      </c>
    </row>
    <row r="20" spans="2:5" s="5" customFormat="1" x14ac:dyDescent="0.25">
      <c r="B20" s="219" t="s">
        <v>326</v>
      </c>
      <c r="C20" s="243" t="s">
        <v>305</v>
      </c>
      <c r="D20" s="72" t="s">
        <v>27</v>
      </c>
      <c r="E20" s="218">
        <v>47115.208333333336</v>
      </c>
    </row>
    <row r="21" spans="2:5" s="5" customFormat="1" x14ac:dyDescent="0.25">
      <c r="B21" s="72" t="s">
        <v>309</v>
      </c>
      <c r="C21" s="243" t="s">
        <v>385</v>
      </c>
      <c r="D21" s="72" t="s">
        <v>322</v>
      </c>
      <c r="E21" s="243" t="s">
        <v>471</v>
      </c>
    </row>
    <row r="22" spans="2:5" s="5" customFormat="1" x14ac:dyDescent="0.25">
      <c r="B22" s="72" t="s">
        <v>72</v>
      </c>
      <c r="C22" s="243" t="s">
        <v>136</v>
      </c>
    </row>
    <row r="23" spans="2:5" s="5" customFormat="1" x14ac:dyDescent="0.25">
      <c r="B23" s="72" t="s">
        <v>327</v>
      </c>
      <c r="C23" s="243" t="s">
        <v>19</v>
      </c>
    </row>
    <row r="24" spans="2:5" ht="6" customHeight="1" x14ac:dyDescent="0.25">
      <c r="B24" s="220"/>
      <c r="D24" s="72"/>
      <c r="E24" s="243"/>
    </row>
    <row r="25" spans="2:5" ht="6" customHeight="1" x14ac:dyDescent="0.25">
      <c r="B25" s="214"/>
      <c r="C25" s="214"/>
      <c r="D25" s="214"/>
      <c r="E25" s="214"/>
    </row>
    <row r="26" spans="2:5" ht="6" customHeight="1" x14ac:dyDescent="0.25"/>
    <row r="27" spans="2:5" ht="204" customHeight="1" x14ac:dyDescent="0.25">
      <c r="B27" s="219" t="s">
        <v>316</v>
      </c>
      <c r="C27" s="244" t="s">
        <v>388</v>
      </c>
      <c r="D27" s="244"/>
      <c r="E27" s="244"/>
    </row>
    <row r="28" spans="2:5" ht="6" customHeight="1" x14ac:dyDescent="0.25">
      <c r="B28" s="219"/>
      <c r="C28" s="5"/>
      <c r="D28" s="5"/>
    </row>
    <row r="29" spans="2:5" ht="56.25" customHeight="1" x14ac:dyDescent="0.25">
      <c r="B29" s="219" t="s">
        <v>317</v>
      </c>
      <c r="C29" s="244" t="s">
        <v>389</v>
      </c>
      <c r="D29" s="244"/>
      <c r="E29" s="244"/>
    </row>
    <row r="30" spans="2:5" ht="6" customHeight="1" x14ac:dyDescent="0.25">
      <c r="B30" s="222"/>
    </row>
    <row r="31" spans="2:5" ht="15" customHeight="1" x14ac:dyDescent="0.25"/>
    <row r="32" spans="2:5" ht="15" customHeight="1" x14ac:dyDescent="0.25"/>
    <row r="33" ht="15" customHeight="1" x14ac:dyDescent="0.25"/>
    <row r="34" s="91" customFormat="1" ht="24" customHeight="1" x14ac:dyDescent="0.25"/>
    <row r="35" ht="15" customHeight="1" x14ac:dyDescent="0.25"/>
    <row r="36" ht="15" customHeight="1" x14ac:dyDescent="0.25"/>
    <row r="37" s="91" customFormat="1" ht="24" customHeight="1" x14ac:dyDescent="0.25"/>
    <row r="38" ht="15" customHeight="1" x14ac:dyDescent="0.25"/>
    <row r="39" s="91" customFormat="1" ht="24" customHeight="1" x14ac:dyDescent="0.25"/>
    <row r="40" ht="15" customHeight="1" x14ac:dyDescent="0.25"/>
    <row r="41" s="91" customFormat="1" ht="24" customHeight="1" x14ac:dyDescent="0.25"/>
    <row r="42" ht="6" customHeight="1" x14ac:dyDescent="0.25"/>
    <row r="43" ht="6" customHeight="1" x14ac:dyDescent="0.25"/>
    <row r="44" ht="21" customHeight="1" x14ac:dyDescent="0.25"/>
    <row r="45" ht="15" customHeight="1" x14ac:dyDescent="0.25"/>
    <row r="46" ht="15" customHeight="1" x14ac:dyDescent="0.25"/>
    <row r="47" ht="21" customHeight="1" x14ac:dyDescent="0.25"/>
    <row r="48" ht="6" customHeight="1" x14ac:dyDescent="0.25"/>
    <row r="49" ht="21" customHeight="1" x14ac:dyDescent="0.25"/>
    <row r="50" ht="6" customHeight="1" x14ac:dyDescent="0.25"/>
    <row r="51" ht="21" customHeight="1" x14ac:dyDescent="0.25"/>
    <row r="53" ht="21" customHeight="1" x14ac:dyDescent="0.25"/>
    <row r="57" ht="6" customHeight="1" x14ac:dyDescent="0.25"/>
    <row r="58" ht="6" customHeight="1" x14ac:dyDescent="0.25"/>
  </sheetData>
  <mergeCells count="4">
    <mergeCell ref="C29:E29"/>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H45"/>
  <sheetViews>
    <sheetView showGridLines="0" tabSelected="1" workbookViewId="0">
      <pane ySplit="8" topLeftCell="A9" activePane="bottomLeft" state="frozen"/>
      <selection pane="bottomLeft"/>
    </sheetView>
  </sheetViews>
  <sheetFormatPr defaultColWidth="8.85546875" defaultRowHeight="15" x14ac:dyDescent="0.25"/>
  <cols>
    <col min="1" max="1" width="2.7109375" customWidth="1"/>
    <col min="2" max="2" width="14.7109375" customWidth="1"/>
    <col min="3" max="3" width="32.7109375" customWidth="1"/>
    <col min="4" max="4" width="17.7109375" hidden="1" customWidth="1"/>
    <col min="5" max="5" width="13.42578125" customWidth="1"/>
    <col min="6" max="6" width="10.7109375" customWidth="1"/>
    <col min="7" max="7" width="17.7109375" customWidth="1"/>
    <col min="8" max="8" width="4.7109375" customWidth="1"/>
  </cols>
  <sheetData>
    <row r="1" spans="2:8" s="5" customFormat="1" x14ac:dyDescent="0.25">
      <c r="H1" s="70" t="s">
        <v>66</v>
      </c>
    </row>
    <row r="2" spans="2:8" s="5" customFormat="1" x14ac:dyDescent="0.25">
      <c r="B2" s="72" t="s">
        <v>29</v>
      </c>
      <c r="C2" s="245" t="s">
        <v>376</v>
      </c>
      <c r="D2" s="245"/>
      <c r="E2" s="72"/>
      <c r="F2" s="71"/>
    </row>
    <row r="3" spans="2:8" s="5" customFormat="1" x14ac:dyDescent="0.25">
      <c r="B3" s="72" t="s">
        <v>26</v>
      </c>
      <c r="C3" s="74" t="s">
        <v>377</v>
      </c>
      <c r="D3" s="75"/>
      <c r="E3" s="72"/>
      <c r="F3" s="71"/>
    </row>
    <row r="4" spans="2:8" s="5" customFormat="1" x14ac:dyDescent="0.25">
      <c r="B4" s="72" t="s">
        <v>159</v>
      </c>
      <c r="C4" s="74" t="s">
        <v>378</v>
      </c>
      <c r="D4" s="75"/>
      <c r="E4" s="72" t="s">
        <v>71</v>
      </c>
      <c r="F4" s="71" t="s">
        <v>135</v>
      </c>
    </row>
    <row r="5" spans="2:8" s="5" customFormat="1" x14ac:dyDescent="0.25">
      <c r="B5" s="72" t="s">
        <v>158</v>
      </c>
      <c r="C5" s="74" t="s">
        <v>379</v>
      </c>
      <c r="D5" s="75"/>
      <c r="E5" s="72" t="s">
        <v>314</v>
      </c>
      <c r="F5" s="71" t="s">
        <v>381</v>
      </c>
    </row>
    <row r="6" spans="2:8" ht="6" customHeight="1" x14ac:dyDescent="0.25"/>
    <row r="7" spans="2:8" ht="6" customHeight="1" x14ac:dyDescent="0.25">
      <c r="B7" s="77"/>
      <c r="C7" s="77"/>
      <c r="D7" s="77"/>
      <c r="E7" s="77"/>
      <c r="F7" s="77"/>
      <c r="G7" s="77"/>
    </row>
    <row r="8" spans="2:8" ht="30" x14ac:dyDescent="0.25">
      <c r="B8" s="79" t="s">
        <v>3</v>
      </c>
      <c r="C8" s="79"/>
      <c r="D8" s="80" t="s">
        <v>28</v>
      </c>
      <c r="E8" s="81" t="s">
        <v>38</v>
      </c>
      <c r="F8" s="81" t="s">
        <v>39</v>
      </c>
      <c r="G8" s="78" t="s">
        <v>384</v>
      </c>
    </row>
    <row r="9" spans="2:8" ht="15" customHeight="1" x14ac:dyDescent="0.25">
      <c r="B9" s="1" t="s">
        <v>12</v>
      </c>
      <c r="C9" s="1"/>
      <c r="D9" s="84">
        <v>0</v>
      </c>
      <c r="E9" s="85">
        <v>0</v>
      </c>
      <c r="F9" s="85">
        <v>0</v>
      </c>
      <c r="G9" s="82">
        <v>0</v>
      </c>
    </row>
    <row r="10" spans="2:8" ht="15" customHeight="1" x14ac:dyDescent="0.25">
      <c r="B10" s="1" t="s">
        <v>13</v>
      </c>
      <c r="C10" s="1"/>
      <c r="D10" s="84">
        <v>0</v>
      </c>
      <c r="E10" s="85">
        <v>0</v>
      </c>
      <c r="F10" s="85">
        <v>0</v>
      </c>
      <c r="G10" s="82">
        <v>0</v>
      </c>
    </row>
    <row r="11" spans="2:8" ht="15" customHeight="1" x14ac:dyDescent="0.25">
      <c r="B11" s="1" t="s">
        <v>347</v>
      </c>
      <c r="C11" s="1"/>
      <c r="D11" s="84">
        <v>13600</v>
      </c>
      <c r="E11" s="85">
        <v>2.9145147118702186E-3</v>
      </c>
      <c r="F11" s="85">
        <v>1.8750603190359984E-3</v>
      </c>
      <c r="G11" s="82">
        <v>13600</v>
      </c>
    </row>
    <row r="12" spans="2:8" ht="15" customHeight="1" x14ac:dyDescent="0.25">
      <c r="B12" s="1" t="s">
        <v>14</v>
      </c>
      <c r="C12" s="1"/>
      <c r="D12" s="84">
        <v>173900</v>
      </c>
      <c r="E12" s="85">
        <v>3.7267213852516981E-2</v>
      </c>
      <c r="F12" s="85">
        <v>2.3975955108850009E-2</v>
      </c>
      <c r="G12" s="82">
        <v>173900</v>
      </c>
    </row>
    <row r="13" spans="2:8" ht="15" customHeight="1" x14ac:dyDescent="0.25">
      <c r="B13" s="1" t="s">
        <v>15</v>
      </c>
      <c r="C13" s="1"/>
      <c r="D13" s="84">
        <v>61200</v>
      </c>
      <c r="E13" s="85">
        <v>1.3115316203415982E-2</v>
      </c>
      <c r="F13" s="85">
        <v>8.4377714356619928E-3</v>
      </c>
      <c r="G13" s="82">
        <v>61200</v>
      </c>
    </row>
    <row r="14" spans="2:8" ht="15" customHeight="1" x14ac:dyDescent="0.25">
      <c r="B14" s="1" t="s">
        <v>36</v>
      </c>
      <c r="C14" s="1"/>
      <c r="D14" s="84">
        <v>146900</v>
      </c>
      <c r="E14" s="85">
        <v>3.1481044939245223E-2</v>
      </c>
      <c r="F14" s="85">
        <v>2.0253408887234425E-2</v>
      </c>
      <c r="G14" s="82">
        <v>146900</v>
      </c>
    </row>
    <row r="15" spans="2:8" ht="15" customHeight="1" x14ac:dyDescent="0.25">
      <c r="B15" s="1" t="s">
        <v>37</v>
      </c>
      <c r="C15" s="1"/>
      <c r="D15" s="84">
        <v>1389400</v>
      </c>
      <c r="E15" s="85">
        <v>0.29775196622591776</v>
      </c>
      <c r="F15" s="85">
        <v>0.19155947112269237</v>
      </c>
      <c r="G15" s="82">
        <v>1389400</v>
      </c>
    </row>
    <row r="16" spans="2:8" ht="15" customHeight="1" x14ac:dyDescent="0.25">
      <c r="B16" s="1" t="s">
        <v>16</v>
      </c>
      <c r="C16" s="1"/>
      <c r="D16" s="84">
        <v>1814500</v>
      </c>
      <c r="E16" s="85">
        <v>0.38885198122709641</v>
      </c>
      <c r="F16" s="85">
        <v>0.2501688933007955</v>
      </c>
      <c r="G16" s="82">
        <v>1814500</v>
      </c>
    </row>
    <row r="17" spans="2:7" ht="15" customHeight="1" x14ac:dyDescent="0.25">
      <c r="B17" s="1" t="s">
        <v>17</v>
      </c>
      <c r="C17" s="1"/>
      <c r="D17" s="84">
        <v>96900</v>
      </c>
      <c r="E17" s="85">
        <v>2.0765917322075306E-2</v>
      </c>
      <c r="F17" s="85">
        <v>1.3359804773131489E-2</v>
      </c>
      <c r="G17" s="82">
        <v>96900</v>
      </c>
    </row>
    <row r="18" spans="2:7" ht="15" customHeight="1" x14ac:dyDescent="0.25">
      <c r="B18" s="1" t="s">
        <v>18</v>
      </c>
      <c r="C18" s="1"/>
      <c r="D18" s="84">
        <v>123500</v>
      </c>
      <c r="E18" s="85">
        <v>2.6466365214409704E-2</v>
      </c>
      <c r="F18" s="85">
        <v>1.7027202161834249E-2</v>
      </c>
      <c r="G18" s="82">
        <v>123500</v>
      </c>
    </row>
    <row r="19" spans="2:7" ht="15" customHeight="1" x14ac:dyDescent="0.25">
      <c r="B19" s="1" t="s">
        <v>351</v>
      </c>
      <c r="C19" s="1"/>
      <c r="D19" s="84">
        <v>76400</v>
      </c>
      <c r="E19" s="85">
        <v>1.6372714999035639E-2</v>
      </c>
      <c r="F19" s="85">
        <v>1.0533427086349285E-2</v>
      </c>
      <c r="G19" s="82">
        <v>76400</v>
      </c>
    </row>
    <row r="20" spans="2:7" ht="15" customHeight="1" x14ac:dyDescent="0.25">
      <c r="B20" s="1" t="s">
        <v>20</v>
      </c>
      <c r="C20" s="1"/>
      <c r="D20" s="84">
        <v>770000</v>
      </c>
      <c r="E20" s="85">
        <v>0.16501296530441678</v>
      </c>
      <c r="F20" s="85">
        <v>0.1061615033571852</v>
      </c>
      <c r="G20" s="82">
        <v>770000</v>
      </c>
    </row>
    <row r="21" spans="2:7" s="91" customFormat="1" ht="24" customHeight="1" x14ac:dyDescent="0.25">
      <c r="B21" s="240" t="s">
        <v>40</v>
      </c>
      <c r="C21" s="240"/>
      <c r="D21" s="89">
        <v>4666300</v>
      </c>
      <c r="E21" s="90">
        <v>1</v>
      </c>
      <c r="F21" s="90">
        <v>0.64335249755277057</v>
      </c>
      <c r="G21" s="86">
        <v>4666300</v>
      </c>
    </row>
    <row r="22" spans="2:7" ht="15" customHeight="1" x14ac:dyDescent="0.25">
      <c r="B22" s="1" t="s">
        <v>21</v>
      </c>
      <c r="C22" s="1"/>
      <c r="D22" s="84">
        <v>1922000</v>
      </c>
      <c r="E22" s="85"/>
      <c r="F22" s="85">
        <v>0.26499014214611682</v>
      </c>
      <c r="G22" s="82">
        <v>1922000</v>
      </c>
    </row>
    <row r="23" spans="2:7" ht="15" customHeight="1" x14ac:dyDescent="0.25">
      <c r="B23" s="1" t="s">
        <v>22</v>
      </c>
      <c r="C23" s="1"/>
      <c r="D23" s="84">
        <v>333100</v>
      </c>
      <c r="E23" s="85"/>
      <c r="F23" s="85">
        <v>4.5925190608153754E-2</v>
      </c>
      <c r="G23" s="82">
        <v>333100</v>
      </c>
    </row>
    <row r="24" spans="2:7" s="91" customFormat="1" ht="24" customHeight="1" x14ac:dyDescent="0.25">
      <c r="B24" s="240" t="s">
        <v>23</v>
      </c>
      <c r="C24" s="240"/>
      <c r="D24" s="89">
        <v>6921400</v>
      </c>
      <c r="E24" s="90"/>
      <c r="F24" s="90">
        <v>0.9542678303070411</v>
      </c>
      <c r="G24" s="86">
        <v>6921400</v>
      </c>
    </row>
    <row r="25" spans="2:7" ht="15" customHeight="1" x14ac:dyDescent="0.25">
      <c r="B25" s="1" t="s">
        <v>1</v>
      </c>
      <c r="C25" s="1"/>
      <c r="D25" s="84">
        <v>331700</v>
      </c>
      <c r="E25" s="85"/>
      <c r="F25" s="85">
        <v>4.5732169692958874E-2</v>
      </c>
      <c r="G25" s="82">
        <v>331700</v>
      </c>
    </row>
    <row r="26" spans="2:7" s="91" customFormat="1" ht="24" customHeight="1" x14ac:dyDescent="0.25">
      <c r="B26" s="240" t="s">
        <v>157</v>
      </c>
      <c r="C26" s="240"/>
      <c r="D26" s="89">
        <v>7253100</v>
      </c>
      <c r="E26" s="90"/>
      <c r="F26" s="90">
        <v>1</v>
      </c>
      <c r="G26" s="86">
        <v>7253100</v>
      </c>
    </row>
    <row r="27" spans="2:7" ht="15" customHeight="1" x14ac:dyDescent="0.25">
      <c r="B27" s="1" t="s">
        <v>24</v>
      </c>
      <c r="C27" s="1"/>
      <c r="D27" s="84">
        <v>0</v>
      </c>
      <c r="E27" s="85"/>
      <c r="F27" s="85">
        <v>0</v>
      </c>
      <c r="G27" s="82">
        <v>0</v>
      </c>
    </row>
    <row r="28" spans="2:7" s="91" customFormat="1" ht="24" customHeight="1" x14ac:dyDescent="0.25">
      <c r="B28" s="88" t="s">
        <v>156</v>
      </c>
      <c r="C28" s="88"/>
      <c r="D28" s="89">
        <v>7253100</v>
      </c>
      <c r="E28" s="90"/>
      <c r="F28" s="90"/>
      <c r="G28" s="86">
        <v>7253100</v>
      </c>
    </row>
    <row r="29" spans="2:7" ht="6" customHeight="1" x14ac:dyDescent="0.25">
      <c r="G29" s="92"/>
    </row>
    <row r="30" spans="2:7" ht="6" customHeight="1" x14ac:dyDescent="0.25">
      <c r="B30" s="77"/>
      <c r="C30" s="77"/>
      <c r="D30" s="77"/>
      <c r="E30" s="77"/>
      <c r="F30" s="77"/>
      <c r="G30" s="77"/>
    </row>
    <row r="31" spans="2:7" ht="21" customHeight="1" x14ac:dyDescent="0.25">
      <c r="B31" s="79" t="s">
        <v>34</v>
      </c>
      <c r="D31" s="93"/>
      <c r="G31" s="92"/>
    </row>
    <row r="32" spans="2:7" s="225" customFormat="1" ht="15" customHeight="1" x14ac:dyDescent="0.25">
      <c r="B32" s="225" t="s">
        <v>4</v>
      </c>
      <c r="D32" s="226" t="s">
        <v>381</v>
      </c>
      <c r="F32" s="227"/>
      <c r="G32" s="224" t="s">
        <v>471</v>
      </c>
    </row>
    <row r="33" spans="2:7" s="225" customFormat="1" ht="15" customHeight="1" x14ac:dyDescent="0.25">
      <c r="B33" s="225" t="s">
        <v>375</v>
      </c>
      <c r="D33" s="226" t="s">
        <v>381</v>
      </c>
      <c r="E33" s="228"/>
      <c r="F33" s="227"/>
      <c r="G33" s="224" t="s">
        <v>472</v>
      </c>
    </row>
    <row r="34" spans="2:7" ht="21" customHeight="1" x14ac:dyDescent="0.25">
      <c r="B34" s="79" t="s">
        <v>30</v>
      </c>
      <c r="D34" s="230">
        <v>326100</v>
      </c>
      <c r="E34" s="95"/>
      <c r="F34" s="95"/>
      <c r="G34" s="229">
        <v>326100</v>
      </c>
    </row>
    <row r="35" spans="2:7" ht="6" hidden="1" customHeight="1" x14ac:dyDescent="0.25">
      <c r="B35" s="1"/>
      <c r="D35" s="93"/>
      <c r="G35" s="92"/>
    </row>
    <row r="36" spans="2:7" ht="21" hidden="1" customHeight="1" x14ac:dyDescent="0.25">
      <c r="B36" s="79" t="s">
        <v>74</v>
      </c>
      <c r="D36" s="94">
        <v>0</v>
      </c>
      <c r="E36" s="95"/>
      <c r="F36" s="95"/>
      <c r="G36" s="92"/>
    </row>
    <row r="37" spans="2:7" ht="6" customHeight="1" x14ac:dyDescent="0.25">
      <c r="B37" s="1"/>
      <c r="D37" s="93"/>
      <c r="G37" s="92"/>
    </row>
    <row r="38" spans="2:7" ht="21" customHeight="1" x14ac:dyDescent="0.25">
      <c r="B38" s="79" t="s">
        <v>35</v>
      </c>
      <c r="D38" s="93"/>
      <c r="G38" s="92"/>
    </row>
    <row r="39" spans="2:7" x14ac:dyDescent="0.25">
      <c r="B39" s="223" t="s">
        <v>331</v>
      </c>
      <c r="D39" s="97">
        <v>0.17909744123289006</v>
      </c>
      <c r="G39" s="96">
        <v>0.17909744123289006</v>
      </c>
    </row>
    <row r="40" spans="2:7" ht="31.9" customHeight="1" x14ac:dyDescent="0.25">
      <c r="B40" s="79" t="s">
        <v>25</v>
      </c>
      <c r="D40" s="231"/>
      <c r="G40" s="232" t="s">
        <v>305</v>
      </c>
    </row>
    <row r="41" spans="2:7" x14ac:dyDescent="0.25">
      <c r="B41" s="99" t="s">
        <v>31</v>
      </c>
      <c r="C41" s="209"/>
      <c r="D41" s="100">
        <v>5439800</v>
      </c>
      <c r="G41" s="98">
        <v>5439800</v>
      </c>
    </row>
    <row r="42" spans="2:7" x14ac:dyDescent="0.25">
      <c r="B42" s="1" t="s">
        <v>33</v>
      </c>
      <c r="C42" s="56"/>
      <c r="D42" s="102">
        <v>7253100</v>
      </c>
      <c r="G42" s="101">
        <v>7253100</v>
      </c>
    </row>
    <row r="43" spans="2:7" x14ac:dyDescent="0.25">
      <c r="B43" s="104" t="s">
        <v>32</v>
      </c>
      <c r="C43" s="210"/>
      <c r="D43" s="100">
        <v>10879700</v>
      </c>
      <c r="G43" s="103">
        <v>10879700</v>
      </c>
    </row>
    <row r="44" spans="2:7" ht="6" customHeight="1" x14ac:dyDescent="0.25">
      <c r="G44" s="92"/>
    </row>
    <row r="45" spans="2:7" ht="6" customHeight="1" x14ac:dyDescent="0.25">
      <c r="B45" s="77"/>
      <c r="C45" s="77"/>
      <c r="D45" s="77"/>
      <c r="E45" s="77"/>
      <c r="F45" s="77"/>
      <c r="G45" s="77"/>
    </row>
  </sheetData>
  <mergeCells count="1">
    <mergeCell ref="C2:D2"/>
  </mergeCells>
  <hyperlinks>
    <hyperlink ref="H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12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4" customWidth="1"/>
    <col min="12" max="16384" width="8.85546875" style="5"/>
  </cols>
  <sheetData>
    <row r="1" spans="2:12" x14ac:dyDescent="0.25">
      <c r="B1" s="6"/>
      <c r="K1" s="70" t="s">
        <v>66</v>
      </c>
    </row>
    <row r="2" spans="2:12" s="79" customFormat="1" ht="36" customHeight="1" thickBot="1" x14ac:dyDescent="0.3">
      <c r="B2" s="175" t="s">
        <v>63</v>
      </c>
      <c r="C2" s="156" t="s">
        <v>3</v>
      </c>
      <c r="D2" s="157" t="s">
        <v>11</v>
      </c>
      <c r="E2" s="157" t="s">
        <v>147</v>
      </c>
      <c r="F2" s="157" t="s">
        <v>56</v>
      </c>
      <c r="G2" s="157" t="s">
        <v>6</v>
      </c>
      <c r="H2" s="157" t="s">
        <v>7</v>
      </c>
      <c r="I2" s="157" t="s">
        <v>8</v>
      </c>
      <c r="J2" s="157" t="s">
        <v>9</v>
      </c>
      <c r="K2" s="157" t="s">
        <v>10</v>
      </c>
    </row>
    <row r="3" spans="2:12" x14ac:dyDescent="0.25">
      <c r="B3" s="233" t="s">
        <v>376</v>
      </c>
      <c r="C3" s="234"/>
      <c r="D3" s="235">
        <v>7253161.7452909239</v>
      </c>
      <c r="E3" s="235">
        <v>0</v>
      </c>
      <c r="F3" s="235">
        <v>16646.2</v>
      </c>
      <c r="G3" s="235">
        <v>3553540.0516044381</v>
      </c>
      <c r="H3" s="235">
        <v>146936.84671327434</v>
      </c>
      <c r="I3" s="235">
        <v>0</v>
      </c>
      <c r="J3" s="235">
        <v>119526.765296</v>
      </c>
      <c r="K3" s="235">
        <v>3433158.0816772119</v>
      </c>
      <c r="L3" s="147"/>
    </row>
    <row r="4" spans="2:12" x14ac:dyDescent="0.25">
      <c r="B4" s="211" t="s">
        <v>384</v>
      </c>
      <c r="C4" s="212"/>
      <c r="D4" s="213">
        <v>7253161.7452909239</v>
      </c>
      <c r="E4" s="213">
        <v>0</v>
      </c>
      <c r="F4" s="213">
        <v>16646.2</v>
      </c>
      <c r="G4" s="213">
        <v>3553540.0516044381</v>
      </c>
      <c r="H4" s="213">
        <v>146936.84671327434</v>
      </c>
      <c r="I4" s="213">
        <v>0</v>
      </c>
      <c r="J4" s="213">
        <v>119526.765296</v>
      </c>
      <c r="K4" s="213">
        <v>3433158.0816772119</v>
      </c>
      <c r="L4" s="147"/>
    </row>
    <row r="5" spans="2:12" outlineLevel="1" x14ac:dyDescent="0.25">
      <c r="B5" s="179" t="s">
        <v>43</v>
      </c>
      <c r="C5" s="191" t="s">
        <v>170</v>
      </c>
      <c r="D5" s="192">
        <v>13642.180580894914</v>
      </c>
      <c r="E5" s="192">
        <v>0</v>
      </c>
      <c r="F5" s="192">
        <v>0</v>
      </c>
      <c r="G5" s="192">
        <v>13642.180580894914</v>
      </c>
      <c r="H5" s="192">
        <v>0</v>
      </c>
      <c r="I5" s="192">
        <v>0</v>
      </c>
      <c r="J5" s="192">
        <v>0</v>
      </c>
      <c r="K5" s="192">
        <v>0</v>
      </c>
      <c r="L5" s="147"/>
    </row>
    <row r="6" spans="2:12" hidden="1" outlineLevel="2" x14ac:dyDescent="0.25">
      <c r="B6" s="193" t="s">
        <v>171</v>
      </c>
      <c r="C6" s="194" t="s">
        <v>174</v>
      </c>
      <c r="D6" s="195">
        <v>5456.8722323579668</v>
      </c>
      <c r="E6" s="195">
        <v>0</v>
      </c>
      <c r="F6" s="195">
        <v>0</v>
      </c>
      <c r="G6" s="195">
        <v>5456.8722323579668</v>
      </c>
      <c r="H6" s="195">
        <v>0</v>
      </c>
      <c r="I6" s="195">
        <v>0</v>
      </c>
      <c r="J6" s="195">
        <v>0</v>
      </c>
      <c r="K6" s="195">
        <v>0</v>
      </c>
      <c r="L6" s="147"/>
    </row>
    <row r="7" spans="2:12" hidden="1" outlineLevel="3" x14ac:dyDescent="0.25">
      <c r="B7" s="196" t="s">
        <v>172</v>
      </c>
      <c r="C7" s="197" t="s">
        <v>174</v>
      </c>
      <c r="D7" s="198">
        <v>5456.8722323579668</v>
      </c>
      <c r="E7" s="198">
        <v>0</v>
      </c>
      <c r="F7" s="198">
        <v>0</v>
      </c>
      <c r="G7" s="198">
        <v>5456.8722323579668</v>
      </c>
      <c r="H7" s="198">
        <v>0</v>
      </c>
      <c r="I7" s="198">
        <v>0</v>
      </c>
      <c r="J7" s="198">
        <v>0</v>
      </c>
      <c r="K7" s="198">
        <v>0</v>
      </c>
      <c r="L7" s="147"/>
    </row>
    <row r="8" spans="2:12" hidden="1" outlineLevel="4" x14ac:dyDescent="0.25">
      <c r="B8" s="199" t="s">
        <v>173</v>
      </c>
      <c r="C8" s="200" t="s">
        <v>404</v>
      </c>
      <c r="D8" s="201">
        <v>5456.8722323579668</v>
      </c>
      <c r="E8" s="201"/>
      <c r="F8" s="201">
        <v>0</v>
      </c>
      <c r="G8" s="201">
        <v>5456.8722323579668</v>
      </c>
      <c r="H8" s="201"/>
      <c r="I8" s="201"/>
      <c r="J8" s="201"/>
      <c r="K8" s="201"/>
    </row>
    <row r="9" spans="2:12" hidden="1" outlineLevel="2" x14ac:dyDescent="0.25">
      <c r="B9" s="193" t="s">
        <v>175</v>
      </c>
      <c r="C9" s="194" t="s">
        <v>178</v>
      </c>
      <c r="D9" s="195">
        <v>8185.308348536948</v>
      </c>
      <c r="E9" s="195">
        <v>0</v>
      </c>
      <c r="F9" s="195">
        <v>0</v>
      </c>
      <c r="G9" s="195">
        <v>8185.308348536948</v>
      </c>
      <c r="H9" s="195">
        <v>0</v>
      </c>
      <c r="I9" s="195">
        <v>0</v>
      </c>
      <c r="J9" s="195">
        <v>0</v>
      </c>
      <c r="K9" s="195">
        <v>0</v>
      </c>
      <c r="L9" s="147"/>
    </row>
    <row r="10" spans="2:12" hidden="1" outlineLevel="3" x14ac:dyDescent="0.25">
      <c r="B10" s="196" t="s">
        <v>176</v>
      </c>
      <c r="C10" s="197" t="s">
        <v>178</v>
      </c>
      <c r="D10" s="198">
        <v>8185.308348536948</v>
      </c>
      <c r="E10" s="198">
        <v>0</v>
      </c>
      <c r="F10" s="198">
        <v>0</v>
      </c>
      <c r="G10" s="198">
        <v>8185.308348536948</v>
      </c>
      <c r="H10" s="198">
        <v>0</v>
      </c>
      <c r="I10" s="198">
        <v>0</v>
      </c>
      <c r="J10" s="198">
        <v>0</v>
      </c>
      <c r="K10" s="198">
        <v>0</v>
      </c>
      <c r="L10" s="147"/>
    </row>
    <row r="11" spans="2:12" hidden="1" outlineLevel="4" x14ac:dyDescent="0.25">
      <c r="B11" s="199" t="s">
        <v>177</v>
      </c>
      <c r="C11" s="200" t="s">
        <v>405</v>
      </c>
      <c r="D11" s="201">
        <v>8185.308348536948</v>
      </c>
      <c r="E11" s="201"/>
      <c r="F11" s="201">
        <v>0</v>
      </c>
      <c r="G11" s="201">
        <v>8185.308348536948</v>
      </c>
      <c r="H11" s="201"/>
      <c r="I11" s="201"/>
      <c r="J11" s="201"/>
      <c r="K11" s="201"/>
    </row>
    <row r="12" spans="2:12" outlineLevel="1" collapsed="1" x14ac:dyDescent="0.25">
      <c r="B12" s="179" t="s">
        <v>44</v>
      </c>
      <c r="C12" s="191" t="s">
        <v>14</v>
      </c>
      <c r="D12" s="192">
        <v>173937.80240641016</v>
      </c>
      <c r="E12" s="192">
        <v>0</v>
      </c>
      <c r="F12" s="192">
        <v>0</v>
      </c>
      <c r="G12" s="192">
        <v>173937.80240641016</v>
      </c>
      <c r="H12" s="192">
        <v>0</v>
      </c>
      <c r="I12" s="192">
        <v>0</v>
      </c>
      <c r="J12" s="192">
        <v>0</v>
      </c>
      <c r="K12" s="192">
        <v>0</v>
      </c>
      <c r="L12" s="147"/>
    </row>
    <row r="13" spans="2:12" hidden="1" outlineLevel="2" x14ac:dyDescent="0.25">
      <c r="B13" s="193" t="s">
        <v>179</v>
      </c>
      <c r="C13" s="194" t="s">
        <v>230</v>
      </c>
      <c r="D13" s="195">
        <v>17393.780240641016</v>
      </c>
      <c r="E13" s="195">
        <v>0</v>
      </c>
      <c r="F13" s="195">
        <v>0</v>
      </c>
      <c r="G13" s="195">
        <v>17393.780240641016</v>
      </c>
      <c r="H13" s="195">
        <v>0</v>
      </c>
      <c r="I13" s="195">
        <v>0</v>
      </c>
      <c r="J13" s="195">
        <v>0</v>
      </c>
      <c r="K13" s="195">
        <v>0</v>
      </c>
      <c r="L13" s="147"/>
    </row>
    <row r="14" spans="2:12" hidden="1" outlineLevel="3" x14ac:dyDescent="0.25">
      <c r="B14" s="196" t="s">
        <v>180</v>
      </c>
      <c r="C14" s="197" t="s">
        <v>182</v>
      </c>
      <c r="D14" s="198">
        <v>17393.780240641016</v>
      </c>
      <c r="E14" s="198">
        <v>0</v>
      </c>
      <c r="F14" s="198">
        <v>0</v>
      </c>
      <c r="G14" s="198">
        <v>17393.780240641016</v>
      </c>
      <c r="H14" s="198">
        <v>0</v>
      </c>
      <c r="I14" s="198">
        <v>0</v>
      </c>
      <c r="J14" s="198">
        <v>0</v>
      </c>
      <c r="K14" s="198">
        <v>0</v>
      </c>
      <c r="L14" s="147"/>
    </row>
    <row r="15" spans="2:12" hidden="1" outlineLevel="4" x14ac:dyDescent="0.25">
      <c r="B15" s="199" t="s">
        <v>181</v>
      </c>
      <c r="C15" s="200" t="s">
        <v>406</v>
      </c>
      <c r="D15" s="201">
        <v>17393.780240641016</v>
      </c>
      <c r="E15" s="201"/>
      <c r="F15" s="201">
        <v>0</v>
      </c>
      <c r="G15" s="201">
        <v>17393.780240641016</v>
      </c>
      <c r="H15" s="201"/>
      <c r="I15" s="201"/>
      <c r="J15" s="201"/>
      <c r="K15" s="201"/>
    </row>
    <row r="16" spans="2:12" hidden="1" outlineLevel="2" x14ac:dyDescent="0.25">
      <c r="B16" s="193" t="s">
        <v>183</v>
      </c>
      <c r="C16" s="194" t="s">
        <v>231</v>
      </c>
      <c r="D16" s="195">
        <v>156544.02216576916</v>
      </c>
      <c r="E16" s="195">
        <v>0</v>
      </c>
      <c r="F16" s="195">
        <v>0</v>
      </c>
      <c r="G16" s="195">
        <v>156544.02216576916</v>
      </c>
      <c r="H16" s="195">
        <v>0</v>
      </c>
      <c r="I16" s="195">
        <v>0</v>
      </c>
      <c r="J16" s="195">
        <v>0</v>
      </c>
      <c r="K16" s="195">
        <v>0</v>
      </c>
      <c r="L16" s="147"/>
    </row>
    <row r="17" spans="2:12" hidden="1" outlineLevel="3" x14ac:dyDescent="0.25">
      <c r="B17" s="196" t="s">
        <v>184</v>
      </c>
      <c r="C17" s="197" t="s">
        <v>186</v>
      </c>
      <c r="D17" s="198">
        <v>156544.02216576916</v>
      </c>
      <c r="E17" s="198">
        <v>0</v>
      </c>
      <c r="F17" s="198">
        <v>0</v>
      </c>
      <c r="G17" s="198">
        <v>156544.02216576916</v>
      </c>
      <c r="H17" s="198">
        <v>0</v>
      </c>
      <c r="I17" s="198">
        <v>0</v>
      </c>
      <c r="J17" s="198">
        <v>0</v>
      </c>
      <c r="K17" s="198">
        <v>0</v>
      </c>
      <c r="L17" s="147"/>
    </row>
    <row r="18" spans="2:12" hidden="1" outlineLevel="4" x14ac:dyDescent="0.25">
      <c r="B18" s="199" t="s">
        <v>185</v>
      </c>
      <c r="C18" s="200" t="s">
        <v>407</v>
      </c>
      <c r="D18" s="201">
        <v>156544.02216576916</v>
      </c>
      <c r="E18" s="201"/>
      <c r="F18" s="201">
        <v>0</v>
      </c>
      <c r="G18" s="201">
        <v>156544.02216576916</v>
      </c>
      <c r="H18" s="201"/>
      <c r="I18" s="201"/>
      <c r="J18" s="201"/>
      <c r="K18" s="201"/>
    </row>
    <row r="19" spans="2:12" outlineLevel="1" collapsed="1" x14ac:dyDescent="0.25">
      <c r="B19" s="179" t="s">
        <v>45</v>
      </c>
      <c r="C19" s="191" t="s">
        <v>15</v>
      </c>
      <c r="D19" s="192">
        <v>61167.489238709684</v>
      </c>
      <c r="E19" s="192">
        <v>0</v>
      </c>
      <c r="F19" s="192">
        <v>440</v>
      </c>
      <c r="G19" s="192">
        <v>61167.489238709684</v>
      </c>
      <c r="H19" s="192">
        <v>0</v>
      </c>
      <c r="I19" s="192">
        <v>0</v>
      </c>
      <c r="J19" s="192">
        <v>0</v>
      </c>
      <c r="K19" s="192">
        <v>0</v>
      </c>
      <c r="L19" s="147"/>
    </row>
    <row r="20" spans="2:12" hidden="1" outlineLevel="2" x14ac:dyDescent="0.25">
      <c r="B20" s="193" t="s">
        <v>187</v>
      </c>
      <c r="C20" s="194" t="s">
        <v>232</v>
      </c>
      <c r="D20" s="195">
        <v>24079.053367741933</v>
      </c>
      <c r="E20" s="195">
        <v>0</v>
      </c>
      <c r="F20" s="195">
        <v>160</v>
      </c>
      <c r="G20" s="195">
        <v>24079.053367741933</v>
      </c>
      <c r="H20" s="195">
        <v>0</v>
      </c>
      <c r="I20" s="195">
        <v>0</v>
      </c>
      <c r="J20" s="195">
        <v>0</v>
      </c>
      <c r="K20" s="195">
        <v>0</v>
      </c>
      <c r="L20" s="147"/>
    </row>
    <row r="21" spans="2:12" hidden="1" outlineLevel="3" x14ac:dyDescent="0.25">
      <c r="B21" s="196" t="s">
        <v>188</v>
      </c>
      <c r="C21" s="197" t="s">
        <v>190</v>
      </c>
      <c r="D21" s="198">
        <v>2719.5623225806457</v>
      </c>
      <c r="E21" s="198">
        <v>0</v>
      </c>
      <c r="F21" s="198">
        <v>40</v>
      </c>
      <c r="G21" s="198">
        <v>2719.5623225806457</v>
      </c>
      <c r="H21" s="198">
        <v>0</v>
      </c>
      <c r="I21" s="198">
        <v>0</v>
      </c>
      <c r="J21" s="198">
        <v>0</v>
      </c>
      <c r="K21" s="198">
        <v>0</v>
      </c>
      <c r="L21" s="147"/>
    </row>
    <row r="22" spans="2:12" hidden="1" outlineLevel="4" x14ac:dyDescent="0.25">
      <c r="B22" s="199" t="s">
        <v>189</v>
      </c>
      <c r="C22" s="200" t="s">
        <v>408</v>
      </c>
      <c r="D22" s="201">
        <v>2719.5623225806457</v>
      </c>
      <c r="E22" s="201"/>
      <c r="F22" s="201">
        <v>40</v>
      </c>
      <c r="G22" s="201">
        <v>2719.5623225806457</v>
      </c>
      <c r="H22" s="201"/>
      <c r="I22" s="201"/>
      <c r="J22" s="201"/>
      <c r="K22" s="201"/>
    </row>
    <row r="23" spans="2:12" hidden="1" outlineLevel="3" x14ac:dyDescent="0.25">
      <c r="B23" s="196" t="s">
        <v>191</v>
      </c>
      <c r="C23" s="197" t="s">
        <v>193</v>
      </c>
      <c r="D23" s="198">
        <v>21359.491045161289</v>
      </c>
      <c r="E23" s="198">
        <v>0</v>
      </c>
      <c r="F23" s="198">
        <v>120</v>
      </c>
      <c r="G23" s="198">
        <v>21359.491045161289</v>
      </c>
      <c r="H23" s="198">
        <v>0</v>
      </c>
      <c r="I23" s="198">
        <v>0</v>
      </c>
      <c r="J23" s="198">
        <v>0</v>
      </c>
      <c r="K23" s="198">
        <v>0</v>
      </c>
      <c r="L23" s="147"/>
    </row>
    <row r="24" spans="2:12" hidden="1" outlineLevel="4" x14ac:dyDescent="0.25">
      <c r="B24" s="199" t="s">
        <v>192</v>
      </c>
      <c r="C24" s="200" t="s">
        <v>409</v>
      </c>
      <c r="D24" s="201">
        <v>21359.491045161289</v>
      </c>
      <c r="E24" s="201"/>
      <c r="F24" s="201">
        <v>120</v>
      </c>
      <c r="G24" s="201">
        <v>21359.491045161289</v>
      </c>
      <c r="H24" s="201"/>
      <c r="I24" s="201"/>
      <c r="J24" s="201"/>
      <c r="K24" s="201"/>
    </row>
    <row r="25" spans="2:12" hidden="1" outlineLevel="2" x14ac:dyDescent="0.25">
      <c r="B25" s="193" t="s">
        <v>194</v>
      </c>
      <c r="C25" s="194" t="s">
        <v>233</v>
      </c>
      <c r="D25" s="195">
        <v>34271.341625806454</v>
      </c>
      <c r="E25" s="195">
        <v>0</v>
      </c>
      <c r="F25" s="195">
        <v>240</v>
      </c>
      <c r="G25" s="195">
        <v>34271.341625806454</v>
      </c>
      <c r="H25" s="195">
        <v>0</v>
      </c>
      <c r="I25" s="195">
        <v>0</v>
      </c>
      <c r="J25" s="195">
        <v>0</v>
      </c>
      <c r="K25" s="195">
        <v>0</v>
      </c>
      <c r="L25" s="147"/>
    </row>
    <row r="26" spans="2:12" hidden="1" outlineLevel="3" x14ac:dyDescent="0.25">
      <c r="B26" s="196" t="s">
        <v>236</v>
      </c>
      <c r="C26" s="197" t="s">
        <v>197</v>
      </c>
      <c r="D26" s="198">
        <v>5439.1246451612915</v>
      </c>
      <c r="E26" s="198">
        <v>0</v>
      </c>
      <c r="F26" s="198">
        <v>80</v>
      </c>
      <c r="G26" s="198">
        <v>5439.1246451612915</v>
      </c>
      <c r="H26" s="198">
        <v>0</v>
      </c>
      <c r="I26" s="198">
        <v>0</v>
      </c>
      <c r="J26" s="198">
        <v>0</v>
      </c>
      <c r="K26" s="198">
        <v>0</v>
      </c>
      <c r="L26" s="147"/>
    </row>
    <row r="27" spans="2:12" hidden="1" outlineLevel="4" x14ac:dyDescent="0.25">
      <c r="B27" s="199" t="s">
        <v>237</v>
      </c>
      <c r="C27" s="200" t="s">
        <v>410</v>
      </c>
      <c r="D27" s="201">
        <v>5439.1246451612915</v>
      </c>
      <c r="E27" s="201"/>
      <c r="F27" s="201">
        <v>80</v>
      </c>
      <c r="G27" s="201">
        <v>5439.1246451612915</v>
      </c>
      <c r="H27" s="201"/>
      <c r="I27" s="201"/>
      <c r="J27" s="201"/>
      <c r="K27" s="201"/>
    </row>
    <row r="28" spans="2:12" hidden="1" outlineLevel="3" x14ac:dyDescent="0.25">
      <c r="B28" s="196" t="s">
        <v>195</v>
      </c>
      <c r="C28" s="197" t="s">
        <v>197</v>
      </c>
      <c r="D28" s="198">
        <v>28832.216980645164</v>
      </c>
      <c r="E28" s="198">
        <v>0</v>
      </c>
      <c r="F28" s="198">
        <v>160</v>
      </c>
      <c r="G28" s="198">
        <v>28832.216980645164</v>
      </c>
      <c r="H28" s="198">
        <v>0</v>
      </c>
      <c r="I28" s="198">
        <v>0</v>
      </c>
      <c r="J28" s="198">
        <v>0</v>
      </c>
      <c r="K28" s="198">
        <v>0</v>
      </c>
      <c r="L28" s="147"/>
    </row>
    <row r="29" spans="2:12" hidden="1" outlineLevel="4" x14ac:dyDescent="0.25">
      <c r="B29" s="199" t="s">
        <v>196</v>
      </c>
      <c r="C29" s="200" t="s">
        <v>411</v>
      </c>
      <c r="D29" s="201">
        <v>28832.216980645164</v>
      </c>
      <c r="E29" s="201"/>
      <c r="F29" s="201">
        <v>160</v>
      </c>
      <c r="G29" s="201">
        <v>28832.216980645164</v>
      </c>
      <c r="H29" s="201"/>
      <c r="I29" s="201"/>
      <c r="J29" s="201"/>
      <c r="K29" s="201"/>
    </row>
    <row r="30" spans="2:12" hidden="1" outlineLevel="2" x14ac:dyDescent="0.25">
      <c r="B30" s="193" t="s">
        <v>234</v>
      </c>
      <c r="C30" s="194" t="s">
        <v>235</v>
      </c>
      <c r="D30" s="195">
        <v>2817.0942451612909</v>
      </c>
      <c r="E30" s="195">
        <v>0</v>
      </c>
      <c r="F30" s="195">
        <v>40</v>
      </c>
      <c r="G30" s="195">
        <v>2817.0942451612909</v>
      </c>
      <c r="H30" s="195">
        <v>0</v>
      </c>
      <c r="I30" s="195">
        <v>0</v>
      </c>
      <c r="J30" s="195">
        <v>0</v>
      </c>
      <c r="K30" s="195">
        <v>0</v>
      </c>
      <c r="L30" s="147"/>
    </row>
    <row r="31" spans="2:12" hidden="1" outlineLevel="3" x14ac:dyDescent="0.25">
      <c r="B31" s="196" t="s">
        <v>240</v>
      </c>
      <c r="C31" s="197" t="s">
        <v>241</v>
      </c>
      <c r="D31" s="198">
        <v>2817.0942451612909</v>
      </c>
      <c r="E31" s="198">
        <v>0</v>
      </c>
      <c r="F31" s="198">
        <v>40</v>
      </c>
      <c r="G31" s="198">
        <v>2817.0942451612909</v>
      </c>
      <c r="H31" s="198">
        <v>0</v>
      </c>
      <c r="I31" s="198">
        <v>0</v>
      </c>
      <c r="J31" s="198">
        <v>0</v>
      </c>
      <c r="K31" s="198">
        <v>0</v>
      </c>
      <c r="L31" s="147"/>
    </row>
    <row r="32" spans="2:12" hidden="1" outlineLevel="4" x14ac:dyDescent="0.25">
      <c r="B32" s="199" t="s">
        <v>242</v>
      </c>
      <c r="C32" s="200" t="s">
        <v>412</v>
      </c>
      <c r="D32" s="201">
        <v>2817.0942451612909</v>
      </c>
      <c r="E32" s="201"/>
      <c r="F32" s="201">
        <v>40</v>
      </c>
      <c r="G32" s="201">
        <v>2817.0942451612909</v>
      </c>
      <c r="H32" s="201"/>
      <c r="I32" s="201"/>
      <c r="J32" s="201"/>
      <c r="K32" s="201"/>
    </row>
    <row r="33" spans="2:12" outlineLevel="1" collapsed="1" x14ac:dyDescent="0.25">
      <c r="B33" s="179" t="s">
        <v>46</v>
      </c>
      <c r="C33" s="191" t="s">
        <v>198</v>
      </c>
      <c r="D33" s="192">
        <v>146936.84671327434</v>
      </c>
      <c r="E33" s="192">
        <v>0</v>
      </c>
      <c r="F33" s="192">
        <v>0</v>
      </c>
      <c r="G33" s="192">
        <v>0</v>
      </c>
      <c r="H33" s="192">
        <v>146936.84671327434</v>
      </c>
      <c r="I33" s="192">
        <v>0</v>
      </c>
      <c r="J33" s="192">
        <v>0</v>
      </c>
      <c r="K33" s="192">
        <v>0</v>
      </c>
      <c r="L33" s="147"/>
    </row>
    <row r="34" spans="2:12" hidden="1" outlineLevel="2" x14ac:dyDescent="0.25">
      <c r="B34" s="193" t="s">
        <v>238</v>
      </c>
      <c r="C34" s="194" t="s">
        <v>239</v>
      </c>
      <c r="D34" s="195">
        <v>146936.84671327434</v>
      </c>
      <c r="E34" s="195">
        <v>0</v>
      </c>
      <c r="F34" s="195">
        <v>0</v>
      </c>
      <c r="G34" s="195">
        <v>0</v>
      </c>
      <c r="H34" s="195">
        <v>146936.84671327434</v>
      </c>
      <c r="I34" s="195">
        <v>0</v>
      </c>
      <c r="J34" s="195">
        <v>0</v>
      </c>
      <c r="K34" s="195">
        <v>0</v>
      </c>
      <c r="L34" s="147"/>
    </row>
    <row r="35" spans="2:12" hidden="1" outlineLevel="3" x14ac:dyDescent="0.25">
      <c r="B35" s="196" t="s">
        <v>257</v>
      </c>
      <c r="C35" s="197" t="s">
        <v>258</v>
      </c>
      <c r="D35" s="198">
        <v>127011.56413097345</v>
      </c>
      <c r="E35" s="198">
        <v>0</v>
      </c>
      <c r="F35" s="198">
        <v>0</v>
      </c>
      <c r="G35" s="198">
        <v>0</v>
      </c>
      <c r="H35" s="198">
        <v>127011.56413097345</v>
      </c>
      <c r="I35" s="198">
        <v>0</v>
      </c>
      <c r="J35" s="198">
        <v>0</v>
      </c>
      <c r="K35" s="198">
        <v>0</v>
      </c>
      <c r="L35" s="147"/>
    </row>
    <row r="36" spans="2:12" hidden="1" outlineLevel="4" x14ac:dyDescent="0.25">
      <c r="B36" s="199" t="s">
        <v>261</v>
      </c>
      <c r="C36" s="200" t="s">
        <v>417</v>
      </c>
      <c r="D36" s="201">
        <v>127011.56413097345</v>
      </c>
      <c r="E36" s="201"/>
      <c r="F36" s="201"/>
      <c r="G36" s="201"/>
      <c r="H36" s="201">
        <v>127011.56413097345</v>
      </c>
      <c r="I36" s="201"/>
      <c r="J36" s="201"/>
      <c r="K36" s="201"/>
    </row>
    <row r="37" spans="2:12" hidden="1" outlineLevel="3" x14ac:dyDescent="0.25">
      <c r="B37" s="196" t="s">
        <v>259</v>
      </c>
      <c r="C37" s="197" t="s">
        <v>260</v>
      </c>
      <c r="D37" s="198">
        <v>19925.28258230089</v>
      </c>
      <c r="E37" s="198">
        <v>0</v>
      </c>
      <c r="F37" s="198">
        <v>0</v>
      </c>
      <c r="G37" s="198">
        <v>0</v>
      </c>
      <c r="H37" s="198">
        <v>19925.28258230089</v>
      </c>
      <c r="I37" s="198">
        <v>0</v>
      </c>
      <c r="J37" s="198">
        <v>0</v>
      </c>
      <c r="K37" s="198">
        <v>0</v>
      </c>
      <c r="L37" s="147"/>
    </row>
    <row r="38" spans="2:12" hidden="1" outlineLevel="4" x14ac:dyDescent="0.25">
      <c r="B38" s="199" t="s">
        <v>262</v>
      </c>
      <c r="C38" s="200" t="s">
        <v>422</v>
      </c>
      <c r="D38" s="201">
        <v>19925.28258230089</v>
      </c>
      <c r="E38" s="201"/>
      <c r="F38" s="201"/>
      <c r="G38" s="201"/>
      <c r="H38" s="201">
        <v>19925.28258230089</v>
      </c>
      <c r="I38" s="201"/>
      <c r="J38" s="201"/>
      <c r="K38" s="201"/>
    </row>
    <row r="39" spans="2:12" outlineLevel="1" collapsed="1" x14ac:dyDescent="0.25">
      <c r="B39" s="179" t="s">
        <v>47</v>
      </c>
      <c r="C39" s="191" t="s">
        <v>199</v>
      </c>
      <c r="D39" s="192">
        <v>1389426.2274102001</v>
      </c>
      <c r="E39" s="192">
        <v>0</v>
      </c>
      <c r="F39" s="192">
        <v>7090.2</v>
      </c>
      <c r="G39" s="192">
        <v>1280252.1486742001</v>
      </c>
      <c r="H39" s="192">
        <v>0</v>
      </c>
      <c r="I39" s="192">
        <v>0</v>
      </c>
      <c r="J39" s="192">
        <v>109174.078736</v>
      </c>
      <c r="K39" s="192">
        <v>0</v>
      </c>
      <c r="L39" s="147"/>
    </row>
    <row r="40" spans="2:12" hidden="1" outlineLevel="2" x14ac:dyDescent="0.25">
      <c r="B40" s="193" t="s">
        <v>200</v>
      </c>
      <c r="C40" s="194" t="s">
        <v>243</v>
      </c>
      <c r="D40" s="195">
        <v>87309.861206200017</v>
      </c>
      <c r="E40" s="195">
        <v>0</v>
      </c>
      <c r="F40" s="195">
        <v>320</v>
      </c>
      <c r="G40" s="195">
        <v>87309.861206200017</v>
      </c>
      <c r="H40" s="195">
        <v>0</v>
      </c>
      <c r="I40" s="195">
        <v>0</v>
      </c>
      <c r="J40" s="195">
        <v>0</v>
      </c>
      <c r="K40" s="195">
        <v>0</v>
      </c>
      <c r="L40" s="147"/>
    </row>
    <row r="41" spans="2:12" hidden="1" outlineLevel="3" x14ac:dyDescent="0.25">
      <c r="B41" s="196" t="s">
        <v>201</v>
      </c>
      <c r="C41" s="197" t="s">
        <v>264</v>
      </c>
      <c r="D41" s="198">
        <v>21146.70752</v>
      </c>
      <c r="E41" s="198">
        <v>0</v>
      </c>
      <c r="F41" s="198">
        <v>320</v>
      </c>
      <c r="G41" s="198">
        <v>21146.70752</v>
      </c>
      <c r="H41" s="198">
        <v>0</v>
      </c>
      <c r="I41" s="198">
        <v>0</v>
      </c>
      <c r="J41" s="198">
        <v>0</v>
      </c>
      <c r="K41" s="198">
        <v>0</v>
      </c>
      <c r="L41" s="147"/>
    </row>
    <row r="42" spans="2:12" hidden="1" outlineLevel="4" x14ac:dyDescent="0.25">
      <c r="B42" s="199" t="s">
        <v>202</v>
      </c>
      <c r="C42" s="200" t="s">
        <v>423</v>
      </c>
      <c r="D42" s="201">
        <v>21146.70752</v>
      </c>
      <c r="E42" s="201"/>
      <c r="F42" s="201">
        <v>320</v>
      </c>
      <c r="G42" s="201">
        <v>21146.70752</v>
      </c>
      <c r="H42" s="201"/>
      <c r="I42" s="201"/>
      <c r="J42" s="201"/>
      <c r="K42" s="201"/>
    </row>
    <row r="43" spans="2:12" hidden="1" outlineLevel="3" x14ac:dyDescent="0.25">
      <c r="B43" s="196" t="s">
        <v>203</v>
      </c>
      <c r="C43" s="197" t="s">
        <v>205</v>
      </c>
      <c r="D43" s="198">
        <v>66163.153686200021</v>
      </c>
      <c r="E43" s="198">
        <v>0</v>
      </c>
      <c r="F43" s="198">
        <v>0</v>
      </c>
      <c r="G43" s="198">
        <v>66163.153686200021</v>
      </c>
      <c r="H43" s="198">
        <v>0</v>
      </c>
      <c r="I43" s="198">
        <v>0</v>
      </c>
      <c r="J43" s="198">
        <v>0</v>
      </c>
      <c r="K43" s="198">
        <v>0</v>
      </c>
      <c r="L43" s="147"/>
    </row>
    <row r="44" spans="2:12" hidden="1" outlineLevel="4" x14ac:dyDescent="0.25">
      <c r="B44" s="199" t="s">
        <v>204</v>
      </c>
      <c r="C44" s="200" t="s">
        <v>425</v>
      </c>
      <c r="D44" s="201">
        <v>66163.153686200021</v>
      </c>
      <c r="E44" s="201"/>
      <c r="F44" s="201">
        <v>0</v>
      </c>
      <c r="G44" s="201">
        <v>66163.153686200021</v>
      </c>
      <c r="H44" s="201"/>
      <c r="I44" s="201"/>
      <c r="J44" s="201"/>
      <c r="K44" s="201"/>
    </row>
    <row r="45" spans="2:12" hidden="1" outlineLevel="2" x14ac:dyDescent="0.25">
      <c r="B45" s="193" t="s">
        <v>206</v>
      </c>
      <c r="C45" s="194" t="s">
        <v>244</v>
      </c>
      <c r="D45" s="195">
        <v>1302116.3662039998</v>
      </c>
      <c r="E45" s="195">
        <v>0</v>
      </c>
      <c r="F45" s="195">
        <v>6770.2</v>
      </c>
      <c r="G45" s="195">
        <v>1192942.2874679998</v>
      </c>
      <c r="H45" s="195">
        <v>0</v>
      </c>
      <c r="I45" s="195">
        <v>0</v>
      </c>
      <c r="J45" s="195">
        <v>109174.078736</v>
      </c>
      <c r="K45" s="195">
        <v>0</v>
      </c>
      <c r="L45" s="147"/>
    </row>
    <row r="46" spans="2:12" hidden="1" outlineLevel="3" x14ac:dyDescent="0.25">
      <c r="B46" s="196" t="s">
        <v>207</v>
      </c>
      <c r="C46" s="197" t="s">
        <v>270</v>
      </c>
      <c r="D46" s="198">
        <v>50429.075215999997</v>
      </c>
      <c r="E46" s="198">
        <v>0</v>
      </c>
      <c r="F46" s="198">
        <v>262.2</v>
      </c>
      <c r="G46" s="198">
        <v>46200.921919999993</v>
      </c>
      <c r="H46" s="198">
        <v>0</v>
      </c>
      <c r="I46" s="198">
        <v>0</v>
      </c>
      <c r="J46" s="198">
        <v>4228.1532960000004</v>
      </c>
      <c r="K46" s="198">
        <v>0</v>
      </c>
      <c r="L46" s="147"/>
    </row>
    <row r="47" spans="2:12" hidden="1" outlineLevel="4" x14ac:dyDescent="0.25">
      <c r="B47" s="199" t="s">
        <v>287</v>
      </c>
      <c r="C47" s="200" t="s">
        <v>430</v>
      </c>
      <c r="D47" s="201">
        <v>50429.075215999997</v>
      </c>
      <c r="E47" s="201"/>
      <c r="F47" s="201">
        <v>262.2</v>
      </c>
      <c r="G47" s="201">
        <v>46200.921919999993</v>
      </c>
      <c r="H47" s="201"/>
      <c r="I47" s="201"/>
      <c r="J47" s="201">
        <v>4228.1532960000004</v>
      </c>
      <c r="K47" s="201"/>
    </row>
    <row r="48" spans="2:12" hidden="1" outlineLevel="3" x14ac:dyDescent="0.25">
      <c r="B48" s="196" t="s">
        <v>272</v>
      </c>
      <c r="C48" s="197" t="s">
        <v>273</v>
      </c>
      <c r="D48" s="198">
        <v>1251687.2909879999</v>
      </c>
      <c r="E48" s="198">
        <v>0</v>
      </c>
      <c r="F48" s="198">
        <v>6508</v>
      </c>
      <c r="G48" s="198">
        <v>1146741.365548</v>
      </c>
      <c r="H48" s="198">
        <v>0</v>
      </c>
      <c r="I48" s="198">
        <v>0</v>
      </c>
      <c r="J48" s="198">
        <v>104945.92543999999</v>
      </c>
      <c r="K48" s="198">
        <v>0</v>
      </c>
      <c r="L48" s="147"/>
    </row>
    <row r="49" spans="2:12" hidden="1" outlineLevel="4" x14ac:dyDescent="0.25">
      <c r="B49" s="199" t="s">
        <v>288</v>
      </c>
      <c r="C49" s="200" t="s">
        <v>435</v>
      </c>
      <c r="D49" s="201">
        <v>1251687.2909879999</v>
      </c>
      <c r="E49" s="201"/>
      <c r="F49" s="201">
        <v>6508</v>
      </c>
      <c r="G49" s="201">
        <v>1146741.365548</v>
      </c>
      <c r="H49" s="201"/>
      <c r="I49" s="201"/>
      <c r="J49" s="201">
        <v>104945.92543999999</v>
      </c>
      <c r="K49" s="201"/>
    </row>
    <row r="50" spans="2:12" outlineLevel="1" collapsed="1" x14ac:dyDescent="0.25">
      <c r="B50" s="179" t="s">
        <v>48</v>
      </c>
      <c r="C50" s="191" t="s">
        <v>16</v>
      </c>
      <c r="D50" s="192">
        <v>1814491.2187999999</v>
      </c>
      <c r="E50" s="192">
        <v>0</v>
      </c>
      <c r="F50" s="192">
        <v>7800</v>
      </c>
      <c r="G50" s="192">
        <v>1814491.2187999999</v>
      </c>
      <c r="H50" s="192">
        <v>0</v>
      </c>
      <c r="I50" s="192">
        <v>0</v>
      </c>
      <c r="J50" s="192">
        <v>0</v>
      </c>
      <c r="K50" s="192">
        <v>0</v>
      </c>
      <c r="L50" s="147"/>
    </row>
    <row r="51" spans="2:12" hidden="1" outlineLevel="2" x14ac:dyDescent="0.25">
      <c r="B51" s="193" t="s">
        <v>208</v>
      </c>
      <c r="C51" s="194" t="s">
        <v>245</v>
      </c>
      <c r="D51" s="195">
        <v>663104.93599999999</v>
      </c>
      <c r="E51" s="195">
        <v>0</v>
      </c>
      <c r="F51" s="195">
        <v>2600</v>
      </c>
      <c r="G51" s="195">
        <v>663104.93599999999</v>
      </c>
      <c r="H51" s="195">
        <v>0</v>
      </c>
      <c r="I51" s="195">
        <v>0</v>
      </c>
      <c r="J51" s="195">
        <v>0</v>
      </c>
      <c r="K51" s="195">
        <v>0</v>
      </c>
      <c r="L51" s="147"/>
    </row>
    <row r="52" spans="2:12" hidden="1" outlineLevel="3" x14ac:dyDescent="0.25">
      <c r="B52" s="196" t="s">
        <v>277</v>
      </c>
      <c r="C52" s="197" t="s">
        <v>278</v>
      </c>
      <c r="D52" s="198">
        <v>663104.93599999999</v>
      </c>
      <c r="E52" s="198">
        <v>0</v>
      </c>
      <c r="F52" s="198">
        <v>2600</v>
      </c>
      <c r="G52" s="198">
        <v>663104.93599999999</v>
      </c>
      <c r="H52" s="198">
        <v>0</v>
      </c>
      <c r="I52" s="198">
        <v>0</v>
      </c>
      <c r="J52" s="198">
        <v>0</v>
      </c>
      <c r="K52" s="198">
        <v>0</v>
      </c>
      <c r="L52" s="147"/>
    </row>
    <row r="53" spans="2:12" hidden="1" outlineLevel="4" x14ac:dyDescent="0.25">
      <c r="B53" s="199" t="s">
        <v>290</v>
      </c>
      <c r="C53" s="200" t="s">
        <v>436</v>
      </c>
      <c r="D53" s="201">
        <v>663104.93599999999</v>
      </c>
      <c r="E53" s="201"/>
      <c r="F53" s="201">
        <v>2600</v>
      </c>
      <c r="G53" s="201">
        <v>663104.93599999999</v>
      </c>
      <c r="H53" s="201"/>
      <c r="I53" s="201"/>
      <c r="J53" s="201"/>
      <c r="K53" s="201"/>
    </row>
    <row r="54" spans="2:12" hidden="1" outlineLevel="2" x14ac:dyDescent="0.25">
      <c r="B54" s="193" t="s">
        <v>209</v>
      </c>
      <c r="C54" s="194" t="s">
        <v>246</v>
      </c>
      <c r="D54" s="195">
        <v>1151386.2827999999</v>
      </c>
      <c r="E54" s="195">
        <v>0</v>
      </c>
      <c r="F54" s="195">
        <v>5200</v>
      </c>
      <c r="G54" s="195">
        <v>1151386.2827999999</v>
      </c>
      <c r="H54" s="195">
        <v>0</v>
      </c>
      <c r="I54" s="195">
        <v>0</v>
      </c>
      <c r="J54" s="195">
        <v>0</v>
      </c>
      <c r="K54" s="195">
        <v>0</v>
      </c>
      <c r="L54" s="147"/>
    </row>
    <row r="55" spans="2:12" hidden="1" outlineLevel="3" x14ac:dyDescent="0.25">
      <c r="B55" s="196" t="s">
        <v>279</v>
      </c>
      <c r="C55" s="197" t="s">
        <v>280</v>
      </c>
      <c r="D55" s="198">
        <v>1151386.2827999999</v>
      </c>
      <c r="E55" s="198">
        <v>0</v>
      </c>
      <c r="F55" s="198">
        <v>5200</v>
      </c>
      <c r="G55" s="198">
        <v>1151386.2827999999</v>
      </c>
      <c r="H55" s="198">
        <v>0</v>
      </c>
      <c r="I55" s="198">
        <v>0</v>
      </c>
      <c r="J55" s="198">
        <v>0</v>
      </c>
      <c r="K55" s="198">
        <v>0</v>
      </c>
      <c r="L55" s="147"/>
    </row>
    <row r="56" spans="2:12" hidden="1" outlineLevel="4" x14ac:dyDescent="0.25">
      <c r="B56" s="199" t="s">
        <v>291</v>
      </c>
      <c r="C56" s="200" t="s">
        <v>437</v>
      </c>
      <c r="D56" s="201">
        <v>1151386.2827999999</v>
      </c>
      <c r="E56" s="201"/>
      <c r="F56" s="201">
        <v>5200</v>
      </c>
      <c r="G56" s="201">
        <v>1151386.2827999999</v>
      </c>
      <c r="H56" s="201"/>
      <c r="I56" s="201"/>
      <c r="J56" s="201"/>
      <c r="K56" s="201"/>
    </row>
    <row r="57" spans="2:12" outlineLevel="1" collapsed="1" x14ac:dyDescent="0.25">
      <c r="B57" s="179" t="s">
        <v>49</v>
      </c>
      <c r="C57" s="191" t="s">
        <v>17</v>
      </c>
      <c r="D57" s="192">
        <v>96925.678302223372</v>
      </c>
      <c r="E57" s="192">
        <v>0</v>
      </c>
      <c r="F57" s="192">
        <v>674</v>
      </c>
      <c r="G57" s="192">
        <v>96925.678302223372</v>
      </c>
      <c r="H57" s="192">
        <v>0</v>
      </c>
      <c r="I57" s="192">
        <v>0</v>
      </c>
      <c r="J57" s="192">
        <v>0</v>
      </c>
      <c r="K57" s="192">
        <v>0</v>
      </c>
      <c r="L57" s="147"/>
    </row>
    <row r="58" spans="2:12" hidden="1" outlineLevel="2" x14ac:dyDescent="0.25">
      <c r="B58" s="193" t="s">
        <v>210</v>
      </c>
      <c r="C58" s="194" t="s">
        <v>247</v>
      </c>
      <c r="D58" s="195">
        <v>25029.792238591417</v>
      </c>
      <c r="E58" s="195">
        <v>0</v>
      </c>
      <c r="F58" s="195">
        <v>138</v>
      </c>
      <c r="G58" s="195">
        <v>25029.792238591417</v>
      </c>
      <c r="H58" s="195">
        <v>0</v>
      </c>
      <c r="I58" s="195">
        <v>0</v>
      </c>
      <c r="J58" s="195">
        <v>0</v>
      </c>
      <c r="K58" s="195">
        <v>0</v>
      </c>
      <c r="L58" s="147"/>
    </row>
    <row r="59" spans="2:12" hidden="1" outlineLevel="3" x14ac:dyDescent="0.25">
      <c r="B59" s="196" t="s">
        <v>211</v>
      </c>
      <c r="C59" s="197" t="s">
        <v>213</v>
      </c>
      <c r="D59" s="198">
        <v>25029.792238591417</v>
      </c>
      <c r="E59" s="198">
        <v>0</v>
      </c>
      <c r="F59" s="198">
        <v>138</v>
      </c>
      <c r="G59" s="198">
        <v>25029.792238591417</v>
      </c>
      <c r="H59" s="198">
        <v>0</v>
      </c>
      <c r="I59" s="198">
        <v>0</v>
      </c>
      <c r="J59" s="198">
        <v>0</v>
      </c>
      <c r="K59" s="198">
        <v>0</v>
      </c>
      <c r="L59" s="147"/>
    </row>
    <row r="60" spans="2:12" hidden="1" outlineLevel="4" x14ac:dyDescent="0.25">
      <c r="B60" s="199" t="s">
        <v>212</v>
      </c>
      <c r="C60" s="200" t="s">
        <v>438</v>
      </c>
      <c r="D60" s="201">
        <v>25029.792238591417</v>
      </c>
      <c r="E60" s="201"/>
      <c r="F60" s="201">
        <v>138</v>
      </c>
      <c r="G60" s="201">
        <v>25029.792238591417</v>
      </c>
      <c r="H60" s="201"/>
      <c r="I60" s="201"/>
      <c r="J60" s="201"/>
      <c r="K60" s="201"/>
    </row>
    <row r="61" spans="2:12" hidden="1" outlineLevel="2" x14ac:dyDescent="0.25">
      <c r="B61" s="193" t="s">
        <v>248</v>
      </c>
      <c r="C61" s="194" t="s">
        <v>249</v>
      </c>
      <c r="D61" s="195">
        <v>1790.1008245598191</v>
      </c>
      <c r="E61" s="195">
        <v>0</v>
      </c>
      <c r="F61" s="195">
        <v>24</v>
      </c>
      <c r="G61" s="195">
        <v>1790.1008245598191</v>
      </c>
      <c r="H61" s="195">
        <v>0</v>
      </c>
      <c r="I61" s="195">
        <v>0</v>
      </c>
      <c r="J61" s="195">
        <v>0</v>
      </c>
      <c r="K61" s="195">
        <v>0</v>
      </c>
      <c r="L61" s="147"/>
    </row>
    <row r="62" spans="2:12" hidden="1" outlineLevel="3" x14ac:dyDescent="0.25">
      <c r="B62" s="196" t="s">
        <v>282</v>
      </c>
      <c r="C62" s="197" t="s">
        <v>283</v>
      </c>
      <c r="D62" s="198">
        <v>1790.1008245598191</v>
      </c>
      <c r="E62" s="198">
        <v>0</v>
      </c>
      <c r="F62" s="198">
        <v>24</v>
      </c>
      <c r="G62" s="198">
        <v>1790.1008245598191</v>
      </c>
      <c r="H62" s="198">
        <v>0</v>
      </c>
      <c r="I62" s="198">
        <v>0</v>
      </c>
      <c r="J62" s="198">
        <v>0</v>
      </c>
      <c r="K62" s="198">
        <v>0</v>
      </c>
      <c r="L62" s="147"/>
    </row>
    <row r="63" spans="2:12" hidden="1" outlineLevel="4" x14ac:dyDescent="0.25">
      <c r="B63" s="199" t="s">
        <v>301</v>
      </c>
      <c r="C63" s="200" t="s">
        <v>439</v>
      </c>
      <c r="D63" s="201">
        <v>1790.1008245598191</v>
      </c>
      <c r="E63" s="201"/>
      <c r="F63" s="201">
        <v>24</v>
      </c>
      <c r="G63" s="201">
        <v>1790.1008245598191</v>
      </c>
      <c r="H63" s="201"/>
      <c r="I63" s="201"/>
      <c r="J63" s="201"/>
      <c r="K63" s="201"/>
    </row>
    <row r="64" spans="2:12" hidden="1" outlineLevel="2" x14ac:dyDescent="0.25">
      <c r="B64" s="193" t="s">
        <v>214</v>
      </c>
      <c r="C64" s="194" t="s">
        <v>250</v>
      </c>
      <c r="D64" s="195">
        <v>3104.7161355932203</v>
      </c>
      <c r="E64" s="195">
        <v>0</v>
      </c>
      <c r="F64" s="195">
        <v>40</v>
      </c>
      <c r="G64" s="195">
        <v>3104.7161355932203</v>
      </c>
      <c r="H64" s="195">
        <v>0</v>
      </c>
      <c r="I64" s="195">
        <v>0</v>
      </c>
      <c r="J64" s="195">
        <v>0</v>
      </c>
      <c r="K64" s="195">
        <v>0</v>
      </c>
      <c r="L64" s="147"/>
    </row>
    <row r="65" spans="2:12" hidden="1" outlineLevel="3" x14ac:dyDescent="0.25">
      <c r="B65" s="196" t="s">
        <v>215</v>
      </c>
      <c r="C65" s="197" t="s">
        <v>217</v>
      </c>
      <c r="D65" s="198">
        <v>3104.7161355932203</v>
      </c>
      <c r="E65" s="198">
        <v>0</v>
      </c>
      <c r="F65" s="198">
        <v>40</v>
      </c>
      <c r="G65" s="198">
        <v>3104.7161355932203</v>
      </c>
      <c r="H65" s="198">
        <v>0</v>
      </c>
      <c r="I65" s="198">
        <v>0</v>
      </c>
      <c r="J65" s="198">
        <v>0</v>
      </c>
      <c r="K65" s="198">
        <v>0</v>
      </c>
      <c r="L65" s="147"/>
    </row>
    <row r="66" spans="2:12" hidden="1" outlineLevel="4" x14ac:dyDescent="0.25">
      <c r="B66" s="199" t="s">
        <v>216</v>
      </c>
      <c r="C66" s="200" t="s">
        <v>440</v>
      </c>
      <c r="D66" s="201">
        <v>3104.7161355932203</v>
      </c>
      <c r="E66" s="201"/>
      <c r="F66" s="201">
        <v>40</v>
      </c>
      <c r="G66" s="201">
        <v>3104.7161355932203</v>
      </c>
      <c r="H66" s="201"/>
      <c r="I66" s="201"/>
      <c r="J66" s="201"/>
      <c r="K66" s="201"/>
    </row>
    <row r="67" spans="2:12" hidden="1" outlineLevel="2" x14ac:dyDescent="0.25">
      <c r="B67" s="193" t="s">
        <v>218</v>
      </c>
      <c r="C67" s="194" t="s">
        <v>251</v>
      </c>
      <c r="D67" s="195">
        <v>2705.7181016949153</v>
      </c>
      <c r="E67" s="195">
        <v>0</v>
      </c>
      <c r="F67" s="195">
        <v>40</v>
      </c>
      <c r="G67" s="195">
        <v>2705.7181016949153</v>
      </c>
      <c r="H67" s="195">
        <v>0</v>
      </c>
      <c r="I67" s="195">
        <v>0</v>
      </c>
      <c r="J67" s="195">
        <v>0</v>
      </c>
      <c r="K67" s="195">
        <v>0</v>
      </c>
      <c r="L67" s="147"/>
    </row>
    <row r="68" spans="2:12" hidden="1" outlineLevel="3" x14ac:dyDescent="0.25">
      <c r="B68" s="196" t="s">
        <v>219</v>
      </c>
      <c r="C68" s="197" t="s">
        <v>221</v>
      </c>
      <c r="D68" s="198">
        <v>2705.7181016949153</v>
      </c>
      <c r="E68" s="198">
        <v>0</v>
      </c>
      <c r="F68" s="198">
        <v>40</v>
      </c>
      <c r="G68" s="198">
        <v>2705.7181016949153</v>
      </c>
      <c r="H68" s="198">
        <v>0</v>
      </c>
      <c r="I68" s="198">
        <v>0</v>
      </c>
      <c r="J68" s="198">
        <v>0</v>
      </c>
      <c r="K68" s="198">
        <v>0</v>
      </c>
      <c r="L68" s="147"/>
    </row>
    <row r="69" spans="2:12" hidden="1" outlineLevel="4" x14ac:dyDescent="0.25">
      <c r="B69" s="199" t="s">
        <v>220</v>
      </c>
      <c r="C69" s="200" t="s">
        <v>441</v>
      </c>
      <c r="D69" s="201">
        <v>2705.7181016949153</v>
      </c>
      <c r="E69" s="201"/>
      <c r="F69" s="201">
        <v>40</v>
      </c>
      <c r="G69" s="201">
        <v>2705.7181016949153</v>
      </c>
      <c r="H69" s="201"/>
      <c r="I69" s="201"/>
      <c r="J69" s="201"/>
      <c r="K69" s="201"/>
    </row>
    <row r="70" spans="2:12" hidden="1" outlineLevel="2" x14ac:dyDescent="0.25">
      <c r="B70" s="193" t="s">
        <v>252</v>
      </c>
      <c r="C70" s="194" t="s">
        <v>253</v>
      </c>
      <c r="D70" s="195">
        <v>2556.2611124643799</v>
      </c>
      <c r="E70" s="195">
        <v>0</v>
      </c>
      <c r="F70" s="195">
        <v>48</v>
      </c>
      <c r="G70" s="195">
        <v>2556.2611124643799</v>
      </c>
      <c r="H70" s="195">
        <v>0</v>
      </c>
      <c r="I70" s="195">
        <v>0</v>
      </c>
      <c r="J70" s="195">
        <v>0</v>
      </c>
      <c r="K70" s="195">
        <v>0</v>
      </c>
      <c r="L70" s="147"/>
    </row>
    <row r="71" spans="2:12" hidden="1" outlineLevel="3" x14ac:dyDescent="0.25">
      <c r="B71" s="196" t="s">
        <v>284</v>
      </c>
      <c r="C71" s="197" t="s">
        <v>285</v>
      </c>
      <c r="D71" s="198">
        <v>2556.2611124643799</v>
      </c>
      <c r="E71" s="198">
        <v>0</v>
      </c>
      <c r="F71" s="198">
        <v>48</v>
      </c>
      <c r="G71" s="198">
        <v>2556.2611124643799</v>
      </c>
      <c r="H71" s="198">
        <v>0</v>
      </c>
      <c r="I71" s="198">
        <v>0</v>
      </c>
      <c r="J71" s="198">
        <v>0</v>
      </c>
      <c r="K71" s="198">
        <v>0</v>
      </c>
      <c r="L71" s="147"/>
    </row>
    <row r="72" spans="2:12" hidden="1" outlineLevel="4" x14ac:dyDescent="0.25">
      <c r="B72" s="199" t="s">
        <v>302</v>
      </c>
      <c r="C72" s="200" t="s">
        <v>443</v>
      </c>
      <c r="D72" s="201">
        <v>2556.2611124643799</v>
      </c>
      <c r="E72" s="201"/>
      <c r="F72" s="201">
        <v>48</v>
      </c>
      <c r="G72" s="201">
        <v>2556.2611124643799</v>
      </c>
      <c r="H72" s="201"/>
      <c r="I72" s="201"/>
      <c r="J72" s="201"/>
      <c r="K72" s="201"/>
    </row>
    <row r="73" spans="2:12" hidden="1" outlineLevel="2" x14ac:dyDescent="0.25">
      <c r="B73" s="193" t="s">
        <v>222</v>
      </c>
      <c r="C73" s="194" t="s">
        <v>254</v>
      </c>
      <c r="D73" s="195">
        <v>2568.9001132075473</v>
      </c>
      <c r="E73" s="195">
        <v>0</v>
      </c>
      <c r="F73" s="195">
        <v>40</v>
      </c>
      <c r="G73" s="195">
        <v>2568.9001132075473</v>
      </c>
      <c r="H73" s="195">
        <v>0</v>
      </c>
      <c r="I73" s="195">
        <v>0</v>
      </c>
      <c r="J73" s="195">
        <v>0</v>
      </c>
      <c r="K73" s="195">
        <v>0</v>
      </c>
      <c r="L73" s="147"/>
    </row>
    <row r="74" spans="2:12" hidden="1" outlineLevel="3" x14ac:dyDescent="0.25">
      <c r="B74" s="196" t="s">
        <v>223</v>
      </c>
      <c r="C74" s="197" t="s">
        <v>225</v>
      </c>
      <c r="D74" s="198">
        <v>2568.9001132075473</v>
      </c>
      <c r="E74" s="198">
        <v>0</v>
      </c>
      <c r="F74" s="198">
        <v>40</v>
      </c>
      <c r="G74" s="198">
        <v>2568.9001132075473</v>
      </c>
      <c r="H74" s="198">
        <v>0</v>
      </c>
      <c r="I74" s="198">
        <v>0</v>
      </c>
      <c r="J74" s="198">
        <v>0</v>
      </c>
      <c r="K74" s="198">
        <v>0</v>
      </c>
      <c r="L74" s="147"/>
    </row>
    <row r="75" spans="2:12" hidden="1" outlineLevel="4" x14ac:dyDescent="0.25">
      <c r="B75" s="199" t="s">
        <v>224</v>
      </c>
      <c r="C75" s="200" t="s">
        <v>444</v>
      </c>
      <c r="D75" s="201">
        <v>2568.9001132075473</v>
      </c>
      <c r="E75" s="201"/>
      <c r="F75" s="201">
        <v>40</v>
      </c>
      <c r="G75" s="201">
        <v>2568.9001132075473</v>
      </c>
      <c r="H75" s="201"/>
      <c r="I75" s="201"/>
      <c r="J75" s="201"/>
      <c r="K75" s="201"/>
    </row>
    <row r="76" spans="2:12" hidden="1" outlineLevel="2" x14ac:dyDescent="0.25">
      <c r="B76" s="193" t="s">
        <v>226</v>
      </c>
      <c r="C76" s="194" t="s">
        <v>255</v>
      </c>
      <c r="D76" s="195">
        <v>59170.189776112071</v>
      </c>
      <c r="E76" s="195">
        <v>0</v>
      </c>
      <c r="F76" s="195">
        <v>344</v>
      </c>
      <c r="G76" s="195">
        <v>59170.189776112071</v>
      </c>
      <c r="H76" s="195">
        <v>0</v>
      </c>
      <c r="I76" s="195">
        <v>0</v>
      </c>
      <c r="J76" s="195">
        <v>0</v>
      </c>
      <c r="K76" s="195">
        <v>0</v>
      </c>
      <c r="L76" s="147"/>
    </row>
    <row r="77" spans="2:12" hidden="1" outlineLevel="3" x14ac:dyDescent="0.25">
      <c r="B77" s="196" t="s">
        <v>227</v>
      </c>
      <c r="C77" s="197" t="s">
        <v>229</v>
      </c>
      <c r="D77" s="198">
        <v>59170.189776112071</v>
      </c>
      <c r="E77" s="198">
        <v>0</v>
      </c>
      <c r="F77" s="198">
        <v>344</v>
      </c>
      <c r="G77" s="198">
        <v>59170.189776112071</v>
      </c>
      <c r="H77" s="198">
        <v>0</v>
      </c>
      <c r="I77" s="198">
        <v>0</v>
      </c>
      <c r="J77" s="198">
        <v>0</v>
      </c>
      <c r="K77" s="198">
        <v>0</v>
      </c>
      <c r="L77" s="147"/>
    </row>
    <row r="78" spans="2:12" hidden="1" outlineLevel="4" x14ac:dyDescent="0.25">
      <c r="B78" s="199" t="s">
        <v>228</v>
      </c>
      <c r="C78" s="200" t="s">
        <v>445</v>
      </c>
      <c r="D78" s="201">
        <v>59170.189776112071</v>
      </c>
      <c r="E78" s="201"/>
      <c r="F78" s="201">
        <v>344</v>
      </c>
      <c r="G78" s="201">
        <v>59170.189776112071</v>
      </c>
      <c r="H78" s="201"/>
      <c r="I78" s="201"/>
      <c r="J78" s="201"/>
      <c r="K78" s="201"/>
    </row>
    <row r="79" spans="2:12" outlineLevel="1" collapsed="1" x14ac:dyDescent="0.25">
      <c r="B79" s="179" t="s">
        <v>50</v>
      </c>
      <c r="C79" s="191" t="s">
        <v>18</v>
      </c>
      <c r="D79" s="192">
        <v>123476.220162</v>
      </c>
      <c r="E79" s="192">
        <v>0</v>
      </c>
      <c r="F79" s="192">
        <v>642</v>
      </c>
      <c r="G79" s="192">
        <v>113123.533602</v>
      </c>
      <c r="H79" s="192">
        <v>0</v>
      </c>
      <c r="I79" s="192">
        <v>0</v>
      </c>
      <c r="J79" s="192">
        <v>10352.686559999998</v>
      </c>
      <c r="K79" s="192">
        <v>0</v>
      </c>
      <c r="L79" s="147"/>
    </row>
    <row r="80" spans="2:12" hidden="1" outlineLevel="2" x14ac:dyDescent="0.25">
      <c r="B80" s="193" t="s">
        <v>256</v>
      </c>
      <c r="C80" s="194" t="s">
        <v>18</v>
      </c>
      <c r="D80" s="195">
        <v>123476.220162</v>
      </c>
      <c r="E80" s="195">
        <v>0</v>
      </c>
      <c r="F80" s="195">
        <v>642</v>
      </c>
      <c r="G80" s="195">
        <v>113123.533602</v>
      </c>
      <c r="H80" s="195">
        <v>0</v>
      </c>
      <c r="I80" s="195">
        <v>0</v>
      </c>
      <c r="J80" s="195">
        <v>10352.686559999998</v>
      </c>
      <c r="K80" s="195">
        <v>0</v>
      </c>
      <c r="L80" s="147"/>
    </row>
    <row r="81" spans="2:12" hidden="1" outlineLevel="3" x14ac:dyDescent="0.25">
      <c r="B81" s="196" t="s">
        <v>286</v>
      </c>
      <c r="C81" s="197" t="s">
        <v>18</v>
      </c>
      <c r="D81" s="198">
        <v>123476.220162</v>
      </c>
      <c r="E81" s="198">
        <v>0</v>
      </c>
      <c r="F81" s="198">
        <v>642</v>
      </c>
      <c r="G81" s="198">
        <v>113123.533602</v>
      </c>
      <c r="H81" s="198">
        <v>0</v>
      </c>
      <c r="I81" s="198">
        <v>0</v>
      </c>
      <c r="J81" s="198">
        <v>10352.686559999998</v>
      </c>
      <c r="K81" s="198">
        <v>0</v>
      </c>
      <c r="L81" s="147"/>
    </row>
    <row r="82" spans="2:12" hidden="1" outlineLevel="4" x14ac:dyDescent="0.25">
      <c r="B82" s="199" t="s">
        <v>303</v>
      </c>
      <c r="C82" s="200" t="s">
        <v>449</v>
      </c>
      <c r="D82" s="201">
        <v>123476.220162</v>
      </c>
      <c r="E82" s="201"/>
      <c r="F82" s="201">
        <v>642</v>
      </c>
      <c r="G82" s="201">
        <v>113123.533602</v>
      </c>
      <c r="H82" s="201"/>
      <c r="I82" s="201"/>
      <c r="J82" s="201">
        <v>10352.686559999998</v>
      </c>
      <c r="K82" s="201"/>
    </row>
    <row r="83" spans="2:12" outlineLevel="1" collapsed="1" x14ac:dyDescent="0.25">
      <c r="B83" s="179" t="s">
        <v>51</v>
      </c>
      <c r="C83" s="191" t="s">
        <v>19</v>
      </c>
      <c r="D83" s="192">
        <v>76400.073272274254</v>
      </c>
      <c r="E83" s="192">
        <v>0</v>
      </c>
      <c r="F83" s="192">
        <v>0</v>
      </c>
      <c r="G83" s="192">
        <v>0</v>
      </c>
      <c r="H83" s="192">
        <v>0</v>
      </c>
      <c r="I83" s="192">
        <v>0</v>
      </c>
      <c r="J83" s="192">
        <v>0</v>
      </c>
      <c r="K83" s="192">
        <v>76400.073272274254</v>
      </c>
      <c r="L83" s="147"/>
    </row>
    <row r="84" spans="2:12" hidden="1" outlineLevel="2" x14ac:dyDescent="0.25">
      <c r="B84" s="193" t="s">
        <v>168</v>
      </c>
      <c r="C84" s="194" t="s">
        <v>311</v>
      </c>
      <c r="D84" s="195">
        <v>76400.073272274254</v>
      </c>
      <c r="E84" s="195">
        <v>0</v>
      </c>
      <c r="F84" s="195">
        <v>0</v>
      </c>
      <c r="G84" s="195">
        <v>0</v>
      </c>
      <c r="H84" s="195">
        <v>0</v>
      </c>
      <c r="I84" s="195">
        <v>0</v>
      </c>
      <c r="J84" s="195">
        <v>0</v>
      </c>
      <c r="K84" s="195">
        <v>76400.073272274254</v>
      </c>
      <c r="L84" s="147"/>
    </row>
    <row r="85" spans="2:12" hidden="1" outlineLevel="3" x14ac:dyDescent="0.25">
      <c r="B85" s="196" t="s">
        <v>165</v>
      </c>
      <c r="C85" s="197" t="s">
        <v>311</v>
      </c>
      <c r="D85" s="198">
        <v>76400.073272274254</v>
      </c>
      <c r="E85" s="198">
        <v>0</v>
      </c>
      <c r="F85" s="198">
        <v>0</v>
      </c>
      <c r="G85" s="198">
        <v>0</v>
      </c>
      <c r="H85" s="198">
        <v>0</v>
      </c>
      <c r="I85" s="198">
        <v>0</v>
      </c>
      <c r="J85" s="198">
        <v>0</v>
      </c>
      <c r="K85" s="198">
        <v>76400.073272274254</v>
      </c>
      <c r="L85" s="147"/>
    </row>
    <row r="86" spans="2:12" hidden="1" outlineLevel="4" x14ac:dyDescent="0.25">
      <c r="B86" s="199" t="s">
        <v>167</v>
      </c>
      <c r="C86" s="200" t="s">
        <v>450</v>
      </c>
      <c r="D86" s="201">
        <v>76400.073272274254</v>
      </c>
      <c r="E86" s="201"/>
      <c r="F86" s="201"/>
      <c r="G86" s="201"/>
      <c r="H86" s="201"/>
      <c r="I86" s="201"/>
      <c r="J86" s="201"/>
      <c r="K86" s="201">
        <v>76400.073272274254</v>
      </c>
    </row>
    <row r="87" spans="2:12" outlineLevel="1" collapsed="1" x14ac:dyDescent="0.25">
      <c r="B87" s="179" t="s">
        <v>52</v>
      </c>
      <c r="C87" s="191" t="s">
        <v>20</v>
      </c>
      <c r="D87" s="192">
        <v>770000</v>
      </c>
      <c r="E87" s="192">
        <v>0</v>
      </c>
      <c r="F87" s="192">
        <v>0</v>
      </c>
      <c r="G87" s="192">
        <v>0</v>
      </c>
      <c r="H87" s="192">
        <v>0</v>
      </c>
      <c r="I87" s="192">
        <v>0</v>
      </c>
      <c r="J87" s="192">
        <v>0</v>
      </c>
      <c r="K87" s="192">
        <v>770000</v>
      </c>
      <c r="L87" s="147"/>
    </row>
    <row r="88" spans="2:12" hidden="1" outlineLevel="2" x14ac:dyDescent="0.25">
      <c r="B88" s="193" t="s">
        <v>263</v>
      </c>
      <c r="C88" s="194" t="s">
        <v>162</v>
      </c>
      <c r="D88" s="195">
        <v>770000</v>
      </c>
      <c r="E88" s="195">
        <v>0</v>
      </c>
      <c r="F88" s="195">
        <v>0</v>
      </c>
      <c r="G88" s="195">
        <v>0</v>
      </c>
      <c r="H88" s="195">
        <v>0</v>
      </c>
      <c r="I88" s="195">
        <v>0</v>
      </c>
      <c r="J88" s="195">
        <v>0</v>
      </c>
      <c r="K88" s="195">
        <v>770000</v>
      </c>
      <c r="L88" s="147"/>
    </row>
    <row r="89" spans="2:12" hidden="1" outlineLevel="3" x14ac:dyDescent="0.25">
      <c r="B89" s="196" t="s">
        <v>289</v>
      </c>
      <c r="C89" s="197" t="s">
        <v>162</v>
      </c>
      <c r="D89" s="198">
        <v>770000</v>
      </c>
      <c r="E89" s="198">
        <v>0</v>
      </c>
      <c r="F89" s="198">
        <v>0</v>
      </c>
      <c r="G89" s="198">
        <v>0</v>
      </c>
      <c r="H89" s="198">
        <v>0</v>
      </c>
      <c r="I89" s="198">
        <v>0</v>
      </c>
      <c r="J89" s="198">
        <v>0</v>
      </c>
      <c r="K89" s="198">
        <v>770000</v>
      </c>
      <c r="L89" s="147"/>
    </row>
    <row r="90" spans="2:12" hidden="1" outlineLevel="4" x14ac:dyDescent="0.25">
      <c r="B90" s="199" t="s">
        <v>161</v>
      </c>
      <c r="C90" s="200" t="s">
        <v>454</v>
      </c>
      <c r="D90" s="201">
        <v>770000</v>
      </c>
      <c r="E90" s="201"/>
      <c r="F90" s="201"/>
      <c r="G90" s="201"/>
      <c r="H90" s="201"/>
      <c r="I90" s="201"/>
      <c r="J90" s="201"/>
      <c r="K90" s="201">
        <v>770000</v>
      </c>
    </row>
    <row r="91" spans="2:12" outlineLevel="1" collapsed="1" x14ac:dyDescent="0.25">
      <c r="B91" s="179" t="s">
        <v>57</v>
      </c>
      <c r="C91" s="191" t="s">
        <v>21</v>
      </c>
      <c r="D91" s="192">
        <v>1921974.5197775366</v>
      </c>
      <c r="E91" s="192">
        <v>0</v>
      </c>
      <c r="F91" s="192">
        <v>0</v>
      </c>
      <c r="G91" s="192">
        <v>0</v>
      </c>
      <c r="H91" s="192">
        <v>0</v>
      </c>
      <c r="I91" s="192">
        <v>0</v>
      </c>
      <c r="J91" s="192">
        <v>0</v>
      </c>
      <c r="K91" s="192">
        <v>1921974.5197775366</v>
      </c>
      <c r="L91" s="147"/>
    </row>
    <row r="92" spans="2:12" hidden="1" outlineLevel="2" x14ac:dyDescent="0.25">
      <c r="B92" s="193" t="s">
        <v>265</v>
      </c>
      <c r="C92" s="194" t="s">
        <v>148</v>
      </c>
      <c r="D92" s="195">
        <v>55403.687978929651</v>
      </c>
      <c r="E92" s="195">
        <v>0</v>
      </c>
      <c r="F92" s="195">
        <v>0</v>
      </c>
      <c r="G92" s="195">
        <v>0</v>
      </c>
      <c r="H92" s="195">
        <v>0</v>
      </c>
      <c r="I92" s="195">
        <v>0</v>
      </c>
      <c r="J92" s="195">
        <v>0</v>
      </c>
      <c r="K92" s="195">
        <v>55403.687978929651</v>
      </c>
      <c r="L92" s="147"/>
    </row>
    <row r="93" spans="2:12" hidden="1" outlineLevel="3" x14ac:dyDescent="0.25">
      <c r="B93" s="196" t="s">
        <v>292</v>
      </c>
      <c r="C93" s="197" t="s">
        <v>148</v>
      </c>
      <c r="D93" s="198">
        <v>55403.687978929651</v>
      </c>
      <c r="E93" s="198">
        <v>0</v>
      </c>
      <c r="F93" s="198">
        <v>0</v>
      </c>
      <c r="G93" s="198">
        <v>0</v>
      </c>
      <c r="H93" s="198">
        <v>0</v>
      </c>
      <c r="I93" s="198">
        <v>0</v>
      </c>
      <c r="J93" s="198">
        <v>0</v>
      </c>
      <c r="K93" s="198">
        <v>55403.687978929651</v>
      </c>
      <c r="L93" s="147"/>
    </row>
    <row r="94" spans="2:12" hidden="1" outlineLevel="4" x14ac:dyDescent="0.25">
      <c r="B94" s="199" t="s">
        <v>139</v>
      </c>
      <c r="C94" s="200" t="s">
        <v>455</v>
      </c>
      <c r="D94" s="201">
        <v>55403.687978929651</v>
      </c>
      <c r="E94" s="201"/>
      <c r="F94" s="201"/>
      <c r="G94" s="201"/>
      <c r="H94" s="201"/>
      <c r="I94" s="201"/>
      <c r="J94" s="201"/>
      <c r="K94" s="201">
        <v>55403.687978929651</v>
      </c>
    </row>
    <row r="95" spans="2:12" hidden="1" outlineLevel="2" x14ac:dyDescent="0.25">
      <c r="B95" s="193" t="s">
        <v>266</v>
      </c>
      <c r="C95" s="194" t="s">
        <v>149</v>
      </c>
      <c r="D95" s="195">
        <v>26548.677374449704</v>
      </c>
      <c r="E95" s="195">
        <v>0</v>
      </c>
      <c r="F95" s="195">
        <v>0</v>
      </c>
      <c r="G95" s="195">
        <v>0</v>
      </c>
      <c r="H95" s="195">
        <v>0</v>
      </c>
      <c r="I95" s="195">
        <v>0</v>
      </c>
      <c r="J95" s="195">
        <v>0</v>
      </c>
      <c r="K95" s="195">
        <v>26548.677374449704</v>
      </c>
      <c r="L95" s="147"/>
    </row>
    <row r="96" spans="2:12" hidden="1" outlineLevel="3" x14ac:dyDescent="0.25">
      <c r="B96" s="196" t="s">
        <v>293</v>
      </c>
      <c r="C96" s="197" t="s">
        <v>149</v>
      </c>
      <c r="D96" s="198">
        <v>26548.677374449704</v>
      </c>
      <c r="E96" s="198">
        <v>0</v>
      </c>
      <c r="F96" s="198">
        <v>0</v>
      </c>
      <c r="G96" s="198">
        <v>0</v>
      </c>
      <c r="H96" s="198">
        <v>0</v>
      </c>
      <c r="I96" s="198">
        <v>0</v>
      </c>
      <c r="J96" s="198">
        <v>0</v>
      </c>
      <c r="K96" s="198">
        <v>26548.677374449704</v>
      </c>
      <c r="L96" s="147"/>
    </row>
    <row r="97" spans="2:12" hidden="1" outlineLevel="4" x14ac:dyDescent="0.25">
      <c r="B97" s="199" t="s">
        <v>140</v>
      </c>
      <c r="C97" s="200" t="s">
        <v>456</v>
      </c>
      <c r="D97" s="201">
        <v>26548.677374449704</v>
      </c>
      <c r="E97" s="201"/>
      <c r="F97" s="201"/>
      <c r="G97" s="201"/>
      <c r="H97" s="201"/>
      <c r="I97" s="201"/>
      <c r="J97" s="201"/>
      <c r="K97" s="201">
        <v>26548.677374449704</v>
      </c>
    </row>
    <row r="98" spans="2:12" hidden="1" outlineLevel="2" x14ac:dyDescent="0.25">
      <c r="B98" s="193" t="s">
        <v>267</v>
      </c>
      <c r="C98" s="194" t="s">
        <v>150</v>
      </c>
      <c r="D98" s="195">
        <v>10600.505007504062</v>
      </c>
      <c r="E98" s="195">
        <v>0</v>
      </c>
      <c r="F98" s="195">
        <v>0</v>
      </c>
      <c r="G98" s="195">
        <v>0</v>
      </c>
      <c r="H98" s="195">
        <v>0</v>
      </c>
      <c r="I98" s="195">
        <v>0</v>
      </c>
      <c r="J98" s="195">
        <v>0</v>
      </c>
      <c r="K98" s="195">
        <v>10600.505007504062</v>
      </c>
      <c r="L98" s="147"/>
    </row>
    <row r="99" spans="2:12" hidden="1" outlineLevel="3" x14ac:dyDescent="0.25">
      <c r="B99" s="196" t="s">
        <v>294</v>
      </c>
      <c r="C99" s="197" t="s">
        <v>150</v>
      </c>
      <c r="D99" s="198">
        <v>10600.505007504062</v>
      </c>
      <c r="E99" s="198">
        <v>0</v>
      </c>
      <c r="F99" s="198">
        <v>0</v>
      </c>
      <c r="G99" s="198">
        <v>0</v>
      </c>
      <c r="H99" s="198">
        <v>0</v>
      </c>
      <c r="I99" s="198">
        <v>0</v>
      </c>
      <c r="J99" s="198">
        <v>0</v>
      </c>
      <c r="K99" s="198">
        <v>10600.505007504062</v>
      </c>
      <c r="L99" s="147"/>
    </row>
    <row r="100" spans="2:12" hidden="1" outlineLevel="4" x14ac:dyDescent="0.25">
      <c r="B100" s="199" t="s">
        <v>141</v>
      </c>
      <c r="C100" s="200" t="s">
        <v>457</v>
      </c>
      <c r="D100" s="201">
        <v>10600.505007504062</v>
      </c>
      <c r="E100" s="201"/>
      <c r="F100" s="201"/>
      <c r="G100" s="201"/>
      <c r="H100" s="201"/>
      <c r="I100" s="201"/>
      <c r="J100" s="201"/>
      <c r="K100" s="201">
        <v>10600.505007504062</v>
      </c>
    </row>
    <row r="101" spans="2:12" hidden="1" outlineLevel="2" x14ac:dyDescent="0.25">
      <c r="B101" s="193" t="s">
        <v>268</v>
      </c>
      <c r="C101" s="194" t="s">
        <v>151</v>
      </c>
      <c r="D101" s="195">
        <v>1458437.1687861285</v>
      </c>
      <c r="E101" s="195">
        <v>0</v>
      </c>
      <c r="F101" s="195">
        <v>0</v>
      </c>
      <c r="G101" s="195">
        <v>0</v>
      </c>
      <c r="H101" s="195">
        <v>0</v>
      </c>
      <c r="I101" s="195">
        <v>0</v>
      </c>
      <c r="J101" s="195">
        <v>0</v>
      </c>
      <c r="K101" s="195">
        <v>1458437.1687861285</v>
      </c>
      <c r="L101" s="147"/>
    </row>
    <row r="102" spans="2:12" hidden="1" outlineLevel="3" x14ac:dyDescent="0.25">
      <c r="B102" s="196" t="s">
        <v>295</v>
      </c>
      <c r="C102" s="197" t="s">
        <v>151</v>
      </c>
      <c r="D102" s="198">
        <v>1458437.1687861285</v>
      </c>
      <c r="E102" s="198">
        <v>0</v>
      </c>
      <c r="F102" s="198">
        <v>0</v>
      </c>
      <c r="G102" s="198">
        <v>0</v>
      </c>
      <c r="H102" s="198">
        <v>0</v>
      </c>
      <c r="I102" s="198">
        <v>0</v>
      </c>
      <c r="J102" s="198">
        <v>0</v>
      </c>
      <c r="K102" s="198">
        <v>1458437.1687861285</v>
      </c>
      <c r="L102" s="147"/>
    </row>
    <row r="103" spans="2:12" hidden="1" outlineLevel="4" x14ac:dyDescent="0.25">
      <c r="B103" s="199" t="s">
        <v>142</v>
      </c>
      <c r="C103" s="200" t="s">
        <v>458</v>
      </c>
      <c r="D103" s="201">
        <v>1458437.1687861285</v>
      </c>
      <c r="E103" s="201"/>
      <c r="F103" s="201"/>
      <c r="G103" s="201"/>
      <c r="H103" s="201"/>
      <c r="I103" s="201"/>
      <c r="J103" s="201"/>
      <c r="K103" s="201">
        <v>1458437.1687861285</v>
      </c>
    </row>
    <row r="104" spans="2:12" hidden="1" outlineLevel="2" x14ac:dyDescent="0.25">
      <c r="B104" s="193" t="s">
        <v>269</v>
      </c>
      <c r="C104" s="194" t="s">
        <v>152</v>
      </c>
      <c r="D104" s="195">
        <v>58085.038305769325</v>
      </c>
      <c r="E104" s="195">
        <v>0</v>
      </c>
      <c r="F104" s="195">
        <v>0</v>
      </c>
      <c r="G104" s="195">
        <v>0</v>
      </c>
      <c r="H104" s="195">
        <v>0</v>
      </c>
      <c r="I104" s="195">
        <v>0</v>
      </c>
      <c r="J104" s="195">
        <v>0</v>
      </c>
      <c r="K104" s="195">
        <v>58085.038305769325</v>
      </c>
      <c r="L104" s="147"/>
    </row>
    <row r="105" spans="2:12" hidden="1" outlineLevel="3" x14ac:dyDescent="0.25">
      <c r="B105" s="196" t="s">
        <v>296</v>
      </c>
      <c r="C105" s="197" t="s">
        <v>152</v>
      </c>
      <c r="D105" s="198">
        <v>58085.038305769325</v>
      </c>
      <c r="E105" s="198">
        <v>0</v>
      </c>
      <c r="F105" s="198">
        <v>0</v>
      </c>
      <c r="G105" s="198">
        <v>0</v>
      </c>
      <c r="H105" s="198">
        <v>0</v>
      </c>
      <c r="I105" s="198">
        <v>0</v>
      </c>
      <c r="J105" s="198">
        <v>0</v>
      </c>
      <c r="K105" s="198">
        <v>58085.038305769325</v>
      </c>
      <c r="L105" s="147"/>
    </row>
    <row r="106" spans="2:12" hidden="1" outlineLevel="4" x14ac:dyDescent="0.25">
      <c r="B106" s="199" t="s">
        <v>143</v>
      </c>
      <c r="C106" s="200" t="s">
        <v>459</v>
      </c>
      <c r="D106" s="201">
        <v>58085.038305769325</v>
      </c>
      <c r="E106" s="201"/>
      <c r="F106" s="201"/>
      <c r="G106" s="201"/>
      <c r="H106" s="201"/>
      <c r="I106" s="201"/>
      <c r="J106" s="201"/>
      <c r="K106" s="201">
        <v>58085.038305769325</v>
      </c>
    </row>
    <row r="107" spans="2:12" hidden="1" outlineLevel="2" x14ac:dyDescent="0.25">
      <c r="B107" s="193" t="s">
        <v>271</v>
      </c>
      <c r="C107" s="194" t="s">
        <v>153</v>
      </c>
      <c r="D107" s="195">
        <v>0</v>
      </c>
      <c r="E107" s="195">
        <v>0</v>
      </c>
      <c r="F107" s="195">
        <v>0</v>
      </c>
      <c r="G107" s="195">
        <v>0</v>
      </c>
      <c r="H107" s="195">
        <v>0</v>
      </c>
      <c r="I107" s="195">
        <v>0</v>
      </c>
      <c r="J107" s="195">
        <v>0</v>
      </c>
      <c r="K107" s="195">
        <v>0</v>
      </c>
      <c r="L107" s="147"/>
    </row>
    <row r="108" spans="2:12" hidden="1" outlineLevel="3" x14ac:dyDescent="0.25">
      <c r="B108" s="196" t="s">
        <v>297</v>
      </c>
      <c r="C108" s="197" t="s">
        <v>153</v>
      </c>
      <c r="D108" s="198">
        <v>0</v>
      </c>
      <c r="E108" s="198">
        <v>0</v>
      </c>
      <c r="F108" s="198">
        <v>0</v>
      </c>
      <c r="G108" s="198">
        <v>0</v>
      </c>
      <c r="H108" s="198">
        <v>0</v>
      </c>
      <c r="I108" s="198">
        <v>0</v>
      </c>
      <c r="J108" s="198">
        <v>0</v>
      </c>
      <c r="K108" s="198">
        <v>0</v>
      </c>
      <c r="L108" s="147"/>
    </row>
    <row r="109" spans="2:12" hidden="1" outlineLevel="4" x14ac:dyDescent="0.25">
      <c r="B109" s="199" t="s">
        <v>144</v>
      </c>
      <c r="C109" s="200" t="s">
        <v>460</v>
      </c>
      <c r="D109" s="201">
        <v>0</v>
      </c>
      <c r="E109" s="201"/>
      <c r="F109" s="201"/>
      <c r="G109" s="201"/>
      <c r="H109" s="201"/>
      <c r="I109" s="201"/>
      <c r="J109" s="201"/>
      <c r="K109" s="201">
        <v>0</v>
      </c>
    </row>
    <row r="110" spans="2:12" hidden="1" outlineLevel="2" x14ac:dyDescent="0.25">
      <c r="B110" s="193" t="s">
        <v>274</v>
      </c>
      <c r="C110" s="194" t="s">
        <v>154</v>
      </c>
      <c r="D110" s="195">
        <v>248747.80361231067</v>
      </c>
      <c r="E110" s="195">
        <v>0</v>
      </c>
      <c r="F110" s="195">
        <v>0</v>
      </c>
      <c r="G110" s="195">
        <v>0</v>
      </c>
      <c r="H110" s="195">
        <v>0</v>
      </c>
      <c r="I110" s="195">
        <v>0</v>
      </c>
      <c r="J110" s="195">
        <v>0</v>
      </c>
      <c r="K110" s="195">
        <v>248747.80361231067</v>
      </c>
      <c r="L110" s="147"/>
    </row>
    <row r="111" spans="2:12" hidden="1" outlineLevel="3" x14ac:dyDescent="0.25">
      <c r="B111" s="196" t="s">
        <v>298</v>
      </c>
      <c r="C111" s="197" t="s">
        <v>154</v>
      </c>
      <c r="D111" s="198">
        <v>248747.80361231067</v>
      </c>
      <c r="E111" s="198">
        <v>0</v>
      </c>
      <c r="F111" s="198">
        <v>0</v>
      </c>
      <c r="G111" s="198">
        <v>0</v>
      </c>
      <c r="H111" s="198">
        <v>0</v>
      </c>
      <c r="I111" s="198">
        <v>0</v>
      </c>
      <c r="J111" s="198">
        <v>0</v>
      </c>
      <c r="K111" s="198">
        <v>248747.80361231067</v>
      </c>
      <c r="L111" s="147"/>
    </row>
    <row r="112" spans="2:12" hidden="1" outlineLevel="4" x14ac:dyDescent="0.25">
      <c r="B112" s="199" t="s">
        <v>145</v>
      </c>
      <c r="C112" s="200" t="s">
        <v>461</v>
      </c>
      <c r="D112" s="201">
        <v>248747.80361231067</v>
      </c>
      <c r="E112" s="201"/>
      <c r="F112" s="201"/>
      <c r="G112" s="201"/>
      <c r="H112" s="201"/>
      <c r="I112" s="201"/>
      <c r="J112" s="201"/>
      <c r="K112" s="201">
        <v>248747.80361231067</v>
      </c>
    </row>
    <row r="113" spans="2:12" hidden="1" outlineLevel="2" x14ac:dyDescent="0.25">
      <c r="B113" s="193" t="s">
        <v>275</v>
      </c>
      <c r="C113" s="194" t="s">
        <v>155</v>
      </c>
      <c r="D113" s="195">
        <v>64151.638712444867</v>
      </c>
      <c r="E113" s="195">
        <v>0</v>
      </c>
      <c r="F113" s="195">
        <v>0</v>
      </c>
      <c r="G113" s="195">
        <v>0</v>
      </c>
      <c r="H113" s="195">
        <v>0</v>
      </c>
      <c r="I113" s="195">
        <v>0</v>
      </c>
      <c r="J113" s="195">
        <v>0</v>
      </c>
      <c r="K113" s="195">
        <v>64151.638712444867</v>
      </c>
      <c r="L113" s="147"/>
    </row>
    <row r="114" spans="2:12" hidden="1" outlineLevel="3" x14ac:dyDescent="0.25">
      <c r="B114" s="196" t="s">
        <v>299</v>
      </c>
      <c r="C114" s="197" t="s">
        <v>155</v>
      </c>
      <c r="D114" s="198">
        <v>64151.638712444867</v>
      </c>
      <c r="E114" s="198">
        <v>0</v>
      </c>
      <c r="F114" s="198">
        <v>0</v>
      </c>
      <c r="G114" s="198">
        <v>0</v>
      </c>
      <c r="H114" s="198">
        <v>0</v>
      </c>
      <c r="I114" s="198">
        <v>0</v>
      </c>
      <c r="J114" s="198">
        <v>0</v>
      </c>
      <c r="K114" s="198">
        <v>64151.638712444867</v>
      </c>
      <c r="L114" s="147"/>
    </row>
    <row r="115" spans="2:12" hidden="1" outlineLevel="4" x14ac:dyDescent="0.25">
      <c r="B115" s="199" t="s">
        <v>146</v>
      </c>
      <c r="C115" s="200" t="s">
        <v>462</v>
      </c>
      <c r="D115" s="201">
        <v>64151.638712444867</v>
      </c>
      <c r="E115" s="201"/>
      <c r="F115" s="201"/>
      <c r="G115" s="201"/>
      <c r="H115" s="201"/>
      <c r="I115" s="201"/>
      <c r="J115" s="201"/>
      <c r="K115" s="201">
        <v>64151.638712444867</v>
      </c>
    </row>
    <row r="116" spans="2:12" outlineLevel="1" collapsed="1" x14ac:dyDescent="0.25">
      <c r="B116" s="179" t="s">
        <v>58</v>
      </c>
      <c r="C116" s="191" t="s">
        <v>22</v>
      </c>
      <c r="D116" s="192">
        <v>333060.4886274013</v>
      </c>
      <c r="E116" s="192">
        <v>0</v>
      </c>
      <c r="F116" s="192">
        <v>0</v>
      </c>
      <c r="G116" s="192">
        <v>0</v>
      </c>
      <c r="H116" s="192">
        <v>0</v>
      </c>
      <c r="I116" s="192">
        <v>0</v>
      </c>
      <c r="J116" s="192">
        <v>0</v>
      </c>
      <c r="K116" s="192">
        <v>333060.4886274013</v>
      </c>
      <c r="L116" s="147"/>
    </row>
    <row r="117" spans="2:12" hidden="1" outlineLevel="2" x14ac:dyDescent="0.25">
      <c r="B117" s="193" t="s">
        <v>276</v>
      </c>
      <c r="C117" s="194" t="s">
        <v>22</v>
      </c>
      <c r="D117" s="195">
        <v>333060.4886274013</v>
      </c>
      <c r="E117" s="195">
        <v>0</v>
      </c>
      <c r="F117" s="195">
        <v>0</v>
      </c>
      <c r="G117" s="195">
        <v>0</v>
      </c>
      <c r="H117" s="195">
        <v>0</v>
      </c>
      <c r="I117" s="195">
        <v>0</v>
      </c>
      <c r="J117" s="195">
        <v>0</v>
      </c>
      <c r="K117" s="195">
        <v>333060.4886274013</v>
      </c>
      <c r="L117" s="147"/>
    </row>
    <row r="118" spans="2:12" hidden="1" outlineLevel="3" x14ac:dyDescent="0.25">
      <c r="B118" s="196" t="s">
        <v>300</v>
      </c>
      <c r="C118" s="197" t="s">
        <v>22</v>
      </c>
      <c r="D118" s="198">
        <v>333060.4886274013</v>
      </c>
      <c r="E118" s="198">
        <v>0</v>
      </c>
      <c r="F118" s="198">
        <v>0</v>
      </c>
      <c r="G118" s="198">
        <v>0</v>
      </c>
      <c r="H118" s="198">
        <v>0</v>
      </c>
      <c r="I118" s="198">
        <v>0</v>
      </c>
      <c r="J118" s="198">
        <v>0</v>
      </c>
      <c r="K118" s="198">
        <v>333060.4886274013</v>
      </c>
      <c r="L118" s="147"/>
    </row>
    <row r="119" spans="2:12" hidden="1" outlineLevel="4" x14ac:dyDescent="0.25">
      <c r="B119" s="199" t="s">
        <v>304</v>
      </c>
      <c r="C119" s="200" t="s">
        <v>22</v>
      </c>
      <c r="D119" s="201">
        <v>333060.4886274013</v>
      </c>
      <c r="E119" s="201"/>
      <c r="F119" s="201"/>
      <c r="G119" s="201"/>
      <c r="H119" s="201"/>
      <c r="I119" s="201"/>
      <c r="J119" s="201"/>
      <c r="K119" s="201">
        <v>333060.4886274013</v>
      </c>
    </row>
    <row r="120" spans="2:12" ht="15.75" outlineLevel="1" collapsed="1" thickBot="1" x14ac:dyDescent="0.3">
      <c r="B120" s="179" t="s">
        <v>59</v>
      </c>
      <c r="C120" s="191" t="s">
        <v>1</v>
      </c>
      <c r="D120" s="192">
        <v>331723</v>
      </c>
      <c r="E120" s="192">
        <v>0</v>
      </c>
      <c r="F120" s="192">
        <v>0</v>
      </c>
      <c r="G120" s="192">
        <v>0</v>
      </c>
      <c r="H120" s="192">
        <v>0</v>
      </c>
      <c r="I120" s="192">
        <v>0</v>
      </c>
      <c r="J120" s="192">
        <v>0</v>
      </c>
      <c r="K120" s="192">
        <v>331723</v>
      </c>
      <c r="L120" s="147"/>
    </row>
    <row r="121" spans="2:12" ht="15.75" hidden="1" outlineLevel="2" thickBot="1" x14ac:dyDescent="0.3">
      <c r="B121" s="193" t="s">
        <v>312</v>
      </c>
      <c r="C121" s="194" t="s">
        <v>281</v>
      </c>
      <c r="D121" s="195">
        <v>331723</v>
      </c>
      <c r="E121" s="195">
        <v>0</v>
      </c>
      <c r="F121" s="195">
        <v>0</v>
      </c>
      <c r="G121" s="195">
        <v>0</v>
      </c>
      <c r="H121" s="195">
        <v>0</v>
      </c>
      <c r="I121" s="195">
        <v>0</v>
      </c>
      <c r="J121" s="195">
        <v>0</v>
      </c>
      <c r="K121" s="195">
        <v>331723</v>
      </c>
      <c r="L121" s="147"/>
    </row>
    <row r="122" spans="2:12" ht="15.75" hidden="1" outlineLevel="3" thickBot="1" x14ac:dyDescent="0.3">
      <c r="B122" s="196" t="s">
        <v>313</v>
      </c>
      <c r="C122" s="197" t="s">
        <v>281</v>
      </c>
      <c r="D122" s="198">
        <v>331723</v>
      </c>
      <c r="E122" s="198">
        <v>0</v>
      </c>
      <c r="F122" s="198">
        <v>0</v>
      </c>
      <c r="G122" s="198">
        <v>0</v>
      </c>
      <c r="H122" s="198">
        <v>0</v>
      </c>
      <c r="I122" s="198">
        <v>0</v>
      </c>
      <c r="J122" s="198">
        <v>0</v>
      </c>
      <c r="K122" s="198">
        <v>331723</v>
      </c>
      <c r="L122" s="147"/>
    </row>
    <row r="123" spans="2:12" ht="15.75" hidden="1" outlineLevel="4" thickBot="1" x14ac:dyDescent="0.3">
      <c r="B123" s="199" t="s">
        <v>310</v>
      </c>
      <c r="C123" s="200" t="s">
        <v>463</v>
      </c>
      <c r="D123" s="201">
        <v>331723</v>
      </c>
      <c r="E123" s="201"/>
      <c r="F123" s="201"/>
      <c r="G123" s="201"/>
      <c r="H123" s="201"/>
      <c r="I123" s="201"/>
      <c r="J123" s="201"/>
      <c r="K123" s="201">
        <v>331723</v>
      </c>
    </row>
    <row r="124" spans="2:12" s="91" customFormat="1" x14ac:dyDescent="0.25">
      <c r="B124" s="160" t="s">
        <v>61</v>
      </c>
      <c r="C124" s="161"/>
      <c r="D124" s="162">
        <v>7253161.7452909239</v>
      </c>
      <c r="E124" s="162">
        <v>0</v>
      </c>
      <c r="F124" s="162">
        <v>16646.2</v>
      </c>
      <c r="G124" s="162">
        <v>3553540.0516044381</v>
      </c>
      <c r="H124" s="162">
        <v>146936.84671327434</v>
      </c>
      <c r="I124" s="162">
        <v>0</v>
      </c>
      <c r="J124" s="162">
        <v>119526.765296</v>
      </c>
      <c r="K124" s="162">
        <v>3433158.0816772119</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124"/>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63</v>
      </c>
      <c r="C2" s="156" t="s">
        <v>3</v>
      </c>
      <c r="D2" s="157" t="s">
        <v>64</v>
      </c>
      <c r="E2" s="157" t="s">
        <v>76</v>
      </c>
      <c r="F2" s="188" t="s">
        <v>468</v>
      </c>
      <c r="G2" s="188" t="s">
        <v>469</v>
      </c>
      <c r="H2" s="188" t="s">
        <v>470</v>
      </c>
    </row>
    <row r="3" spans="2:9" x14ac:dyDescent="0.25">
      <c r="B3" s="233" t="s">
        <v>376</v>
      </c>
      <c r="C3" s="234"/>
      <c r="D3" s="236">
        <v>7253161.7452909257</v>
      </c>
      <c r="E3" s="236">
        <v>0</v>
      </c>
      <c r="F3" s="236">
        <v>473767.30849540327</v>
      </c>
      <c r="G3" s="236">
        <v>565808.51533941203</v>
      </c>
      <c r="H3" s="236">
        <v>6213585.9214561097</v>
      </c>
    </row>
    <row r="4" spans="2:9" x14ac:dyDescent="0.25">
      <c r="B4" s="211" t="s">
        <v>384</v>
      </c>
      <c r="C4" s="212"/>
      <c r="D4" s="214">
        <v>7253161.7452909257</v>
      </c>
      <c r="E4" s="214">
        <v>0</v>
      </c>
      <c r="F4" s="214">
        <v>473767.30849540327</v>
      </c>
      <c r="G4" s="214">
        <v>565808.51533941203</v>
      </c>
      <c r="H4" s="214">
        <v>6213585.9214561097</v>
      </c>
    </row>
    <row r="5" spans="2:9" outlineLevel="1" x14ac:dyDescent="0.25">
      <c r="B5" s="179" t="s">
        <v>43</v>
      </c>
      <c r="C5" s="191" t="s">
        <v>170</v>
      </c>
      <c r="D5" s="178">
        <v>13642.180580894914</v>
      </c>
      <c r="E5" s="178">
        <v>0</v>
      </c>
      <c r="F5" s="178">
        <v>6835.9014101694911</v>
      </c>
      <c r="G5" s="178">
        <v>6806.2791707254237</v>
      </c>
      <c r="H5" s="178">
        <v>0</v>
      </c>
    </row>
    <row r="6" spans="2:9" hidden="1" outlineLevel="2" x14ac:dyDescent="0.25">
      <c r="B6" s="181" t="s">
        <v>171</v>
      </c>
      <c r="C6" s="194" t="s">
        <v>174</v>
      </c>
      <c r="D6" s="182">
        <v>5456.8722323579668</v>
      </c>
      <c r="E6" s="182">
        <v>0</v>
      </c>
      <c r="F6" s="180">
        <v>2734.360564067797</v>
      </c>
      <c r="G6" s="180">
        <v>2722.5116682901698</v>
      </c>
      <c r="H6" s="180">
        <v>0</v>
      </c>
    </row>
    <row r="7" spans="2:9" hidden="1" outlineLevel="3" x14ac:dyDescent="0.25">
      <c r="B7" s="181" t="s">
        <v>172</v>
      </c>
      <c r="C7" s="197" t="s">
        <v>174</v>
      </c>
      <c r="D7" s="184">
        <v>5456.8722323579668</v>
      </c>
      <c r="E7" s="184">
        <v>0</v>
      </c>
      <c r="F7" s="183">
        <v>2734.360564067797</v>
      </c>
      <c r="G7" s="183">
        <v>2722.5116682901698</v>
      </c>
      <c r="H7" s="183">
        <v>0</v>
      </c>
    </row>
    <row r="8" spans="2:9" hidden="1" outlineLevel="4" x14ac:dyDescent="0.25">
      <c r="B8" s="186" t="s">
        <v>173</v>
      </c>
      <c r="C8" s="241"/>
      <c r="D8" s="187">
        <v>5456.8722323579668</v>
      </c>
      <c r="E8" s="187"/>
      <c r="F8" s="185">
        <v>2734.360564067797</v>
      </c>
      <c r="G8" s="185">
        <v>2722.5116682901698</v>
      </c>
      <c r="H8" s="185"/>
    </row>
    <row r="9" spans="2:9" hidden="1" outlineLevel="2" x14ac:dyDescent="0.25">
      <c r="B9" s="181" t="s">
        <v>175</v>
      </c>
      <c r="C9" s="194" t="s">
        <v>178</v>
      </c>
      <c r="D9" s="182">
        <v>8185.308348536948</v>
      </c>
      <c r="E9" s="182">
        <v>0</v>
      </c>
      <c r="F9" s="180">
        <v>4101.5408461016941</v>
      </c>
      <c r="G9" s="180">
        <v>4083.7675024352543</v>
      </c>
      <c r="H9" s="180">
        <v>0</v>
      </c>
    </row>
    <row r="10" spans="2:9" hidden="1" outlineLevel="3" x14ac:dyDescent="0.25">
      <c r="B10" s="181" t="s">
        <v>176</v>
      </c>
      <c r="C10" s="197" t="s">
        <v>178</v>
      </c>
      <c r="D10" s="184">
        <v>8185.308348536948</v>
      </c>
      <c r="E10" s="184">
        <v>0</v>
      </c>
      <c r="F10" s="183">
        <v>4101.5408461016941</v>
      </c>
      <c r="G10" s="183">
        <v>4083.7675024352543</v>
      </c>
      <c r="H10" s="183">
        <v>0</v>
      </c>
    </row>
    <row r="11" spans="2:9" hidden="1" outlineLevel="4" x14ac:dyDescent="0.25">
      <c r="B11" s="186" t="s">
        <v>177</v>
      </c>
      <c r="C11" s="241"/>
      <c r="D11" s="187">
        <v>8185.308348536948</v>
      </c>
      <c r="E11" s="187"/>
      <c r="F11" s="185">
        <v>4101.5408461016941</v>
      </c>
      <c r="G11" s="185">
        <v>4083.7675024352543</v>
      </c>
      <c r="H11" s="185"/>
    </row>
    <row r="12" spans="2:9" outlineLevel="1" collapsed="1" x14ac:dyDescent="0.25">
      <c r="B12" s="179" t="s">
        <v>44</v>
      </c>
      <c r="C12" s="191" t="s">
        <v>14</v>
      </c>
      <c r="D12" s="178">
        <v>173937.80240641016</v>
      </c>
      <c r="E12" s="178">
        <v>0</v>
      </c>
      <c r="F12" s="178">
        <v>87157.742979661009</v>
      </c>
      <c r="G12" s="178">
        <v>86780.059426749169</v>
      </c>
      <c r="H12" s="178">
        <v>0</v>
      </c>
    </row>
    <row r="13" spans="2:9" hidden="1" outlineLevel="2" x14ac:dyDescent="0.25">
      <c r="B13" s="181" t="s">
        <v>179</v>
      </c>
      <c r="C13" s="194" t="s">
        <v>230</v>
      </c>
      <c r="D13" s="182">
        <v>17393.780240641016</v>
      </c>
      <c r="E13" s="182">
        <v>0</v>
      </c>
      <c r="F13" s="180">
        <v>8715.7742979660998</v>
      </c>
      <c r="G13" s="180">
        <v>8678.0059426749158</v>
      </c>
      <c r="H13" s="180">
        <v>0</v>
      </c>
    </row>
    <row r="14" spans="2:9" hidden="1" outlineLevel="3" x14ac:dyDescent="0.25">
      <c r="B14" s="181" t="s">
        <v>180</v>
      </c>
      <c r="C14" s="197" t="s">
        <v>182</v>
      </c>
      <c r="D14" s="184">
        <v>17393.780240641016</v>
      </c>
      <c r="E14" s="184">
        <v>0</v>
      </c>
      <c r="F14" s="183">
        <v>8715.7742979660998</v>
      </c>
      <c r="G14" s="183">
        <v>8678.0059426749158</v>
      </c>
      <c r="H14" s="183">
        <v>0</v>
      </c>
    </row>
    <row r="15" spans="2:9" hidden="1" outlineLevel="4" x14ac:dyDescent="0.25">
      <c r="B15" s="186" t="s">
        <v>181</v>
      </c>
      <c r="C15" s="241"/>
      <c r="D15" s="187">
        <v>17393.780240641016</v>
      </c>
      <c r="E15" s="187"/>
      <c r="F15" s="185">
        <v>8715.7742979660998</v>
      </c>
      <c r="G15" s="185">
        <v>8678.0059426749158</v>
      </c>
      <c r="H15" s="185"/>
    </row>
    <row r="16" spans="2:9" hidden="1" outlineLevel="2" x14ac:dyDescent="0.25">
      <c r="B16" s="181" t="s">
        <v>183</v>
      </c>
      <c r="C16" s="194" t="s">
        <v>231</v>
      </c>
      <c r="D16" s="182">
        <v>156544.02216576916</v>
      </c>
      <c r="E16" s="182">
        <v>0</v>
      </c>
      <c r="F16" s="180">
        <v>78441.968681694911</v>
      </c>
      <c r="G16" s="180">
        <v>78102.053484074248</v>
      </c>
      <c r="H16" s="180">
        <v>0</v>
      </c>
    </row>
    <row r="17" spans="2:8" hidden="1" outlineLevel="3" x14ac:dyDescent="0.25">
      <c r="B17" s="181" t="s">
        <v>184</v>
      </c>
      <c r="C17" s="197" t="s">
        <v>186</v>
      </c>
      <c r="D17" s="184">
        <v>156544.02216576916</v>
      </c>
      <c r="E17" s="184">
        <v>0</v>
      </c>
      <c r="F17" s="183">
        <v>78441.968681694911</v>
      </c>
      <c r="G17" s="183">
        <v>78102.053484074248</v>
      </c>
      <c r="H17" s="183">
        <v>0</v>
      </c>
    </row>
    <row r="18" spans="2:8" hidden="1" outlineLevel="4" x14ac:dyDescent="0.25">
      <c r="B18" s="186" t="s">
        <v>185</v>
      </c>
      <c r="C18" s="241"/>
      <c r="D18" s="187">
        <v>156544.02216576916</v>
      </c>
      <c r="E18" s="187"/>
      <c r="F18" s="185">
        <v>78441.968681694911</v>
      </c>
      <c r="G18" s="185">
        <v>78102.053484074248</v>
      </c>
      <c r="H18" s="185"/>
    </row>
    <row r="19" spans="2:8" outlineLevel="1" collapsed="1" x14ac:dyDescent="0.25">
      <c r="B19" s="179" t="s">
        <v>45</v>
      </c>
      <c r="C19" s="191" t="s">
        <v>15</v>
      </c>
      <c r="D19" s="178">
        <v>61167.489238709684</v>
      </c>
      <c r="E19" s="178">
        <v>0</v>
      </c>
      <c r="F19" s="178">
        <v>36794.625376344084</v>
      </c>
      <c r="G19" s="178">
        <v>24372.86386236559</v>
      </c>
      <c r="H19" s="178">
        <v>0</v>
      </c>
    </row>
    <row r="20" spans="2:8" hidden="1" outlineLevel="2" x14ac:dyDescent="0.25">
      <c r="B20" s="181" t="s">
        <v>187</v>
      </c>
      <c r="C20" s="194" t="s">
        <v>232</v>
      </c>
      <c r="D20" s="182">
        <v>24079.053367741933</v>
      </c>
      <c r="E20" s="182">
        <v>0</v>
      </c>
      <c r="F20" s="180">
        <v>14484.487741935483</v>
      </c>
      <c r="G20" s="180">
        <v>9594.56562580645</v>
      </c>
      <c r="H20" s="180">
        <v>0</v>
      </c>
    </row>
    <row r="21" spans="2:8" hidden="1" outlineLevel="3" x14ac:dyDescent="0.25">
      <c r="B21" s="181" t="s">
        <v>188</v>
      </c>
      <c r="C21" s="197" t="s">
        <v>190</v>
      </c>
      <c r="D21" s="184">
        <v>2719.5623225806457</v>
      </c>
      <c r="E21" s="184">
        <v>0</v>
      </c>
      <c r="F21" s="183">
        <v>1635.9225806451614</v>
      </c>
      <c r="G21" s="183">
        <v>1083.6397419354842</v>
      </c>
      <c r="H21" s="183">
        <v>0</v>
      </c>
    </row>
    <row r="22" spans="2:8" hidden="1" outlineLevel="4" x14ac:dyDescent="0.25">
      <c r="B22" s="186" t="s">
        <v>189</v>
      </c>
      <c r="C22" s="241"/>
      <c r="D22" s="187">
        <v>2719.5623225806457</v>
      </c>
      <c r="E22" s="187"/>
      <c r="F22" s="185">
        <v>1635.9225806451614</v>
      </c>
      <c r="G22" s="185">
        <v>1083.6397419354842</v>
      </c>
      <c r="H22" s="185"/>
    </row>
    <row r="23" spans="2:8" hidden="1" outlineLevel="3" x14ac:dyDescent="0.25">
      <c r="B23" s="181" t="s">
        <v>191</v>
      </c>
      <c r="C23" s="197" t="s">
        <v>193</v>
      </c>
      <c r="D23" s="184">
        <v>21359.491045161289</v>
      </c>
      <c r="E23" s="184">
        <v>0</v>
      </c>
      <c r="F23" s="183">
        <v>12848.565161290322</v>
      </c>
      <c r="G23" s="183">
        <v>8510.9258838709666</v>
      </c>
      <c r="H23" s="183">
        <v>0</v>
      </c>
    </row>
    <row r="24" spans="2:8" hidden="1" outlineLevel="4" x14ac:dyDescent="0.25">
      <c r="B24" s="186" t="s">
        <v>192</v>
      </c>
      <c r="C24" s="241"/>
      <c r="D24" s="187">
        <v>21359.491045161289</v>
      </c>
      <c r="E24" s="187"/>
      <c r="F24" s="185">
        <v>12848.565161290322</v>
      </c>
      <c r="G24" s="185">
        <v>8510.9258838709666</v>
      </c>
      <c r="H24" s="185"/>
    </row>
    <row r="25" spans="2:8" hidden="1" outlineLevel="2" x14ac:dyDescent="0.25">
      <c r="B25" s="181" t="s">
        <v>194</v>
      </c>
      <c r="C25" s="194" t="s">
        <v>233</v>
      </c>
      <c r="D25" s="182">
        <v>34271.341625806454</v>
      </c>
      <c r="E25" s="182">
        <v>0</v>
      </c>
      <c r="F25" s="180">
        <v>20615.545806451613</v>
      </c>
      <c r="G25" s="180">
        <v>13655.79581935484</v>
      </c>
      <c r="H25" s="180">
        <v>0</v>
      </c>
    </row>
    <row r="26" spans="2:8" hidden="1" outlineLevel="3" x14ac:dyDescent="0.25">
      <c r="B26" s="181" t="s">
        <v>236</v>
      </c>
      <c r="C26" s="197" t="s">
        <v>197</v>
      </c>
      <c r="D26" s="184">
        <v>5439.1246451612915</v>
      </c>
      <c r="E26" s="184">
        <v>0</v>
      </c>
      <c r="F26" s="183">
        <v>3271.8451612903227</v>
      </c>
      <c r="G26" s="183">
        <v>2167.2794838709683</v>
      </c>
      <c r="H26" s="183">
        <v>0</v>
      </c>
    </row>
    <row r="27" spans="2:8" hidden="1" outlineLevel="4" x14ac:dyDescent="0.25">
      <c r="B27" s="186" t="s">
        <v>237</v>
      </c>
      <c r="C27" s="241"/>
      <c r="D27" s="187">
        <v>5439.1246451612915</v>
      </c>
      <c r="E27" s="187"/>
      <c r="F27" s="185">
        <v>3271.8451612903227</v>
      </c>
      <c r="G27" s="185">
        <v>2167.2794838709683</v>
      </c>
      <c r="H27" s="185"/>
    </row>
    <row r="28" spans="2:8" hidden="1" outlineLevel="3" x14ac:dyDescent="0.25">
      <c r="B28" s="181" t="s">
        <v>195</v>
      </c>
      <c r="C28" s="197" t="s">
        <v>197</v>
      </c>
      <c r="D28" s="184">
        <v>28832.216980645164</v>
      </c>
      <c r="E28" s="184">
        <v>0</v>
      </c>
      <c r="F28" s="183">
        <v>17343.700645161291</v>
      </c>
      <c r="G28" s="183">
        <v>11488.516335483871</v>
      </c>
      <c r="H28" s="183">
        <v>0</v>
      </c>
    </row>
    <row r="29" spans="2:8" hidden="1" outlineLevel="4" x14ac:dyDescent="0.25">
      <c r="B29" s="186" t="s">
        <v>196</v>
      </c>
      <c r="C29" s="241"/>
      <c r="D29" s="187">
        <v>28832.216980645164</v>
      </c>
      <c r="E29" s="187"/>
      <c r="F29" s="185">
        <v>17343.700645161291</v>
      </c>
      <c r="G29" s="185">
        <v>11488.516335483871</v>
      </c>
      <c r="H29" s="185"/>
    </row>
    <row r="30" spans="2:8" hidden="1" outlineLevel="2" x14ac:dyDescent="0.25">
      <c r="B30" s="181" t="s">
        <v>234</v>
      </c>
      <c r="C30" s="194" t="s">
        <v>235</v>
      </c>
      <c r="D30" s="182">
        <v>2817.0942451612909</v>
      </c>
      <c r="E30" s="182">
        <v>0</v>
      </c>
      <c r="F30" s="180">
        <v>1694.5918279569894</v>
      </c>
      <c r="G30" s="180">
        <v>1122.5024172043013</v>
      </c>
      <c r="H30" s="180">
        <v>0</v>
      </c>
    </row>
    <row r="31" spans="2:8" hidden="1" outlineLevel="3" x14ac:dyDescent="0.25">
      <c r="B31" s="181" t="s">
        <v>240</v>
      </c>
      <c r="C31" s="197" t="s">
        <v>241</v>
      </c>
      <c r="D31" s="184">
        <v>2817.0942451612909</v>
      </c>
      <c r="E31" s="184">
        <v>0</v>
      </c>
      <c r="F31" s="183">
        <v>1694.5918279569894</v>
      </c>
      <c r="G31" s="183">
        <v>1122.5024172043013</v>
      </c>
      <c r="H31" s="183">
        <v>0</v>
      </c>
    </row>
    <row r="32" spans="2:8" hidden="1" outlineLevel="4" x14ac:dyDescent="0.25">
      <c r="B32" s="186" t="s">
        <v>242</v>
      </c>
      <c r="C32" s="241"/>
      <c r="D32" s="187">
        <v>2817.0942451612909</v>
      </c>
      <c r="E32" s="187"/>
      <c r="F32" s="185">
        <v>1694.5918279569894</v>
      </c>
      <c r="G32" s="185">
        <v>1122.5024172043013</v>
      </c>
      <c r="H32" s="185"/>
    </row>
    <row r="33" spans="2:8" outlineLevel="1" collapsed="1" x14ac:dyDescent="0.25">
      <c r="B33" s="179" t="s">
        <v>46</v>
      </c>
      <c r="C33" s="191" t="s">
        <v>198</v>
      </c>
      <c r="D33" s="178">
        <v>146936.84671327434</v>
      </c>
      <c r="E33" s="178">
        <v>0</v>
      </c>
      <c r="F33" s="178">
        <v>85634.415504424775</v>
      </c>
      <c r="G33" s="178">
        <v>61302.431208849564</v>
      </c>
      <c r="H33" s="178">
        <v>0</v>
      </c>
    </row>
    <row r="34" spans="2:8" hidden="1" outlineLevel="2" x14ac:dyDescent="0.25">
      <c r="B34" s="181" t="s">
        <v>238</v>
      </c>
      <c r="C34" s="194" t="s">
        <v>239</v>
      </c>
      <c r="D34" s="182">
        <v>146936.84671327434</v>
      </c>
      <c r="E34" s="182">
        <v>0</v>
      </c>
      <c r="F34" s="180">
        <v>85634.415504424775</v>
      </c>
      <c r="G34" s="180">
        <v>61302.431208849564</v>
      </c>
      <c r="H34" s="180">
        <v>0</v>
      </c>
    </row>
    <row r="35" spans="2:8" hidden="1" outlineLevel="3" x14ac:dyDescent="0.25">
      <c r="B35" s="181" t="s">
        <v>257</v>
      </c>
      <c r="C35" s="197" t="s">
        <v>258</v>
      </c>
      <c r="D35" s="184">
        <v>127011.56413097345</v>
      </c>
      <c r="E35" s="184">
        <v>0</v>
      </c>
      <c r="F35" s="183">
        <v>74022.012176991149</v>
      </c>
      <c r="G35" s="183">
        <v>52989.551953982307</v>
      </c>
      <c r="H35" s="183">
        <v>0</v>
      </c>
    </row>
    <row r="36" spans="2:8" hidden="1" outlineLevel="4" x14ac:dyDescent="0.25">
      <c r="B36" s="186" t="s">
        <v>261</v>
      </c>
      <c r="C36" s="241"/>
      <c r="D36" s="187">
        <v>127011.56413097345</v>
      </c>
      <c r="E36" s="187"/>
      <c r="F36" s="185">
        <v>74022.012176991149</v>
      </c>
      <c r="G36" s="185">
        <v>52989.551953982307</v>
      </c>
      <c r="H36" s="185"/>
    </row>
    <row r="37" spans="2:8" hidden="1" outlineLevel="3" x14ac:dyDescent="0.25">
      <c r="B37" s="181" t="s">
        <v>259</v>
      </c>
      <c r="C37" s="197" t="s">
        <v>260</v>
      </c>
      <c r="D37" s="184">
        <v>19925.282582300886</v>
      </c>
      <c r="E37" s="184">
        <v>0</v>
      </c>
      <c r="F37" s="183">
        <v>11612.403327433631</v>
      </c>
      <c r="G37" s="183">
        <v>8312.8792548672554</v>
      </c>
      <c r="H37" s="183">
        <v>0</v>
      </c>
    </row>
    <row r="38" spans="2:8" hidden="1" outlineLevel="4" x14ac:dyDescent="0.25">
      <c r="B38" s="186" t="s">
        <v>262</v>
      </c>
      <c r="C38" s="241"/>
      <c r="D38" s="187">
        <v>19925.282582300886</v>
      </c>
      <c r="E38" s="187"/>
      <c r="F38" s="185">
        <v>11612.403327433631</v>
      </c>
      <c r="G38" s="185">
        <v>8312.8792548672554</v>
      </c>
      <c r="H38" s="185"/>
    </row>
    <row r="39" spans="2:8" outlineLevel="1" collapsed="1" x14ac:dyDescent="0.25">
      <c r="B39" s="179" t="s">
        <v>47</v>
      </c>
      <c r="C39" s="191" t="s">
        <v>199</v>
      </c>
      <c r="D39" s="178">
        <v>1389426.2274102001</v>
      </c>
      <c r="E39" s="178">
        <v>0</v>
      </c>
      <c r="F39" s="178">
        <v>0</v>
      </c>
      <c r="G39" s="178">
        <v>0</v>
      </c>
      <c r="H39" s="178">
        <v>1389426.2274102001</v>
      </c>
    </row>
    <row r="40" spans="2:8" hidden="1" outlineLevel="2" x14ac:dyDescent="0.25">
      <c r="B40" s="181" t="s">
        <v>200</v>
      </c>
      <c r="C40" s="194" t="s">
        <v>243</v>
      </c>
      <c r="D40" s="182">
        <v>87309.861206200017</v>
      </c>
      <c r="E40" s="182">
        <v>0</v>
      </c>
      <c r="F40" s="180">
        <v>0</v>
      </c>
      <c r="G40" s="180">
        <v>0</v>
      </c>
      <c r="H40" s="180">
        <v>87309.861206200017</v>
      </c>
    </row>
    <row r="41" spans="2:8" hidden="1" outlineLevel="3" x14ac:dyDescent="0.25">
      <c r="B41" s="181" t="s">
        <v>201</v>
      </c>
      <c r="C41" s="197" t="s">
        <v>264</v>
      </c>
      <c r="D41" s="184">
        <v>21146.70752</v>
      </c>
      <c r="E41" s="184">
        <v>0</v>
      </c>
      <c r="F41" s="183">
        <v>0</v>
      </c>
      <c r="G41" s="183">
        <v>0</v>
      </c>
      <c r="H41" s="183">
        <v>21146.70752</v>
      </c>
    </row>
    <row r="42" spans="2:8" hidden="1" outlineLevel="4" x14ac:dyDescent="0.25">
      <c r="B42" s="186" t="s">
        <v>202</v>
      </c>
      <c r="C42" s="241"/>
      <c r="D42" s="187">
        <v>21146.70752</v>
      </c>
      <c r="E42" s="187"/>
      <c r="F42" s="185"/>
      <c r="G42" s="185"/>
      <c r="H42" s="185">
        <v>21146.70752</v>
      </c>
    </row>
    <row r="43" spans="2:8" hidden="1" outlineLevel="3" x14ac:dyDescent="0.25">
      <c r="B43" s="181" t="s">
        <v>203</v>
      </c>
      <c r="C43" s="197" t="s">
        <v>205</v>
      </c>
      <c r="D43" s="184">
        <v>66163.153686200021</v>
      </c>
      <c r="E43" s="184">
        <v>0</v>
      </c>
      <c r="F43" s="183">
        <v>0</v>
      </c>
      <c r="G43" s="183">
        <v>0</v>
      </c>
      <c r="H43" s="183">
        <v>66163.153686200021</v>
      </c>
    </row>
    <row r="44" spans="2:8" hidden="1" outlineLevel="4" x14ac:dyDescent="0.25">
      <c r="B44" s="186" t="s">
        <v>204</v>
      </c>
      <c r="C44" s="241"/>
      <c r="D44" s="187">
        <v>66163.153686200021</v>
      </c>
      <c r="E44" s="187"/>
      <c r="F44" s="185"/>
      <c r="G44" s="185"/>
      <c r="H44" s="185">
        <v>66163.153686200021</v>
      </c>
    </row>
    <row r="45" spans="2:8" hidden="1" outlineLevel="2" x14ac:dyDescent="0.25">
      <c r="B45" s="181" t="s">
        <v>206</v>
      </c>
      <c r="C45" s="194" t="s">
        <v>244</v>
      </c>
      <c r="D45" s="182">
        <v>1302116.3662040001</v>
      </c>
      <c r="E45" s="182">
        <v>0</v>
      </c>
      <c r="F45" s="180">
        <v>0</v>
      </c>
      <c r="G45" s="180">
        <v>0</v>
      </c>
      <c r="H45" s="180">
        <v>1302116.3662040001</v>
      </c>
    </row>
    <row r="46" spans="2:8" hidden="1" outlineLevel="3" x14ac:dyDescent="0.25">
      <c r="B46" s="181" t="s">
        <v>207</v>
      </c>
      <c r="C46" s="197" t="s">
        <v>270</v>
      </c>
      <c r="D46" s="184">
        <v>50429.07521599999</v>
      </c>
      <c r="E46" s="184">
        <v>0</v>
      </c>
      <c r="F46" s="183">
        <v>0</v>
      </c>
      <c r="G46" s="183">
        <v>0</v>
      </c>
      <c r="H46" s="183">
        <v>50429.07521599999</v>
      </c>
    </row>
    <row r="47" spans="2:8" hidden="1" outlineLevel="4" x14ac:dyDescent="0.25">
      <c r="B47" s="186" t="s">
        <v>287</v>
      </c>
      <c r="C47" s="241"/>
      <c r="D47" s="187">
        <v>50429.07521599999</v>
      </c>
      <c r="E47" s="187"/>
      <c r="F47" s="185"/>
      <c r="G47" s="185"/>
      <c r="H47" s="185">
        <v>50429.07521599999</v>
      </c>
    </row>
    <row r="48" spans="2:8" hidden="1" outlineLevel="3" x14ac:dyDescent="0.25">
      <c r="B48" s="181" t="s">
        <v>272</v>
      </c>
      <c r="C48" s="197" t="s">
        <v>273</v>
      </c>
      <c r="D48" s="184">
        <v>1251687.2909880001</v>
      </c>
      <c r="E48" s="184">
        <v>0</v>
      </c>
      <c r="F48" s="183">
        <v>0</v>
      </c>
      <c r="G48" s="183">
        <v>0</v>
      </c>
      <c r="H48" s="183">
        <v>1251687.2909880001</v>
      </c>
    </row>
    <row r="49" spans="2:8" hidden="1" outlineLevel="4" x14ac:dyDescent="0.25">
      <c r="B49" s="186" t="s">
        <v>288</v>
      </c>
      <c r="C49" s="241"/>
      <c r="D49" s="187">
        <v>1251687.2909880001</v>
      </c>
      <c r="E49" s="187"/>
      <c r="F49" s="185"/>
      <c r="G49" s="185"/>
      <c r="H49" s="185">
        <v>1251687.2909880001</v>
      </c>
    </row>
    <row r="50" spans="2:8" outlineLevel="1" collapsed="1" x14ac:dyDescent="0.25">
      <c r="B50" s="179" t="s">
        <v>48</v>
      </c>
      <c r="C50" s="191" t="s">
        <v>16</v>
      </c>
      <c r="D50" s="178">
        <v>1814491.2187999999</v>
      </c>
      <c r="E50" s="178">
        <v>0</v>
      </c>
      <c r="F50" s="178">
        <v>0</v>
      </c>
      <c r="G50" s="178">
        <v>0</v>
      </c>
      <c r="H50" s="178">
        <v>1814491.2187999999</v>
      </c>
    </row>
    <row r="51" spans="2:8" hidden="1" outlineLevel="2" x14ac:dyDescent="0.25">
      <c r="B51" s="181" t="s">
        <v>208</v>
      </c>
      <c r="C51" s="194" t="s">
        <v>245</v>
      </c>
      <c r="D51" s="182">
        <v>663104.93599999999</v>
      </c>
      <c r="E51" s="182">
        <v>0</v>
      </c>
      <c r="F51" s="180">
        <v>0</v>
      </c>
      <c r="G51" s="180">
        <v>0</v>
      </c>
      <c r="H51" s="180">
        <v>663104.93599999999</v>
      </c>
    </row>
    <row r="52" spans="2:8" hidden="1" outlineLevel="3" x14ac:dyDescent="0.25">
      <c r="B52" s="181" t="s">
        <v>277</v>
      </c>
      <c r="C52" s="197" t="s">
        <v>278</v>
      </c>
      <c r="D52" s="184">
        <v>663104.93599999999</v>
      </c>
      <c r="E52" s="184">
        <v>0</v>
      </c>
      <c r="F52" s="183">
        <v>0</v>
      </c>
      <c r="G52" s="183">
        <v>0</v>
      </c>
      <c r="H52" s="183">
        <v>663104.93599999999</v>
      </c>
    </row>
    <row r="53" spans="2:8" hidden="1" outlineLevel="4" x14ac:dyDescent="0.25">
      <c r="B53" s="186" t="s">
        <v>290</v>
      </c>
      <c r="C53" s="241"/>
      <c r="D53" s="187">
        <v>663104.93599999999</v>
      </c>
      <c r="E53" s="187"/>
      <c r="F53" s="185"/>
      <c r="G53" s="185"/>
      <c r="H53" s="185">
        <v>663104.93599999999</v>
      </c>
    </row>
    <row r="54" spans="2:8" hidden="1" outlineLevel="2" x14ac:dyDescent="0.25">
      <c r="B54" s="181" t="s">
        <v>209</v>
      </c>
      <c r="C54" s="194" t="s">
        <v>246</v>
      </c>
      <c r="D54" s="182">
        <v>1151386.2827999999</v>
      </c>
      <c r="E54" s="182">
        <v>0</v>
      </c>
      <c r="F54" s="180">
        <v>0</v>
      </c>
      <c r="G54" s="180">
        <v>0</v>
      </c>
      <c r="H54" s="180">
        <v>1151386.2827999999</v>
      </c>
    </row>
    <row r="55" spans="2:8" hidden="1" outlineLevel="3" x14ac:dyDescent="0.25">
      <c r="B55" s="181" t="s">
        <v>279</v>
      </c>
      <c r="C55" s="197" t="s">
        <v>280</v>
      </c>
      <c r="D55" s="184">
        <v>1151386.2827999999</v>
      </c>
      <c r="E55" s="184">
        <v>0</v>
      </c>
      <c r="F55" s="183">
        <v>0</v>
      </c>
      <c r="G55" s="183">
        <v>0</v>
      </c>
      <c r="H55" s="183">
        <v>1151386.2827999999</v>
      </c>
    </row>
    <row r="56" spans="2:8" hidden="1" outlineLevel="4" x14ac:dyDescent="0.25">
      <c r="B56" s="186" t="s">
        <v>291</v>
      </c>
      <c r="C56" s="241"/>
      <c r="D56" s="187">
        <v>1151386.2827999999</v>
      </c>
      <c r="E56" s="187"/>
      <c r="F56" s="185"/>
      <c r="G56" s="185"/>
      <c r="H56" s="185">
        <v>1151386.2827999999</v>
      </c>
    </row>
    <row r="57" spans="2:8" outlineLevel="1" collapsed="1" x14ac:dyDescent="0.25">
      <c r="B57" s="179" t="s">
        <v>49</v>
      </c>
      <c r="C57" s="191" t="s">
        <v>17</v>
      </c>
      <c r="D57" s="178">
        <v>96925.678302223358</v>
      </c>
      <c r="E57" s="178">
        <v>0</v>
      </c>
      <c r="F57" s="178">
        <v>20257.701239317317</v>
      </c>
      <c r="G57" s="178">
        <v>40444.9460100734</v>
      </c>
      <c r="H57" s="178">
        <v>36223.031052832652</v>
      </c>
    </row>
    <row r="58" spans="2:8" hidden="1" outlineLevel="2" x14ac:dyDescent="0.25">
      <c r="B58" s="181" t="s">
        <v>210</v>
      </c>
      <c r="C58" s="194" t="s">
        <v>247</v>
      </c>
      <c r="D58" s="182">
        <v>25029.792238591417</v>
      </c>
      <c r="E58" s="182">
        <v>0</v>
      </c>
      <c r="F58" s="180">
        <v>4275.4892099322797</v>
      </c>
      <c r="G58" s="180">
        <v>10238.026550790066</v>
      </c>
      <c r="H58" s="180">
        <v>10516.276477869073</v>
      </c>
    </row>
    <row r="59" spans="2:8" hidden="1" outlineLevel="3" x14ac:dyDescent="0.25">
      <c r="B59" s="181" t="s">
        <v>211</v>
      </c>
      <c r="C59" s="197" t="s">
        <v>213</v>
      </c>
      <c r="D59" s="184">
        <v>25029.792238591417</v>
      </c>
      <c r="E59" s="184">
        <v>0</v>
      </c>
      <c r="F59" s="183">
        <v>4275.4892099322797</v>
      </c>
      <c r="G59" s="183">
        <v>10238.026550790066</v>
      </c>
      <c r="H59" s="183">
        <v>10516.276477869073</v>
      </c>
    </row>
    <row r="60" spans="2:8" hidden="1" outlineLevel="4" x14ac:dyDescent="0.25">
      <c r="B60" s="186" t="s">
        <v>212</v>
      </c>
      <c r="C60" s="241"/>
      <c r="D60" s="187">
        <v>25029.792238591417</v>
      </c>
      <c r="E60" s="187"/>
      <c r="F60" s="185">
        <v>4275.4892099322797</v>
      </c>
      <c r="G60" s="185">
        <v>10238.026550790066</v>
      </c>
      <c r="H60" s="185">
        <v>10516.276477869073</v>
      </c>
    </row>
    <row r="61" spans="2:8" hidden="1" outlineLevel="2" x14ac:dyDescent="0.25">
      <c r="B61" s="181" t="s">
        <v>248</v>
      </c>
      <c r="C61" s="194" t="s">
        <v>249</v>
      </c>
      <c r="D61" s="182">
        <v>1790.1008245598191</v>
      </c>
      <c r="E61" s="182">
        <v>0</v>
      </c>
      <c r="F61" s="180">
        <v>305.77787810383745</v>
      </c>
      <c r="G61" s="180">
        <v>732.21142212189602</v>
      </c>
      <c r="H61" s="180">
        <v>752.11152433408563</v>
      </c>
    </row>
    <row r="62" spans="2:8" hidden="1" outlineLevel="3" x14ac:dyDescent="0.25">
      <c r="B62" s="181" t="s">
        <v>282</v>
      </c>
      <c r="C62" s="197" t="s">
        <v>283</v>
      </c>
      <c r="D62" s="184">
        <v>1790.1008245598191</v>
      </c>
      <c r="E62" s="184">
        <v>0</v>
      </c>
      <c r="F62" s="183">
        <v>305.77787810383745</v>
      </c>
      <c r="G62" s="183">
        <v>732.21142212189602</v>
      </c>
      <c r="H62" s="183">
        <v>752.11152433408563</v>
      </c>
    </row>
    <row r="63" spans="2:8" hidden="1" outlineLevel="4" x14ac:dyDescent="0.25">
      <c r="B63" s="186" t="s">
        <v>301</v>
      </c>
      <c r="C63" s="241"/>
      <c r="D63" s="187">
        <v>1790.1008245598191</v>
      </c>
      <c r="E63" s="187"/>
      <c r="F63" s="185">
        <v>305.77787810383745</v>
      </c>
      <c r="G63" s="185">
        <v>732.21142212189602</v>
      </c>
      <c r="H63" s="185">
        <v>752.11152433408563</v>
      </c>
    </row>
    <row r="64" spans="2:8" hidden="1" outlineLevel="2" x14ac:dyDescent="0.25">
      <c r="B64" s="181" t="s">
        <v>214</v>
      </c>
      <c r="C64" s="194" t="s">
        <v>250</v>
      </c>
      <c r="D64" s="182">
        <v>3104.7161355932203</v>
      </c>
      <c r="E64" s="182">
        <v>0</v>
      </c>
      <c r="F64" s="180">
        <v>1555.7288135593219</v>
      </c>
      <c r="G64" s="180">
        <v>1548.9873220338984</v>
      </c>
      <c r="H64" s="180">
        <v>0</v>
      </c>
    </row>
    <row r="65" spans="2:8" hidden="1" outlineLevel="3" x14ac:dyDescent="0.25">
      <c r="B65" s="181" t="s">
        <v>215</v>
      </c>
      <c r="C65" s="197" t="s">
        <v>217</v>
      </c>
      <c r="D65" s="184">
        <v>3104.7161355932203</v>
      </c>
      <c r="E65" s="184">
        <v>0</v>
      </c>
      <c r="F65" s="183">
        <v>1555.7288135593219</v>
      </c>
      <c r="G65" s="183">
        <v>1548.9873220338984</v>
      </c>
      <c r="H65" s="183">
        <v>0</v>
      </c>
    </row>
    <row r="66" spans="2:8" hidden="1" outlineLevel="4" x14ac:dyDescent="0.25">
      <c r="B66" s="186" t="s">
        <v>216</v>
      </c>
      <c r="C66" s="241"/>
      <c r="D66" s="187">
        <v>3104.7161355932203</v>
      </c>
      <c r="E66" s="187"/>
      <c r="F66" s="185">
        <v>1555.7288135593219</v>
      </c>
      <c r="G66" s="185">
        <v>1548.9873220338984</v>
      </c>
      <c r="H66" s="185"/>
    </row>
    <row r="67" spans="2:8" hidden="1" outlineLevel="2" x14ac:dyDescent="0.25">
      <c r="B67" s="181" t="s">
        <v>218</v>
      </c>
      <c r="C67" s="194" t="s">
        <v>251</v>
      </c>
      <c r="D67" s="182">
        <v>2705.7181016949153</v>
      </c>
      <c r="E67" s="182">
        <v>0</v>
      </c>
      <c r="F67" s="180">
        <v>1355.7966101694915</v>
      </c>
      <c r="G67" s="180">
        <v>1349.9214915254238</v>
      </c>
      <c r="H67" s="180">
        <v>0</v>
      </c>
    </row>
    <row r="68" spans="2:8" hidden="1" outlineLevel="3" x14ac:dyDescent="0.25">
      <c r="B68" s="181" t="s">
        <v>219</v>
      </c>
      <c r="C68" s="197" t="s">
        <v>221</v>
      </c>
      <c r="D68" s="184">
        <v>2705.7181016949153</v>
      </c>
      <c r="E68" s="184">
        <v>0</v>
      </c>
      <c r="F68" s="183">
        <v>1355.7966101694915</v>
      </c>
      <c r="G68" s="183">
        <v>1349.9214915254238</v>
      </c>
      <c r="H68" s="183">
        <v>0</v>
      </c>
    </row>
    <row r="69" spans="2:8" hidden="1" outlineLevel="4" x14ac:dyDescent="0.25">
      <c r="B69" s="186" t="s">
        <v>220</v>
      </c>
      <c r="C69" s="241"/>
      <c r="D69" s="187">
        <v>2705.7181016949153</v>
      </c>
      <c r="E69" s="187"/>
      <c r="F69" s="185">
        <v>1355.7966101694915</v>
      </c>
      <c r="G69" s="185">
        <v>1349.9214915254238</v>
      </c>
      <c r="H69" s="185"/>
    </row>
    <row r="70" spans="2:8" hidden="1" outlineLevel="2" x14ac:dyDescent="0.25">
      <c r="B70" s="181" t="s">
        <v>252</v>
      </c>
      <c r="C70" s="194" t="s">
        <v>253</v>
      </c>
      <c r="D70" s="182">
        <v>2556.2611124643799</v>
      </c>
      <c r="E70" s="182">
        <v>0</v>
      </c>
      <c r="F70" s="180">
        <v>96.943535620052785</v>
      </c>
      <c r="G70" s="180">
        <v>1214.864073878628</v>
      </c>
      <c r="H70" s="180">
        <v>1244.453502965699</v>
      </c>
    </row>
    <row r="71" spans="2:8" hidden="1" outlineLevel="3" x14ac:dyDescent="0.25">
      <c r="B71" s="181" t="s">
        <v>284</v>
      </c>
      <c r="C71" s="197" t="s">
        <v>285</v>
      </c>
      <c r="D71" s="184">
        <v>2556.2611124643799</v>
      </c>
      <c r="E71" s="184">
        <v>0</v>
      </c>
      <c r="F71" s="183">
        <v>96.943535620052785</v>
      </c>
      <c r="G71" s="183">
        <v>1214.864073878628</v>
      </c>
      <c r="H71" s="183">
        <v>1244.453502965699</v>
      </c>
    </row>
    <row r="72" spans="2:8" hidden="1" outlineLevel="4" x14ac:dyDescent="0.25">
      <c r="B72" s="186" t="s">
        <v>302</v>
      </c>
      <c r="C72" s="241"/>
      <c r="D72" s="187">
        <v>2556.2611124643799</v>
      </c>
      <c r="E72" s="187"/>
      <c r="F72" s="185">
        <v>96.943535620052785</v>
      </c>
      <c r="G72" s="185">
        <v>1214.864073878628</v>
      </c>
      <c r="H72" s="185">
        <v>1244.453502965699</v>
      </c>
    </row>
    <row r="73" spans="2:8" hidden="1" outlineLevel="2" x14ac:dyDescent="0.25">
      <c r="B73" s="181" t="s">
        <v>222</v>
      </c>
      <c r="C73" s="194" t="s">
        <v>254</v>
      </c>
      <c r="D73" s="182">
        <v>2568.9001132075473</v>
      </c>
      <c r="E73" s="182">
        <v>0</v>
      </c>
      <c r="F73" s="180">
        <v>354.39622641509436</v>
      </c>
      <c r="G73" s="180">
        <v>2214.5038867924532</v>
      </c>
      <c r="H73" s="180">
        <v>0</v>
      </c>
    </row>
    <row r="74" spans="2:8" hidden="1" outlineLevel="3" x14ac:dyDescent="0.25">
      <c r="B74" s="181" t="s">
        <v>223</v>
      </c>
      <c r="C74" s="197" t="s">
        <v>225</v>
      </c>
      <c r="D74" s="184">
        <v>2568.9001132075473</v>
      </c>
      <c r="E74" s="184">
        <v>0</v>
      </c>
      <c r="F74" s="183">
        <v>354.39622641509436</v>
      </c>
      <c r="G74" s="183">
        <v>2214.5038867924532</v>
      </c>
      <c r="H74" s="183">
        <v>0</v>
      </c>
    </row>
    <row r="75" spans="2:8" hidden="1" outlineLevel="4" x14ac:dyDescent="0.25">
      <c r="B75" s="186" t="s">
        <v>224</v>
      </c>
      <c r="C75" s="241"/>
      <c r="D75" s="187">
        <v>2568.9001132075473</v>
      </c>
      <c r="E75" s="187"/>
      <c r="F75" s="185">
        <v>354.39622641509436</v>
      </c>
      <c r="G75" s="185">
        <v>2214.5038867924532</v>
      </c>
      <c r="H75" s="185"/>
    </row>
    <row r="76" spans="2:8" hidden="1" outlineLevel="2" x14ac:dyDescent="0.25">
      <c r="B76" s="181" t="s">
        <v>226</v>
      </c>
      <c r="C76" s="194" t="s">
        <v>255</v>
      </c>
      <c r="D76" s="182">
        <v>59170.189776112064</v>
      </c>
      <c r="E76" s="182">
        <v>0</v>
      </c>
      <c r="F76" s="180">
        <v>12313.568965517241</v>
      </c>
      <c r="G76" s="180">
        <v>23146.431262931037</v>
      </c>
      <c r="H76" s="180">
        <v>23710.189547663791</v>
      </c>
    </row>
    <row r="77" spans="2:8" hidden="1" outlineLevel="3" x14ac:dyDescent="0.25">
      <c r="B77" s="181" t="s">
        <v>227</v>
      </c>
      <c r="C77" s="197" t="s">
        <v>229</v>
      </c>
      <c r="D77" s="184">
        <v>59170.189776112064</v>
      </c>
      <c r="E77" s="184">
        <v>0</v>
      </c>
      <c r="F77" s="183">
        <v>12313.568965517241</v>
      </c>
      <c r="G77" s="183">
        <v>23146.431262931037</v>
      </c>
      <c r="H77" s="183">
        <v>23710.189547663791</v>
      </c>
    </row>
    <row r="78" spans="2:8" hidden="1" outlineLevel="4" x14ac:dyDescent="0.25">
      <c r="B78" s="186" t="s">
        <v>228</v>
      </c>
      <c r="C78" s="241"/>
      <c r="D78" s="187">
        <v>59170.189776112064</v>
      </c>
      <c r="E78" s="187"/>
      <c r="F78" s="185">
        <v>12313.568965517241</v>
      </c>
      <c r="G78" s="185">
        <v>23146.431262931037</v>
      </c>
      <c r="H78" s="185">
        <v>23710.189547663791</v>
      </c>
    </row>
    <row r="79" spans="2:8" outlineLevel="1" collapsed="1" x14ac:dyDescent="0.25">
      <c r="B79" s="179" t="s">
        <v>50</v>
      </c>
      <c r="C79" s="191" t="s">
        <v>18</v>
      </c>
      <c r="D79" s="178">
        <v>123476.22016199998</v>
      </c>
      <c r="E79" s="178">
        <v>0</v>
      </c>
      <c r="F79" s="178">
        <v>0</v>
      </c>
      <c r="G79" s="178">
        <v>0</v>
      </c>
      <c r="H79" s="178">
        <v>123476.22016199998</v>
      </c>
    </row>
    <row r="80" spans="2:8" hidden="1" outlineLevel="2" x14ac:dyDescent="0.25">
      <c r="B80" s="181" t="s">
        <v>256</v>
      </c>
      <c r="C80" s="194" t="s">
        <v>18</v>
      </c>
      <c r="D80" s="182">
        <v>123476.22016199998</v>
      </c>
      <c r="E80" s="182">
        <v>0</v>
      </c>
      <c r="F80" s="180">
        <v>0</v>
      </c>
      <c r="G80" s="180">
        <v>0</v>
      </c>
      <c r="H80" s="180">
        <v>123476.22016199998</v>
      </c>
    </row>
    <row r="81" spans="2:8" hidden="1" outlineLevel="3" x14ac:dyDescent="0.25">
      <c r="B81" s="181" t="s">
        <v>286</v>
      </c>
      <c r="C81" s="197" t="s">
        <v>18</v>
      </c>
      <c r="D81" s="184">
        <v>123476.22016199998</v>
      </c>
      <c r="E81" s="184">
        <v>0</v>
      </c>
      <c r="F81" s="183">
        <v>0</v>
      </c>
      <c r="G81" s="183">
        <v>0</v>
      </c>
      <c r="H81" s="183">
        <v>123476.22016199998</v>
      </c>
    </row>
    <row r="82" spans="2:8" hidden="1" outlineLevel="4" x14ac:dyDescent="0.25">
      <c r="B82" s="186" t="s">
        <v>303</v>
      </c>
      <c r="C82" s="241"/>
      <c r="D82" s="187">
        <v>123476.22016199998</v>
      </c>
      <c r="E82" s="187"/>
      <c r="F82" s="185"/>
      <c r="G82" s="185"/>
      <c r="H82" s="185">
        <v>123476.22016199998</v>
      </c>
    </row>
    <row r="83" spans="2:8" outlineLevel="1" collapsed="1" x14ac:dyDescent="0.25">
      <c r="B83" s="179" t="s">
        <v>51</v>
      </c>
      <c r="C83" s="191" t="s">
        <v>19</v>
      </c>
      <c r="D83" s="178">
        <v>76400.073272274254</v>
      </c>
      <c r="E83" s="178">
        <v>0</v>
      </c>
      <c r="F83" s="178">
        <v>4733.6077301983341</v>
      </c>
      <c r="G83" s="178">
        <v>4394.1315935752627</v>
      </c>
      <c r="H83" s="178">
        <v>67272.333948500658</v>
      </c>
    </row>
    <row r="84" spans="2:8" hidden="1" outlineLevel="2" x14ac:dyDescent="0.25">
      <c r="B84" s="181" t="s">
        <v>168</v>
      </c>
      <c r="C84" s="194" t="s">
        <v>311</v>
      </c>
      <c r="D84" s="182">
        <v>76400.073272274254</v>
      </c>
      <c r="E84" s="182">
        <v>0</v>
      </c>
      <c r="F84" s="180">
        <v>4733.6077301983341</v>
      </c>
      <c r="G84" s="180">
        <v>4394.1315935752627</v>
      </c>
      <c r="H84" s="180">
        <v>67272.333948500658</v>
      </c>
    </row>
    <row r="85" spans="2:8" hidden="1" outlineLevel="3" x14ac:dyDescent="0.25">
      <c r="B85" s="181" t="s">
        <v>165</v>
      </c>
      <c r="C85" s="197" t="s">
        <v>311</v>
      </c>
      <c r="D85" s="184">
        <v>76400.073272274254</v>
      </c>
      <c r="E85" s="184">
        <v>0</v>
      </c>
      <c r="F85" s="183">
        <v>4733.6077301983341</v>
      </c>
      <c r="G85" s="183">
        <v>4394.1315935752627</v>
      </c>
      <c r="H85" s="183">
        <v>67272.333948500658</v>
      </c>
    </row>
    <row r="86" spans="2:8" hidden="1" outlineLevel="4" x14ac:dyDescent="0.25">
      <c r="B86" s="186" t="s">
        <v>167</v>
      </c>
      <c r="C86" s="241"/>
      <c r="D86" s="187">
        <v>76400.073272274254</v>
      </c>
      <c r="E86" s="187"/>
      <c r="F86" s="185">
        <v>4733.6077301983341</v>
      </c>
      <c r="G86" s="185">
        <v>4394.1315935752627</v>
      </c>
      <c r="H86" s="185">
        <v>67272.333948500658</v>
      </c>
    </row>
    <row r="87" spans="2:8" outlineLevel="1" collapsed="1" x14ac:dyDescent="0.25">
      <c r="B87" s="179" t="s">
        <v>52</v>
      </c>
      <c r="C87" s="191" t="s">
        <v>20</v>
      </c>
      <c r="D87" s="178">
        <v>770000</v>
      </c>
      <c r="E87" s="178">
        <v>0</v>
      </c>
      <c r="F87" s="178">
        <v>0</v>
      </c>
      <c r="G87" s="178">
        <v>0</v>
      </c>
      <c r="H87" s="178">
        <v>770000</v>
      </c>
    </row>
    <row r="88" spans="2:8" hidden="1" outlineLevel="2" x14ac:dyDescent="0.25">
      <c r="B88" s="181" t="s">
        <v>263</v>
      </c>
      <c r="C88" s="194" t="s">
        <v>162</v>
      </c>
      <c r="D88" s="182">
        <v>770000</v>
      </c>
      <c r="E88" s="182">
        <v>0</v>
      </c>
      <c r="F88" s="180">
        <v>0</v>
      </c>
      <c r="G88" s="180">
        <v>0</v>
      </c>
      <c r="H88" s="180">
        <v>770000</v>
      </c>
    </row>
    <row r="89" spans="2:8" hidden="1" outlineLevel="3" x14ac:dyDescent="0.25">
      <c r="B89" s="181" t="s">
        <v>289</v>
      </c>
      <c r="C89" s="197" t="s">
        <v>162</v>
      </c>
      <c r="D89" s="184">
        <v>770000</v>
      </c>
      <c r="E89" s="184">
        <v>0</v>
      </c>
      <c r="F89" s="183">
        <v>0</v>
      </c>
      <c r="G89" s="183">
        <v>0</v>
      </c>
      <c r="H89" s="183">
        <v>770000</v>
      </c>
    </row>
    <row r="90" spans="2:8" hidden="1" outlineLevel="4" x14ac:dyDescent="0.25">
      <c r="B90" s="186" t="s">
        <v>161</v>
      </c>
      <c r="C90" s="241"/>
      <c r="D90" s="187">
        <v>770000</v>
      </c>
      <c r="E90" s="187"/>
      <c r="F90" s="185"/>
      <c r="G90" s="185"/>
      <c r="H90" s="185">
        <v>770000</v>
      </c>
    </row>
    <row r="91" spans="2:8" outlineLevel="1" collapsed="1" x14ac:dyDescent="0.25">
      <c r="B91" s="179" t="s">
        <v>57</v>
      </c>
      <c r="C91" s="191" t="s">
        <v>21</v>
      </c>
      <c r="D91" s="178">
        <v>1921974.5197775366</v>
      </c>
      <c r="E91" s="178">
        <v>0</v>
      </c>
      <c r="F91" s="178">
        <v>150428.48245131021</v>
      </c>
      <c r="G91" s="178">
        <v>164541.31524609518</v>
      </c>
      <c r="H91" s="178">
        <v>1607004.7220801315</v>
      </c>
    </row>
    <row r="92" spans="2:8" hidden="1" outlineLevel="2" x14ac:dyDescent="0.25">
      <c r="B92" s="181" t="s">
        <v>265</v>
      </c>
      <c r="C92" s="194" t="s">
        <v>148</v>
      </c>
      <c r="D92" s="182">
        <v>55403.687978929658</v>
      </c>
      <c r="E92" s="182">
        <v>0</v>
      </c>
      <c r="F92" s="180">
        <v>22149.861037930525</v>
      </c>
      <c r="G92" s="180">
        <v>24351.669142956049</v>
      </c>
      <c r="H92" s="180">
        <v>8902.1577980430793</v>
      </c>
    </row>
    <row r="93" spans="2:8" hidden="1" outlineLevel="3" x14ac:dyDescent="0.25">
      <c r="B93" s="181" t="s">
        <v>292</v>
      </c>
      <c r="C93" s="197" t="s">
        <v>148</v>
      </c>
      <c r="D93" s="184">
        <v>55403.687978929658</v>
      </c>
      <c r="E93" s="184">
        <v>0</v>
      </c>
      <c r="F93" s="183">
        <v>22149.861037930525</v>
      </c>
      <c r="G93" s="183">
        <v>24351.669142956049</v>
      </c>
      <c r="H93" s="183">
        <v>8902.1577980430793</v>
      </c>
    </row>
    <row r="94" spans="2:8" hidden="1" outlineLevel="4" x14ac:dyDescent="0.25">
      <c r="B94" s="186" t="s">
        <v>139</v>
      </c>
      <c r="C94" s="241"/>
      <c r="D94" s="187">
        <v>55403.687978929658</v>
      </c>
      <c r="E94" s="187"/>
      <c r="F94" s="185">
        <v>22149.861037930525</v>
      </c>
      <c r="G94" s="185">
        <v>24351.669142956049</v>
      </c>
      <c r="H94" s="185">
        <v>8902.1577980430793</v>
      </c>
    </row>
    <row r="95" spans="2:8" hidden="1" outlineLevel="2" x14ac:dyDescent="0.25">
      <c r="B95" s="181" t="s">
        <v>266</v>
      </c>
      <c r="C95" s="194" t="s">
        <v>149</v>
      </c>
      <c r="D95" s="182">
        <v>26548.677374449704</v>
      </c>
      <c r="E95" s="182">
        <v>0</v>
      </c>
      <c r="F95" s="180">
        <v>10748.991342482868</v>
      </c>
      <c r="G95" s="180">
        <v>11529.309431125241</v>
      </c>
      <c r="H95" s="180">
        <v>4270.3766008415932</v>
      </c>
    </row>
    <row r="96" spans="2:8" hidden="1" outlineLevel="3" x14ac:dyDescent="0.25">
      <c r="B96" s="181" t="s">
        <v>293</v>
      </c>
      <c r="C96" s="197" t="s">
        <v>149</v>
      </c>
      <c r="D96" s="184">
        <v>26548.677374449704</v>
      </c>
      <c r="E96" s="184">
        <v>0</v>
      </c>
      <c r="F96" s="183">
        <v>10748.991342482868</v>
      </c>
      <c r="G96" s="183">
        <v>11529.309431125241</v>
      </c>
      <c r="H96" s="183">
        <v>4270.3766008415932</v>
      </c>
    </row>
    <row r="97" spans="2:8" hidden="1" outlineLevel="4" x14ac:dyDescent="0.25">
      <c r="B97" s="186" t="s">
        <v>140</v>
      </c>
      <c r="C97" s="241"/>
      <c r="D97" s="187">
        <v>26548.677374449704</v>
      </c>
      <c r="E97" s="187"/>
      <c r="F97" s="185">
        <v>10748.991342482868</v>
      </c>
      <c r="G97" s="185">
        <v>11529.309431125241</v>
      </c>
      <c r="H97" s="185">
        <v>4270.3766008415932</v>
      </c>
    </row>
    <row r="98" spans="2:8" hidden="1" outlineLevel="2" x14ac:dyDescent="0.25">
      <c r="B98" s="181" t="s">
        <v>267</v>
      </c>
      <c r="C98" s="194" t="s">
        <v>150</v>
      </c>
      <c r="D98" s="182">
        <v>10600.505007504064</v>
      </c>
      <c r="E98" s="182">
        <v>0</v>
      </c>
      <c r="F98" s="180">
        <v>3055.9796722018755</v>
      </c>
      <c r="G98" s="180">
        <v>5881.3866675614663</v>
      </c>
      <c r="H98" s="180">
        <v>1663.1386677407204</v>
      </c>
    </row>
    <row r="99" spans="2:8" hidden="1" outlineLevel="3" x14ac:dyDescent="0.25">
      <c r="B99" s="181" t="s">
        <v>294</v>
      </c>
      <c r="C99" s="197" t="s">
        <v>150</v>
      </c>
      <c r="D99" s="184">
        <v>10600.505007504064</v>
      </c>
      <c r="E99" s="184">
        <v>0</v>
      </c>
      <c r="F99" s="183">
        <v>3055.9796722018755</v>
      </c>
      <c r="G99" s="183">
        <v>5881.3866675614663</v>
      </c>
      <c r="H99" s="183">
        <v>1663.1386677407204</v>
      </c>
    </row>
    <row r="100" spans="2:8" hidden="1" outlineLevel="4" x14ac:dyDescent="0.25">
      <c r="B100" s="186" t="s">
        <v>141</v>
      </c>
      <c r="C100" s="241"/>
      <c r="D100" s="187">
        <v>10600.505007504064</v>
      </c>
      <c r="E100" s="187"/>
      <c r="F100" s="185">
        <v>3055.9796722018755</v>
      </c>
      <c r="G100" s="185">
        <v>5881.3866675614663</v>
      </c>
      <c r="H100" s="185">
        <v>1663.1386677407204</v>
      </c>
    </row>
    <row r="101" spans="2:8" hidden="1" outlineLevel="2" x14ac:dyDescent="0.25">
      <c r="B101" s="181" t="s">
        <v>268</v>
      </c>
      <c r="C101" s="194" t="s">
        <v>151</v>
      </c>
      <c r="D101" s="182">
        <v>1458437.1687861285</v>
      </c>
      <c r="E101" s="182">
        <v>0</v>
      </c>
      <c r="F101" s="180">
        <v>74800.321223242863</v>
      </c>
      <c r="G101" s="180">
        <v>80066.605484622531</v>
      </c>
      <c r="H101" s="180">
        <v>1303570.2420782631</v>
      </c>
    </row>
    <row r="102" spans="2:8" hidden="1" outlineLevel="3" x14ac:dyDescent="0.25">
      <c r="B102" s="181" t="s">
        <v>295</v>
      </c>
      <c r="C102" s="197" t="s">
        <v>151</v>
      </c>
      <c r="D102" s="184">
        <v>1458437.1687861285</v>
      </c>
      <c r="E102" s="184">
        <v>0</v>
      </c>
      <c r="F102" s="183">
        <v>74800.321223242863</v>
      </c>
      <c r="G102" s="183">
        <v>80066.605484622531</v>
      </c>
      <c r="H102" s="183">
        <v>1303570.2420782631</v>
      </c>
    </row>
    <row r="103" spans="2:8" hidden="1" outlineLevel="4" x14ac:dyDescent="0.25">
      <c r="B103" s="186" t="s">
        <v>142</v>
      </c>
      <c r="C103" s="241"/>
      <c r="D103" s="187">
        <v>1458437.1687861285</v>
      </c>
      <c r="E103" s="187"/>
      <c r="F103" s="185">
        <v>74800.321223242863</v>
      </c>
      <c r="G103" s="185">
        <v>80066.605484622531</v>
      </c>
      <c r="H103" s="185">
        <v>1303570.2420782631</v>
      </c>
    </row>
    <row r="104" spans="2:8" hidden="1" outlineLevel="2" x14ac:dyDescent="0.25">
      <c r="B104" s="181" t="s">
        <v>269</v>
      </c>
      <c r="C104" s="194" t="s">
        <v>152</v>
      </c>
      <c r="D104" s="182">
        <v>58085.038305769311</v>
      </c>
      <c r="E104" s="182">
        <v>0</v>
      </c>
      <c r="F104" s="180">
        <v>3452.9036874638668</v>
      </c>
      <c r="G104" s="180">
        <v>3427.384592986843</v>
      </c>
      <c r="H104" s="180">
        <v>51204.750025318601</v>
      </c>
    </row>
    <row r="105" spans="2:8" hidden="1" outlineLevel="3" x14ac:dyDescent="0.25">
      <c r="B105" s="181" t="s">
        <v>296</v>
      </c>
      <c r="C105" s="197" t="s">
        <v>152</v>
      </c>
      <c r="D105" s="184">
        <v>58085.038305769311</v>
      </c>
      <c r="E105" s="184">
        <v>0</v>
      </c>
      <c r="F105" s="183">
        <v>3452.9036874638668</v>
      </c>
      <c r="G105" s="183">
        <v>3427.384592986843</v>
      </c>
      <c r="H105" s="183">
        <v>51204.750025318601</v>
      </c>
    </row>
    <row r="106" spans="2:8" hidden="1" outlineLevel="4" x14ac:dyDescent="0.25">
      <c r="B106" s="186" t="s">
        <v>143</v>
      </c>
      <c r="C106" s="241"/>
      <c r="D106" s="187">
        <v>58085.038305769311</v>
      </c>
      <c r="E106" s="187"/>
      <c r="F106" s="185">
        <v>3452.9036874638668</v>
      </c>
      <c r="G106" s="185">
        <v>3427.384592986843</v>
      </c>
      <c r="H106" s="185">
        <v>51204.750025318601</v>
      </c>
    </row>
    <row r="107" spans="2:8" hidden="1" outlineLevel="2" x14ac:dyDescent="0.25">
      <c r="B107" s="181" t="s">
        <v>271</v>
      </c>
      <c r="C107" s="194" t="s">
        <v>153</v>
      </c>
      <c r="D107" s="182">
        <v>0</v>
      </c>
      <c r="E107" s="182">
        <v>0</v>
      </c>
      <c r="F107" s="180">
        <v>0</v>
      </c>
      <c r="G107" s="180">
        <v>0</v>
      </c>
      <c r="H107" s="180">
        <v>0</v>
      </c>
    </row>
    <row r="108" spans="2:8" hidden="1" outlineLevel="3" x14ac:dyDescent="0.25">
      <c r="B108" s="181" t="s">
        <v>297</v>
      </c>
      <c r="C108" s="197" t="s">
        <v>153</v>
      </c>
      <c r="D108" s="184">
        <v>0</v>
      </c>
      <c r="E108" s="184">
        <v>0</v>
      </c>
      <c r="F108" s="183">
        <v>0</v>
      </c>
      <c r="G108" s="183">
        <v>0</v>
      </c>
      <c r="H108" s="183">
        <v>0</v>
      </c>
    </row>
    <row r="109" spans="2:8" hidden="1" outlineLevel="4" x14ac:dyDescent="0.25">
      <c r="B109" s="186" t="s">
        <v>144</v>
      </c>
      <c r="C109" s="241"/>
      <c r="D109" s="187">
        <v>0</v>
      </c>
      <c r="E109" s="187"/>
      <c r="F109" s="185">
        <v>0</v>
      </c>
      <c r="G109" s="185">
        <v>0</v>
      </c>
      <c r="H109" s="185"/>
    </row>
    <row r="110" spans="2:8" hidden="1" outlineLevel="2" x14ac:dyDescent="0.25">
      <c r="B110" s="181" t="s">
        <v>274</v>
      </c>
      <c r="C110" s="194" t="s">
        <v>154</v>
      </c>
      <c r="D110" s="182">
        <v>248747.8036123107</v>
      </c>
      <c r="E110" s="182">
        <v>0</v>
      </c>
      <c r="F110" s="180">
        <v>10573.217970384434</v>
      </c>
      <c r="G110" s="180">
        <v>11088.290392893952</v>
      </c>
      <c r="H110" s="180">
        <v>227086.29524903232</v>
      </c>
    </row>
    <row r="111" spans="2:8" hidden="1" outlineLevel="3" x14ac:dyDescent="0.25">
      <c r="B111" s="181" t="s">
        <v>298</v>
      </c>
      <c r="C111" s="197" t="s">
        <v>154</v>
      </c>
      <c r="D111" s="184">
        <v>248747.8036123107</v>
      </c>
      <c r="E111" s="184">
        <v>0</v>
      </c>
      <c r="F111" s="183">
        <v>10573.217970384434</v>
      </c>
      <c r="G111" s="183">
        <v>11088.290392893952</v>
      </c>
      <c r="H111" s="183">
        <v>227086.29524903232</v>
      </c>
    </row>
    <row r="112" spans="2:8" hidden="1" outlineLevel="4" x14ac:dyDescent="0.25">
      <c r="B112" s="186" t="s">
        <v>145</v>
      </c>
      <c r="C112" s="241"/>
      <c r="D112" s="187">
        <v>248747.8036123107</v>
      </c>
      <c r="E112" s="187"/>
      <c r="F112" s="185">
        <v>10573.217970384434</v>
      </c>
      <c r="G112" s="185">
        <v>11088.290392893952</v>
      </c>
      <c r="H112" s="185">
        <v>227086.29524903232</v>
      </c>
    </row>
    <row r="113" spans="2:8" hidden="1" outlineLevel="2" x14ac:dyDescent="0.25">
      <c r="B113" s="181" t="s">
        <v>275</v>
      </c>
      <c r="C113" s="194" t="s">
        <v>155</v>
      </c>
      <c r="D113" s="182">
        <v>64151.638712444859</v>
      </c>
      <c r="E113" s="182">
        <v>0</v>
      </c>
      <c r="F113" s="180">
        <v>25647.207517603762</v>
      </c>
      <c r="G113" s="180">
        <v>28196.669533949109</v>
      </c>
      <c r="H113" s="180">
        <v>10307.761660891987</v>
      </c>
    </row>
    <row r="114" spans="2:8" hidden="1" outlineLevel="3" x14ac:dyDescent="0.25">
      <c r="B114" s="181" t="s">
        <v>299</v>
      </c>
      <c r="C114" s="197" t="s">
        <v>155</v>
      </c>
      <c r="D114" s="184">
        <v>64151.638712444859</v>
      </c>
      <c r="E114" s="184">
        <v>0</v>
      </c>
      <c r="F114" s="183">
        <v>25647.207517603762</v>
      </c>
      <c r="G114" s="183">
        <v>28196.669533949109</v>
      </c>
      <c r="H114" s="183">
        <v>10307.761660891987</v>
      </c>
    </row>
    <row r="115" spans="2:8" hidden="1" outlineLevel="4" x14ac:dyDescent="0.25">
      <c r="B115" s="186" t="s">
        <v>146</v>
      </c>
      <c r="C115" s="241"/>
      <c r="D115" s="187">
        <v>64151.638712444859</v>
      </c>
      <c r="E115" s="187"/>
      <c r="F115" s="185">
        <v>25647.207517603762</v>
      </c>
      <c r="G115" s="185">
        <v>28196.669533949109</v>
      </c>
      <c r="H115" s="185">
        <v>10307.761660891987</v>
      </c>
    </row>
    <row r="116" spans="2:8" outlineLevel="1" collapsed="1" x14ac:dyDescent="0.25">
      <c r="B116" s="179" t="s">
        <v>58</v>
      </c>
      <c r="C116" s="191" t="s">
        <v>22</v>
      </c>
      <c r="D116" s="178">
        <v>333060.4886274013</v>
      </c>
      <c r="E116" s="178">
        <v>0</v>
      </c>
      <c r="F116" s="178">
        <v>10432.805941909197</v>
      </c>
      <c r="G116" s="178">
        <v>46693.541622702483</v>
      </c>
      <c r="H116" s="178">
        <v>275934.1410627896</v>
      </c>
    </row>
    <row r="117" spans="2:8" hidden="1" outlineLevel="2" x14ac:dyDescent="0.25">
      <c r="B117" s="181" t="s">
        <v>276</v>
      </c>
      <c r="C117" s="194" t="s">
        <v>22</v>
      </c>
      <c r="D117" s="182">
        <v>333060.4886274013</v>
      </c>
      <c r="E117" s="182">
        <v>0</v>
      </c>
      <c r="F117" s="180">
        <v>10432.805941909197</v>
      </c>
      <c r="G117" s="180">
        <v>46693.541622702483</v>
      </c>
      <c r="H117" s="180">
        <v>275934.1410627896</v>
      </c>
    </row>
    <row r="118" spans="2:8" hidden="1" outlineLevel="3" x14ac:dyDescent="0.25">
      <c r="B118" s="181" t="s">
        <v>300</v>
      </c>
      <c r="C118" s="197" t="s">
        <v>22</v>
      </c>
      <c r="D118" s="184">
        <v>333060.4886274013</v>
      </c>
      <c r="E118" s="184">
        <v>0</v>
      </c>
      <c r="F118" s="183">
        <v>10432.805941909197</v>
      </c>
      <c r="G118" s="183">
        <v>46693.541622702483</v>
      </c>
      <c r="H118" s="183">
        <v>275934.1410627896</v>
      </c>
    </row>
    <row r="119" spans="2:8" hidden="1" outlineLevel="4" x14ac:dyDescent="0.25">
      <c r="B119" s="186" t="s">
        <v>304</v>
      </c>
      <c r="C119" s="241"/>
      <c r="D119" s="187">
        <v>333060.4886274013</v>
      </c>
      <c r="E119" s="187"/>
      <c r="F119" s="185">
        <v>10432.805941909197</v>
      </c>
      <c r="G119" s="185">
        <v>46693.541622702483</v>
      </c>
      <c r="H119" s="185">
        <v>275934.1410627896</v>
      </c>
    </row>
    <row r="120" spans="2:8" ht="15.75" outlineLevel="1" collapsed="1" thickBot="1" x14ac:dyDescent="0.3">
      <c r="B120" s="179" t="s">
        <v>59</v>
      </c>
      <c r="C120" s="191" t="s">
        <v>1</v>
      </c>
      <c r="D120" s="178">
        <v>331723</v>
      </c>
      <c r="E120" s="178">
        <v>0</v>
      </c>
      <c r="F120" s="178">
        <v>71492.025862068956</v>
      </c>
      <c r="G120" s="178">
        <v>130472.94719827587</v>
      </c>
      <c r="H120" s="178">
        <v>129758.02693965517</v>
      </c>
    </row>
    <row r="121" spans="2:8" ht="15.75" hidden="1" outlineLevel="2" thickBot="1" x14ac:dyDescent="0.3">
      <c r="B121" s="181" t="s">
        <v>312</v>
      </c>
      <c r="C121" s="194" t="s">
        <v>281</v>
      </c>
      <c r="D121" s="182">
        <v>331723</v>
      </c>
      <c r="E121" s="182">
        <v>0</v>
      </c>
      <c r="F121" s="180">
        <v>71492.025862068956</v>
      </c>
      <c r="G121" s="180">
        <v>130472.94719827587</v>
      </c>
      <c r="H121" s="180">
        <v>129758.02693965517</v>
      </c>
    </row>
    <row r="122" spans="2:8" ht="15.75" hidden="1" outlineLevel="3" thickBot="1" x14ac:dyDescent="0.3">
      <c r="B122" s="181" t="s">
        <v>313</v>
      </c>
      <c r="C122" s="197" t="s">
        <v>281</v>
      </c>
      <c r="D122" s="184">
        <v>331723</v>
      </c>
      <c r="E122" s="184">
        <v>0</v>
      </c>
      <c r="F122" s="183">
        <v>71492.025862068956</v>
      </c>
      <c r="G122" s="183">
        <v>130472.94719827587</v>
      </c>
      <c r="H122" s="183">
        <v>129758.02693965517</v>
      </c>
    </row>
    <row r="123" spans="2:8" ht="15.75" hidden="1" outlineLevel="4" thickBot="1" x14ac:dyDescent="0.3">
      <c r="B123" s="186" t="s">
        <v>310</v>
      </c>
      <c r="C123" s="241"/>
      <c r="D123" s="187">
        <v>331723</v>
      </c>
      <c r="E123" s="187"/>
      <c r="F123" s="185">
        <v>71492.025862068956</v>
      </c>
      <c r="G123" s="185">
        <v>130472.94719827587</v>
      </c>
      <c r="H123" s="185">
        <v>129758.02693965517</v>
      </c>
    </row>
    <row r="124" spans="2:8" s="91" customFormat="1" x14ac:dyDescent="0.25">
      <c r="B124" s="160" t="s">
        <v>61</v>
      </c>
      <c r="C124" s="161"/>
      <c r="D124" s="190">
        <v>7253161.7452909257</v>
      </c>
      <c r="E124" s="190">
        <v>0</v>
      </c>
      <c r="F124" s="190">
        <v>473767.30849540327</v>
      </c>
      <c r="G124" s="190">
        <v>565808.51533941203</v>
      </c>
      <c r="H124" s="190">
        <v>6213585.9214561097</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14"/>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4" customWidth="1"/>
    <col min="5" max="5" width="15.5703125" style="154" customWidth="1"/>
    <col min="6" max="6" width="16.140625" style="154" customWidth="1"/>
    <col min="7"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358</v>
      </c>
      <c r="C2" s="156" t="s">
        <v>3</v>
      </c>
      <c r="D2" s="157" t="s">
        <v>64</v>
      </c>
      <c r="E2" s="157" t="s">
        <v>76</v>
      </c>
      <c r="F2" s="188" t="s">
        <v>468</v>
      </c>
      <c r="G2" s="188" t="s">
        <v>469</v>
      </c>
      <c r="H2" s="188" t="s">
        <v>470</v>
      </c>
    </row>
    <row r="3" spans="2:9" x14ac:dyDescent="0.25">
      <c r="B3" s="233" t="s">
        <v>376</v>
      </c>
      <c r="C3" s="234"/>
      <c r="D3" s="236">
        <v>7253161.7452909248</v>
      </c>
      <c r="E3" s="236">
        <v>0</v>
      </c>
      <c r="F3" s="236">
        <v>473767.30849540338</v>
      </c>
      <c r="G3" s="236">
        <v>565808.51533941191</v>
      </c>
      <c r="H3" s="236">
        <v>6213585.9214561097</v>
      </c>
    </row>
    <row r="4" spans="2:9" x14ac:dyDescent="0.25">
      <c r="B4" s="211" t="s">
        <v>384</v>
      </c>
      <c r="C4" s="212"/>
      <c r="D4" s="214">
        <v>7253161.7452909248</v>
      </c>
      <c r="E4" s="214">
        <v>0</v>
      </c>
      <c r="F4" s="214">
        <v>473767.30849540338</v>
      </c>
      <c r="G4" s="214">
        <v>565808.51533941191</v>
      </c>
      <c r="H4" s="214">
        <v>6213585.9214561097</v>
      </c>
    </row>
    <row r="5" spans="2:9" outlineLevel="1" x14ac:dyDescent="0.25">
      <c r="B5" s="148" t="s">
        <v>403</v>
      </c>
      <c r="C5" s="242" t="e">
        <v>#N/A</v>
      </c>
      <c r="D5" s="164">
        <v>84199.982014703492</v>
      </c>
      <c r="E5" s="164"/>
      <c r="F5" s="164">
        <v>16589.058175449522</v>
      </c>
      <c r="G5" s="164">
        <v>33384.457813721107</v>
      </c>
      <c r="H5" s="164">
        <v>34226.466025532864</v>
      </c>
    </row>
    <row r="6" spans="2:9" outlineLevel="1" x14ac:dyDescent="0.25">
      <c r="B6" s="148" t="s">
        <v>359</v>
      </c>
      <c r="C6" s="242" t="s">
        <v>360</v>
      </c>
      <c r="D6" s="164">
        <v>61167.489238709684</v>
      </c>
      <c r="E6" s="164"/>
      <c r="F6" s="164">
        <v>36794.625376344091</v>
      </c>
      <c r="G6" s="164">
        <v>24372.863862365593</v>
      </c>
      <c r="H6" s="164"/>
    </row>
    <row r="7" spans="2:9" outlineLevel="1" x14ac:dyDescent="0.25">
      <c r="B7" s="148" t="s">
        <v>361</v>
      </c>
      <c r="C7" s="242" t="s">
        <v>362</v>
      </c>
      <c r="D7" s="164">
        <v>146936.84671327434</v>
      </c>
      <c r="E7" s="164"/>
      <c r="F7" s="164">
        <v>85634.415504424775</v>
      </c>
      <c r="G7" s="164">
        <v>61302.431208849557</v>
      </c>
      <c r="H7" s="164"/>
    </row>
    <row r="8" spans="2:9" outlineLevel="1" x14ac:dyDescent="0.25">
      <c r="B8" s="148" t="s">
        <v>363</v>
      </c>
      <c r="C8" s="242" t="s">
        <v>364</v>
      </c>
      <c r="D8" s="164">
        <v>1302116.3662040001</v>
      </c>
      <c r="E8" s="164"/>
      <c r="F8" s="164"/>
      <c r="G8" s="164"/>
      <c r="H8" s="164">
        <v>1302116.3662040001</v>
      </c>
    </row>
    <row r="9" spans="2:9" outlineLevel="1" x14ac:dyDescent="0.25">
      <c r="B9" s="148" t="s">
        <v>365</v>
      </c>
      <c r="C9" s="242" t="s">
        <v>366</v>
      </c>
      <c r="D9" s="164">
        <v>1835637.9263199999</v>
      </c>
      <c r="E9" s="164"/>
      <c r="F9" s="164"/>
      <c r="G9" s="164"/>
      <c r="H9" s="164">
        <v>1835637.9263199999</v>
      </c>
    </row>
    <row r="10" spans="2:9" outlineLevel="1" x14ac:dyDescent="0.25">
      <c r="B10" s="148" t="s">
        <v>367</v>
      </c>
      <c r="C10" s="242" t="s">
        <v>368</v>
      </c>
      <c r="D10" s="164">
        <v>12725.696287519882</v>
      </c>
      <c r="E10" s="164"/>
      <c r="F10" s="164">
        <v>3668.643063867798</v>
      </c>
      <c r="G10" s="164">
        <v>7060.4881963522994</v>
      </c>
      <c r="H10" s="164">
        <v>1996.5650272997846</v>
      </c>
    </row>
    <row r="11" spans="2:9" outlineLevel="1" x14ac:dyDescent="0.25">
      <c r="B11" s="148" t="s">
        <v>369</v>
      </c>
      <c r="C11" s="242" t="s">
        <v>373</v>
      </c>
      <c r="D11" s="164">
        <v>2691974.5197775364</v>
      </c>
      <c r="E11" s="164"/>
      <c r="F11" s="164">
        <v>150428.48245131021</v>
      </c>
      <c r="G11" s="164">
        <v>164541.31524609521</v>
      </c>
      <c r="H11" s="164">
        <v>2377004.7220801311</v>
      </c>
    </row>
    <row r="12" spans="2:9" outlineLevel="1" x14ac:dyDescent="0.25">
      <c r="B12" s="148" t="s">
        <v>371</v>
      </c>
      <c r="C12" s="242" t="s">
        <v>1</v>
      </c>
      <c r="D12" s="164">
        <v>331723</v>
      </c>
      <c r="E12" s="164"/>
      <c r="F12" s="164">
        <v>71492.025862068956</v>
      </c>
      <c r="G12" s="164">
        <v>130472.94719827587</v>
      </c>
      <c r="H12" s="164">
        <v>129758.02693965517</v>
      </c>
    </row>
    <row r="13" spans="2:9" ht="15.75" outlineLevel="1" thickBot="1" x14ac:dyDescent="0.3">
      <c r="B13" s="148" t="s">
        <v>372</v>
      </c>
      <c r="C13" s="242" t="s">
        <v>370</v>
      </c>
      <c r="D13" s="164">
        <v>786679.91873518075</v>
      </c>
      <c r="E13" s="164"/>
      <c r="F13" s="164">
        <v>109160.05806193803</v>
      </c>
      <c r="G13" s="164">
        <v>144674.01181375232</v>
      </c>
      <c r="H13" s="164">
        <v>532845.84885949036</v>
      </c>
    </row>
    <row r="14" spans="2:9" s="91" customFormat="1" x14ac:dyDescent="0.25">
      <c r="B14" s="160" t="s">
        <v>61</v>
      </c>
      <c r="C14" s="161"/>
      <c r="D14" s="190">
        <v>7253161.7452909248</v>
      </c>
      <c r="E14" s="190">
        <v>0</v>
      </c>
      <c r="F14" s="190">
        <v>473767.30849540338</v>
      </c>
      <c r="G14" s="190">
        <v>565808.51533941191</v>
      </c>
      <c r="H14" s="190">
        <v>6213585.9214561097</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9"/>
  <sheetViews>
    <sheetView showGridLines="0" zoomScale="90" zoomScaleNormal="90" workbookViewId="0">
      <pane xSplit="3" ySplit="2" topLeftCell="D3" activePane="bottomRight" state="frozen"/>
      <selection pane="topRight"/>
      <selection pane="bottomLeft"/>
      <selection pane="bottomRight" activeCell="E18" sqref="E18"/>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4" customWidth="1"/>
    <col min="5" max="5" width="171.7109375" style="154" customWidth="1"/>
    <col min="6" max="16384" width="8.85546875" style="5"/>
  </cols>
  <sheetData>
    <row r="1" spans="2:6" x14ac:dyDescent="0.25">
      <c r="B1" s="153"/>
      <c r="E1" s="70" t="s">
        <v>66</v>
      </c>
    </row>
    <row r="2" spans="2:6" s="79" customFormat="1" ht="36" customHeight="1" thickBot="1" x14ac:dyDescent="0.3">
      <c r="B2" s="155" t="s">
        <v>54</v>
      </c>
      <c r="C2" s="156" t="s">
        <v>3</v>
      </c>
      <c r="D2" s="157" t="s">
        <v>163</v>
      </c>
      <c r="E2" s="158" t="s">
        <v>69</v>
      </c>
    </row>
    <row r="3" spans="2:6" x14ac:dyDescent="0.25">
      <c r="B3" s="237" t="s">
        <v>376</v>
      </c>
      <c r="C3" s="238"/>
      <c r="D3" s="239">
        <v>770000</v>
      </c>
      <c r="E3" s="239"/>
      <c r="F3" s="147"/>
    </row>
    <row r="4" spans="2:6" x14ac:dyDescent="0.25">
      <c r="B4" s="215" t="s">
        <v>384</v>
      </c>
      <c r="C4" s="216"/>
      <c r="D4" s="217">
        <v>770000</v>
      </c>
      <c r="E4" s="217"/>
      <c r="F4" s="147"/>
    </row>
    <row r="5" spans="2:6" ht="20.25" customHeight="1" outlineLevel="1" x14ac:dyDescent="0.25">
      <c r="B5" s="148" t="s">
        <v>263</v>
      </c>
      <c r="C5" s="149" t="s">
        <v>451</v>
      </c>
      <c r="D5" s="164">
        <v>200000</v>
      </c>
      <c r="E5" s="252" t="s">
        <v>399</v>
      </c>
      <c r="F5" s="147"/>
    </row>
    <row r="6" spans="2:6" ht="20.25" customHeight="1" outlineLevel="1" x14ac:dyDescent="0.25">
      <c r="B6" s="148" t="s">
        <v>263</v>
      </c>
      <c r="C6" s="149" t="s">
        <v>452</v>
      </c>
      <c r="D6" s="164">
        <v>220000</v>
      </c>
      <c r="E6" s="252" t="s">
        <v>400</v>
      </c>
      <c r="F6" s="147"/>
    </row>
    <row r="7" spans="2:6" ht="17.25" customHeight="1" outlineLevel="1" x14ac:dyDescent="0.25">
      <c r="B7" s="148" t="s">
        <v>263</v>
      </c>
      <c r="C7" s="149" t="s">
        <v>453</v>
      </c>
      <c r="D7" s="164">
        <v>300000</v>
      </c>
      <c r="E7" s="252" t="s">
        <v>401</v>
      </c>
      <c r="F7" s="147"/>
    </row>
    <row r="8" spans="2:6" ht="26.25" customHeight="1" outlineLevel="1" thickBot="1" x14ac:dyDescent="0.3">
      <c r="B8" s="148" t="s">
        <v>263</v>
      </c>
      <c r="C8" s="149" t="s">
        <v>454</v>
      </c>
      <c r="D8" s="164">
        <v>50000</v>
      </c>
      <c r="E8" s="252" t="s">
        <v>402</v>
      </c>
      <c r="F8" s="147"/>
    </row>
    <row r="9" spans="2:6" s="91" customFormat="1" x14ac:dyDescent="0.25">
      <c r="B9" s="160" t="s">
        <v>61</v>
      </c>
      <c r="C9" s="161"/>
      <c r="D9" s="162">
        <v>770000</v>
      </c>
      <c r="E9" s="162"/>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66"/>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4" customWidth="1"/>
    <col min="7" max="7" width="8.7109375" style="154" customWidth="1"/>
    <col min="8" max="8" width="18.7109375" style="154" customWidth="1"/>
    <col min="9" max="9" width="12" style="154" customWidth="1"/>
    <col min="10" max="10" width="60.7109375" style="154" customWidth="1"/>
    <col min="11" max="16384" width="8.85546875" style="5"/>
  </cols>
  <sheetData>
    <row r="1" spans="2:11" x14ac:dyDescent="0.25">
      <c r="B1" s="153"/>
      <c r="C1" s="153"/>
      <c r="D1" s="153"/>
      <c r="J1" s="70" t="s">
        <v>66</v>
      </c>
    </row>
    <row r="2" spans="2:11" s="79" customFormat="1" ht="36" customHeight="1" thickBot="1" x14ac:dyDescent="0.3">
      <c r="B2" s="155" t="s">
        <v>53</v>
      </c>
      <c r="C2" s="155" t="s">
        <v>55</v>
      </c>
      <c r="D2" s="155" t="s">
        <v>169</v>
      </c>
      <c r="E2" s="156" t="s">
        <v>3</v>
      </c>
      <c r="F2" s="157" t="s">
        <v>4</v>
      </c>
      <c r="G2" s="158" t="s">
        <v>5</v>
      </c>
      <c r="H2" s="157" t="s">
        <v>166</v>
      </c>
      <c r="I2" s="157" t="s">
        <v>356</v>
      </c>
      <c r="J2" s="158" t="s">
        <v>69</v>
      </c>
    </row>
    <row r="3" spans="2:11" x14ac:dyDescent="0.25">
      <c r="B3" s="237" t="s">
        <v>376</v>
      </c>
      <c r="C3" s="237"/>
      <c r="D3" s="237"/>
      <c r="E3" s="238"/>
      <c r="F3" s="239"/>
      <c r="G3" s="239"/>
      <c r="H3" s="239">
        <v>7253161.7452909257</v>
      </c>
      <c r="I3" s="239"/>
      <c r="J3" s="239"/>
      <c r="K3" s="147"/>
    </row>
    <row r="4" spans="2:11" x14ac:dyDescent="0.25">
      <c r="B4" s="215" t="s">
        <v>384</v>
      </c>
      <c r="C4" s="215"/>
      <c r="D4" s="215"/>
      <c r="E4" s="216"/>
      <c r="F4" s="217"/>
      <c r="G4" s="217"/>
      <c r="H4" s="217">
        <v>7253161.7452909257</v>
      </c>
      <c r="I4" s="217"/>
      <c r="J4" s="217"/>
      <c r="K4" s="147"/>
    </row>
    <row r="5" spans="2:11" outlineLevel="1" x14ac:dyDescent="0.25">
      <c r="B5" s="148" t="s">
        <v>43</v>
      </c>
      <c r="C5" s="148" t="s">
        <v>173</v>
      </c>
      <c r="D5" s="148">
        <v>0</v>
      </c>
      <c r="E5" s="149" t="s">
        <v>404</v>
      </c>
      <c r="F5" s="150">
        <v>1</v>
      </c>
      <c r="G5" s="151" t="s">
        <v>464</v>
      </c>
      <c r="H5" s="150">
        <v>5456.8722323579668</v>
      </c>
      <c r="I5" s="150">
        <v>0</v>
      </c>
      <c r="J5" s="252" t="s">
        <v>381</v>
      </c>
      <c r="K5" s="147"/>
    </row>
    <row r="6" spans="2:11" outlineLevel="1" x14ac:dyDescent="0.25">
      <c r="B6" s="148" t="s">
        <v>43</v>
      </c>
      <c r="C6" s="148" t="s">
        <v>177</v>
      </c>
      <c r="D6" s="148">
        <v>0</v>
      </c>
      <c r="E6" s="149" t="s">
        <v>405</v>
      </c>
      <c r="F6" s="150">
        <v>1</v>
      </c>
      <c r="G6" s="151" t="s">
        <v>464</v>
      </c>
      <c r="H6" s="150">
        <v>8185.308348536948</v>
      </c>
      <c r="I6" s="150">
        <v>0</v>
      </c>
      <c r="J6" s="252" t="s">
        <v>381</v>
      </c>
      <c r="K6" s="147"/>
    </row>
    <row r="7" spans="2:11" outlineLevel="1" x14ac:dyDescent="0.25">
      <c r="B7" s="148" t="s">
        <v>44</v>
      </c>
      <c r="C7" s="148" t="s">
        <v>181</v>
      </c>
      <c r="D7" s="148">
        <v>0</v>
      </c>
      <c r="E7" s="149" t="s">
        <v>406</v>
      </c>
      <c r="F7" s="150">
        <v>1</v>
      </c>
      <c r="G7" s="151" t="s">
        <v>464</v>
      </c>
      <c r="H7" s="150">
        <v>17393.780240641016</v>
      </c>
      <c r="I7" s="150">
        <v>0</v>
      </c>
      <c r="J7" s="252" t="s">
        <v>381</v>
      </c>
      <c r="K7" s="147"/>
    </row>
    <row r="8" spans="2:11" outlineLevel="1" x14ac:dyDescent="0.25">
      <c r="B8" s="148" t="s">
        <v>44</v>
      </c>
      <c r="C8" s="148" t="s">
        <v>185</v>
      </c>
      <c r="D8" s="148">
        <v>0</v>
      </c>
      <c r="E8" s="149" t="s">
        <v>407</v>
      </c>
      <c r="F8" s="150">
        <v>1</v>
      </c>
      <c r="G8" s="151" t="s">
        <v>464</v>
      </c>
      <c r="H8" s="150">
        <v>156544.02216576916</v>
      </c>
      <c r="I8" s="150">
        <v>0</v>
      </c>
      <c r="J8" s="252" t="s">
        <v>381</v>
      </c>
      <c r="K8" s="147"/>
    </row>
    <row r="9" spans="2:11" outlineLevel="1" x14ac:dyDescent="0.25">
      <c r="B9" s="148" t="s">
        <v>45</v>
      </c>
      <c r="C9" s="148" t="s">
        <v>189</v>
      </c>
      <c r="D9" s="148">
        <v>238</v>
      </c>
      <c r="E9" s="149" t="s">
        <v>408</v>
      </c>
      <c r="F9" s="150">
        <v>40</v>
      </c>
      <c r="G9" s="151" t="s">
        <v>465</v>
      </c>
      <c r="H9" s="150">
        <v>2719.5623225806457</v>
      </c>
      <c r="I9" s="150">
        <v>40</v>
      </c>
      <c r="J9" s="252" t="s">
        <v>381</v>
      </c>
      <c r="K9" s="147"/>
    </row>
    <row r="10" spans="2:11" outlineLevel="1" x14ac:dyDescent="0.25">
      <c r="B10" s="148" t="s">
        <v>45</v>
      </c>
      <c r="C10" s="148" t="s">
        <v>192</v>
      </c>
      <c r="D10" s="148">
        <v>239</v>
      </c>
      <c r="E10" s="149" t="s">
        <v>409</v>
      </c>
      <c r="F10" s="150">
        <v>120</v>
      </c>
      <c r="G10" s="151" t="s">
        <v>465</v>
      </c>
      <c r="H10" s="150">
        <v>21359.491045161289</v>
      </c>
      <c r="I10" s="150">
        <v>120</v>
      </c>
      <c r="J10" s="252" t="s">
        <v>381</v>
      </c>
      <c r="K10" s="147"/>
    </row>
    <row r="11" spans="2:11" outlineLevel="1" x14ac:dyDescent="0.25">
      <c r="B11" s="148" t="s">
        <v>45</v>
      </c>
      <c r="C11" s="148" t="s">
        <v>237</v>
      </c>
      <c r="D11" s="148">
        <v>242</v>
      </c>
      <c r="E11" s="149" t="s">
        <v>410</v>
      </c>
      <c r="F11" s="150">
        <v>80</v>
      </c>
      <c r="G11" s="151" t="s">
        <v>465</v>
      </c>
      <c r="H11" s="150">
        <v>5439.1246451612915</v>
      </c>
      <c r="I11" s="150">
        <v>80</v>
      </c>
      <c r="J11" s="252" t="s">
        <v>381</v>
      </c>
      <c r="K11" s="147"/>
    </row>
    <row r="12" spans="2:11" outlineLevel="1" x14ac:dyDescent="0.25">
      <c r="B12" s="148" t="s">
        <v>45</v>
      </c>
      <c r="C12" s="148" t="s">
        <v>196</v>
      </c>
      <c r="D12" s="148">
        <v>243</v>
      </c>
      <c r="E12" s="149" t="s">
        <v>411</v>
      </c>
      <c r="F12" s="150">
        <v>160</v>
      </c>
      <c r="G12" s="151" t="s">
        <v>465</v>
      </c>
      <c r="H12" s="150">
        <v>28832.216980645164</v>
      </c>
      <c r="I12" s="150">
        <v>160</v>
      </c>
      <c r="J12" s="252" t="s">
        <v>381</v>
      </c>
      <c r="K12" s="147"/>
    </row>
    <row r="13" spans="2:11" outlineLevel="1" x14ac:dyDescent="0.25">
      <c r="B13" s="148" t="s">
        <v>45</v>
      </c>
      <c r="C13" s="148" t="s">
        <v>242</v>
      </c>
      <c r="D13" s="148">
        <v>247</v>
      </c>
      <c r="E13" s="149" t="s">
        <v>412</v>
      </c>
      <c r="F13" s="150">
        <v>40</v>
      </c>
      <c r="G13" s="151" t="s">
        <v>465</v>
      </c>
      <c r="H13" s="150">
        <v>2817.0942451612909</v>
      </c>
      <c r="I13" s="150">
        <v>40</v>
      </c>
      <c r="J13" s="252" t="s">
        <v>381</v>
      </c>
      <c r="K13" s="147"/>
    </row>
    <row r="14" spans="2:11" ht="30" outlineLevel="1" x14ac:dyDescent="0.25">
      <c r="B14" s="148" t="s">
        <v>46</v>
      </c>
      <c r="C14" s="148" t="s">
        <v>261</v>
      </c>
      <c r="D14" s="148">
        <v>480</v>
      </c>
      <c r="E14" s="149" t="s">
        <v>413</v>
      </c>
      <c r="F14" s="150">
        <v>8</v>
      </c>
      <c r="G14" s="151" t="s">
        <v>466</v>
      </c>
      <c r="H14" s="150">
        <v>6371.4180530973454</v>
      </c>
      <c r="I14" s="150">
        <v>0</v>
      </c>
      <c r="J14" s="252" t="s">
        <v>381</v>
      </c>
      <c r="K14" s="147"/>
    </row>
    <row r="15" spans="2:11" outlineLevel="1" x14ac:dyDescent="0.25">
      <c r="B15" s="148" t="s">
        <v>46</v>
      </c>
      <c r="C15" s="148" t="s">
        <v>261</v>
      </c>
      <c r="D15" s="148">
        <v>478</v>
      </c>
      <c r="E15" s="149" t="s">
        <v>414</v>
      </c>
      <c r="F15" s="150">
        <v>40</v>
      </c>
      <c r="G15" s="151" t="s">
        <v>466</v>
      </c>
      <c r="H15" s="150">
        <v>29202.332743362829</v>
      </c>
      <c r="I15" s="150">
        <v>0</v>
      </c>
      <c r="J15" s="252" t="s">
        <v>381</v>
      </c>
      <c r="K15" s="147"/>
    </row>
    <row r="16" spans="2:11" outlineLevel="1" x14ac:dyDescent="0.25">
      <c r="B16" s="148" t="s">
        <v>46</v>
      </c>
      <c r="C16" s="148" t="s">
        <v>261</v>
      </c>
      <c r="D16" s="148">
        <v>470</v>
      </c>
      <c r="E16" s="149" t="s">
        <v>415</v>
      </c>
      <c r="F16" s="150">
        <v>8</v>
      </c>
      <c r="G16" s="151" t="s">
        <v>466</v>
      </c>
      <c r="H16" s="150">
        <v>40639.028148672558</v>
      </c>
      <c r="I16" s="150">
        <v>0</v>
      </c>
      <c r="J16" s="252" t="s">
        <v>381</v>
      </c>
      <c r="K16" s="147"/>
    </row>
    <row r="17" spans="2:11" outlineLevel="1" x14ac:dyDescent="0.25">
      <c r="B17" s="148" t="s">
        <v>46</v>
      </c>
      <c r="C17" s="148" t="s">
        <v>261</v>
      </c>
      <c r="D17" s="148">
        <v>476</v>
      </c>
      <c r="E17" s="149" t="s">
        <v>416</v>
      </c>
      <c r="F17" s="150">
        <v>4</v>
      </c>
      <c r="G17" s="151" t="s">
        <v>466</v>
      </c>
      <c r="H17" s="150">
        <v>16932.928395280236</v>
      </c>
      <c r="I17" s="150">
        <v>0</v>
      </c>
      <c r="J17" s="252" t="s">
        <v>381</v>
      </c>
      <c r="K17" s="147"/>
    </row>
    <row r="18" spans="2:11" outlineLevel="1" x14ac:dyDescent="0.25">
      <c r="B18" s="148" t="s">
        <v>46</v>
      </c>
      <c r="C18" s="148" t="s">
        <v>261</v>
      </c>
      <c r="D18" s="148">
        <v>472</v>
      </c>
      <c r="E18" s="149" t="s">
        <v>417</v>
      </c>
      <c r="F18" s="150">
        <v>8</v>
      </c>
      <c r="G18" s="151" t="s">
        <v>466</v>
      </c>
      <c r="H18" s="150">
        <v>33865.856790560472</v>
      </c>
      <c r="I18" s="150">
        <v>0</v>
      </c>
      <c r="J18" s="252" t="s">
        <v>381</v>
      </c>
      <c r="K18" s="147"/>
    </row>
    <row r="19" spans="2:11" ht="30" outlineLevel="1" x14ac:dyDescent="0.25">
      <c r="B19" s="148" t="s">
        <v>46</v>
      </c>
      <c r="C19" s="148" t="s">
        <v>262</v>
      </c>
      <c r="D19" s="148">
        <v>488</v>
      </c>
      <c r="E19" s="149" t="s">
        <v>418</v>
      </c>
      <c r="F19" s="150">
        <v>200</v>
      </c>
      <c r="G19" s="151" t="s">
        <v>467</v>
      </c>
      <c r="H19" s="150">
        <v>124.773603539823</v>
      </c>
      <c r="I19" s="150">
        <v>0</v>
      </c>
      <c r="J19" s="252" t="s">
        <v>381</v>
      </c>
      <c r="K19" s="147"/>
    </row>
    <row r="20" spans="2:11" ht="30" outlineLevel="1" x14ac:dyDescent="0.25">
      <c r="B20" s="148" t="s">
        <v>46</v>
      </c>
      <c r="C20" s="148" t="s">
        <v>262</v>
      </c>
      <c r="D20" s="148">
        <v>486</v>
      </c>
      <c r="E20" s="149" t="s">
        <v>419</v>
      </c>
      <c r="F20" s="150">
        <v>200</v>
      </c>
      <c r="G20" s="151" t="s">
        <v>467</v>
      </c>
      <c r="H20" s="150">
        <v>57.077286725663718</v>
      </c>
      <c r="I20" s="150">
        <v>0</v>
      </c>
      <c r="J20" s="252" t="s">
        <v>381</v>
      </c>
      <c r="K20" s="147"/>
    </row>
    <row r="21" spans="2:11" ht="30" outlineLevel="1" x14ac:dyDescent="0.25">
      <c r="B21" s="148" t="s">
        <v>46</v>
      </c>
      <c r="C21" s="148" t="s">
        <v>262</v>
      </c>
      <c r="D21" s="148">
        <v>482</v>
      </c>
      <c r="E21" s="149" t="s">
        <v>420</v>
      </c>
      <c r="F21" s="150">
        <v>100</v>
      </c>
      <c r="G21" s="151" t="s">
        <v>466</v>
      </c>
      <c r="H21" s="150">
        <v>94.243892035398233</v>
      </c>
      <c r="I21" s="150">
        <v>0</v>
      </c>
      <c r="J21" s="252" t="s">
        <v>381</v>
      </c>
      <c r="K21" s="147"/>
    </row>
    <row r="22" spans="2:11" ht="30" outlineLevel="1" x14ac:dyDescent="0.25">
      <c r="B22" s="148" t="s">
        <v>46</v>
      </c>
      <c r="C22" s="148" t="s">
        <v>262</v>
      </c>
      <c r="D22" s="148">
        <v>484</v>
      </c>
      <c r="E22" s="149" t="s">
        <v>421</v>
      </c>
      <c r="F22" s="150">
        <v>100</v>
      </c>
      <c r="G22" s="151" t="s">
        <v>466</v>
      </c>
      <c r="H22" s="150">
        <v>70.351074336283176</v>
      </c>
      <c r="I22" s="150">
        <v>0</v>
      </c>
      <c r="J22" s="252" t="s">
        <v>381</v>
      </c>
      <c r="K22" s="147"/>
    </row>
    <row r="23" spans="2:11" outlineLevel="1" x14ac:dyDescent="0.25">
      <c r="B23" s="148" t="s">
        <v>46</v>
      </c>
      <c r="C23" s="148" t="s">
        <v>262</v>
      </c>
      <c r="D23" s="148">
        <v>298</v>
      </c>
      <c r="E23" s="149" t="s">
        <v>422</v>
      </c>
      <c r="F23" s="150">
        <v>10000</v>
      </c>
      <c r="G23" s="151" t="s">
        <v>467</v>
      </c>
      <c r="H23" s="150">
        <v>19578.836725663718</v>
      </c>
      <c r="I23" s="150">
        <v>0</v>
      </c>
      <c r="J23" s="252" t="s">
        <v>390</v>
      </c>
      <c r="K23" s="147"/>
    </row>
    <row r="24" spans="2:11" outlineLevel="1" x14ac:dyDescent="0.25">
      <c r="B24" s="148" t="s">
        <v>47</v>
      </c>
      <c r="C24" s="148" t="s">
        <v>202</v>
      </c>
      <c r="D24" s="148">
        <v>132</v>
      </c>
      <c r="E24" s="149" t="s">
        <v>423</v>
      </c>
      <c r="F24" s="150">
        <v>320</v>
      </c>
      <c r="G24" s="151" t="s">
        <v>465</v>
      </c>
      <c r="H24" s="150">
        <v>21146.70752</v>
      </c>
      <c r="I24" s="150">
        <v>320</v>
      </c>
      <c r="J24" s="252" t="s">
        <v>391</v>
      </c>
      <c r="K24" s="147"/>
    </row>
    <row r="25" spans="2:11" outlineLevel="1" x14ac:dyDescent="0.25">
      <c r="B25" s="148" t="s">
        <v>47</v>
      </c>
      <c r="C25" s="148" t="s">
        <v>204</v>
      </c>
      <c r="D25" s="148">
        <v>0</v>
      </c>
      <c r="E25" s="149" t="s">
        <v>424</v>
      </c>
      <c r="F25" s="150">
        <v>1</v>
      </c>
      <c r="G25" s="151" t="s">
        <v>464</v>
      </c>
      <c r="H25" s="150">
        <v>33081.576843100011</v>
      </c>
      <c r="I25" s="150">
        <v>0</v>
      </c>
      <c r="J25" s="252" t="s">
        <v>381</v>
      </c>
      <c r="K25" s="147"/>
    </row>
    <row r="26" spans="2:11" outlineLevel="1" x14ac:dyDescent="0.25">
      <c r="B26" s="148" t="s">
        <v>47</v>
      </c>
      <c r="C26" s="148" t="s">
        <v>204</v>
      </c>
      <c r="D26" s="148">
        <v>0</v>
      </c>
      <c r="E26" s="149" t="s">
        <v>425</v>
      </c>
      <c r="F26" s="150">
        <v>1</v>
      </c>
      <c r="G26" s="151" t="s">
        <v>464</v>
      </c>
      <c r="H26" s="150">
        <v>33081.576843100011</v>
      </c>
      <c r="I26" s="150">
        <v>0</v>
      </c>
      <c r="J26" s="252" t="s">
        <v>381</v>
      </c>
      <c r="K26" s="147"/>
    </row>
    <row r="27" spans="2:11" ht="30" outlineLevel="1" x14ac:dyDescent="0.25">
      <c r="B27" s="148" t="s">
        <v>47</v>
      </c>
      <c r="C27" s="148" t="s">
        <v>287</v>
      </c>
      <c r="D27" s="148">
        <v>489</v>
      </c>
      <c r="E27" s="149" t="s">
        <v>426</v>
      </c>
      <c r="F27" s="150">
        <v>200</v>
      </c>
      <c r="G27" s="151" t="s">
        <v>467</v>
      </c>
      <c r="H27" s="150">
        <v>230.79879500000001</v>
      </c>
      <c r="I27" s="150">
        <v>1.2</v>
      </c>
      <c r="J27" s="252" t="s">
        <v>381</v>
      </c>
      <c r="K27" s="147"/>
    </row>
    <row r="28" spans="2:11" ht="30" outlineLevel="1" x14ac:dyDescent="0.25">
      <c r="B28" s="148" t="s">
        <v>47</v>
      </c>
      <c r="C28" s="148" t="s">
        <v>287</v>
      </c>
      <c r="D28" s="148">
        <v>487</v>
      </c>
      <c r="E28" s="149" t="s">
        <v>427</v>
      </c>
      <c r="F28" s="150">
        <v>200</v>
      </c>
      <c r="G28" s="151" t="s">
        <v>467</v>
      </c>
      <c r="H28" s="150">
        <v>192.33056099999999</v>
      </c>
      <c r="I28" s="150">
        <v>1</v>
      </c>
      <c r="J28" s="252" t="s">
        <v>381</v>
      </c>
      <c r="K28" s="147"/>
    </row>
    <row r="29" spans="2:11" ht="30" outlineLevel="1" x14ac:dyDescent="0.25">
      <c r="B29" s="148" t="s">
        <v>47</v>
      </c>
      <c r="C29" s="148" t="s">
        <v>287</v>
      </c>
      <c r="D29" s="148">
        <v>483</v>
      </c>
      <c r="E29" s="149" t="s">
        <v>428</v>
      </c>
      <c r="F29" s="150">
        <v>100</v>
      </c>
      <c r="G29" s="151" t="s">
        <v>466</v>
      </c>
      <c r="H29" s="150">
        <v>2307.9667319999999</v>
      </c>
      <c r="I29" s="150">
        <v>12</v>
      </c>
      <c r="J29" s="252" t="s">
        <v>381</v>
      </c>
      <c r="K29" s="147"/>
    </row>
    <row r="30" spans="2:11" ht="30" outlineLevel="1" x14ac:dyDescent="0.25">
      <c r="B30" s="148" t="s">
        <v>47</v>
      </c>
      <c r="C30" s="148" t="s">
        <v>287</v>
      </c>
      <c r="D30" s="148">
        <v>485</v>
      </c>
      <c r="E30" s="149" t="s">
        <v>429</v>
      </c>
      <c r="F30" s="150">
        <v>100</v>
      </c>
      <c r="G30" s="151" t="s">
        <v>466</v>
      </c>
      <c r="H30" s="150">
        <v>1538.6444879999999</v>
      </c>
      <c r="I30" s="150">
        <v>8</v>
      </c>
      <c r="J30" s="252" t="s">
        <v>381</v>
      </c>
      <c r="K30" s="147"/>
    </row>
    <row r="31" spans="2:11" outlineLevel="1" x14ac:dyDescent="0.25">
      <c r="B31" s="148" t="s">
        <v>47</v>
      </c>
      <c r="C31" s="148" t="s">
        <v>287</v>
      </c>
      <c r="D31" s="148">
        <v>299</v>
      </c>
      <c r="E31" s="149" t="s">
        <v>430</v>
      </c>
      <c r="F31" s="150">
        <v>10000</v>
      </c>
      <c r="G31" s="151" t="s">
        <v>467</v>
      </c>
      <c r="H31" s="150">
        <v>46159.334640000001</v>
      </c>
      <c r="I31" s="150">
        <v>240</v>
      </c>
      <c r="J31" s="252" t="s">
        <v>390</v>
      </c>
      <c r="K31" s="147"/>
    </row>
    <row r="32" spans="2:11" outlineLevel="1" x14ac:dyDescent="0.25">
      <c r="B32" s="148" t="s">
        <v>47</v>
      </c>
      <c r="C32" s="148" t="s">
        <v>288</v>
      </c>
      <c r="D32" s="148">
        <v>481</v>
      </c>
      <c r="E32" s="149" t="s">
        <v>431</v>
      </c>
      <c r="F32" s="150">
        <v>8</v>
      </c>
      <c r="G32" s="151" t="s">
        <v>466</v>
      </c>
      <c r="H32" s="150">
        <v>1538.6444879999999</v>
      </c>
      <c r="I32" s="150">
        <v>8</v>
      </c>
      <c r="J32" s="252" t="s">
        <v>381</v>
      </c>
      <c r="K32" s="147"/>
    </row>
    <row r="33" spans="2:11" outlineLevel="1" x14ac:dyDescent="0.25">
      <c r="B33" s="148" t="s">
        <v>47</v>
      </c>
      <c r="C33" s="148" t="s">
        <v>288</v>
      </c>
      <c r="D33" s="148">
        <v>479</v>
      </c>
      <c r="E33" s="149" t="s">
        <v>432</v>
      </c>
      <c r="F33" s="150">
        <v>40</v>
      </c>
      <c r="G33" s="151" t="s">
        <v>466</v>
      </c>
      <c r="H33" s="150">
        <v>19233.056099999998</v>
      </c>
      <c r="I33" s="150">
        <v>100</v>
      </c>
      <c r="J33" s="252" t="s">
        <v>381</v>
      </c>
      <c r="K33" s="147"/>
    </row>
    <row r="34" spans="2:11" outlineLevel="1" x14ac:dyDescent="0.25">
      <c r="B34" s="148" t="s">
        <v>47</v>
      </c>
      <c r="C34" s="148" t="s">
        <v>288</v>
      </c>
      <c r="D34" s="148">
        <v>471</v>
      </c>
      <c r="E34" s="149" t="s">
        <v>433</v>
      </c>
      <c r="F34" s="150">
        <v>8</v>
      </c>
      <c r="G34" s="151" t="s">
        <v>466</v>
      </c>
      <c r="H34" s="150">
        <v>492366.23615999997</v>
      </c>
      <c r="I34" s="150">
        <v>2560</v>
      </c>
      <c r="J34" s="252" t="s">
        <v>381</v>
      </c>
      <c r="K34" s="147"/>
    </row>
    <row r="35" spans="2:11" outlineLevel="1" x14ac:dyDescent="0.25">
      <c r="B35" s="148" t="s">
        <v>47</v>
      </c>
      <c r="C35" s="148" t="s">
        <v>288</v>
      </c>
      <c r="D35" s="148">
        <v>477</v>
      </c>
      <c r="E35" s="149" t="s">
        <v>434</v>
      </c>
      <c r="F35" s="150">
        <v>4</v>
      </c>
      <c r="G35" s="151" t="s">
        <v>466</v>
      </c>
      <c r="H35" s="150">
        <v>246183.11807999999</v>
      </c>
      <c r="I35" s="150">
        <v>1280</v>
      </c>
      <c r="J35" s="252" t="s">
        <v>381</v>
      </c>
      <c r="K35" s="147"/>
    </row>
    <row r="36" spans="2:11" outlineLevel="1" x14ac:dyDescent="0.25">
      <c r="B36" s="148" t="s">
        <v>47</v>
      </c>
      <c r="C36" s="148" t="s">
        <v>288</v>
      </c>
      <c r="D36" s="148">
        <v>473</v>
      </c>
      <c r="E36" s="149" t="s">
        <v>435</v>
      </c>
      <c r="F36" s="150">
        <v>8</v>
      </c>
      <c r="G36" s="151" t="s">
        <v>466</v>
      </c>
      <c r="H36" s="150">
        <v>492366.23615999997</v>
      </c>
      <c r="I36" s="150">
        <v>2560</v>
      </c>
      <c r="J36" s="252" t="s">
        <v>381</v>
      </c>
      <c r="K36" s="147"/>
    </row>
    <row r="37" spans="2:11" outlineLevel="1" x14ac:dyDescent="0.25">
      <c r="B37" s="148" t="s">
        <v>48</v>
      </c>
      <c r="C37" s="148" t="s">
        <v>290</v>
      </c>
      <c r="D37" s="148">
        <v>138</v>
      </c>
      <c r="E37" s="149" t="s">
        <v>436</v>
      </c>
      <c r="F37" s="150">
        <v>2600</v>
      </c>
      <c r="G37" s="151" t="s">
        <v>465</v>
      </c>
      <c r="H37" s="150">
        <v>663104.93599999999</v>
      </c>
      <c r="I37" s="150">
        <v>2600</v>
      </c>
      <c r="J37" s="252" t="s">
        <v>392</v>
      </c>
      <c r="K37" s="147"/>
    </row>
    <row r="38" spans="2:11" ht="75" outlineLevel="1" x14ac:dyDescent="0.25">
      <c r="B38" s="148" t="s">
        <v>48</v>
      </c>
      <c r="C38" s="148" t="s">
        <v>291</v>
      </c>
      <c r="D38" s="148">
        <v>140</v>
      </c>
      <c r="E38" s="149" t="s">
        <v>437</v>
      </c>
      <c r="F38" s="150">
        <v>5200</v>
      </c>
      <c r="G38" s="151" t="s">
        <v>465</v>
      </c>
      <c r="H38" s="150">
        <v>1151386.2827999999</v>
      </c>
      <c r="I38" s="150">
        <v>5200</v>
      </c>
      <c r="J38" s="252" t="s">
        <v>393</v>
      </c>
      <c r="K38" s="147"/>
    </row>
    <row r="39" spans="2:11" ht="45" outlineLevel="1" x14ac:dyDescent="0.25">
      <c r="B39" s="148" t="s">
        <v>49</v>
      </c>
      <c r="C39" s="148" t="s">
        <v>212</v>
      </c>
      <c r="D39" s="148">
        <v>148</v>
      </c>
      <c r="E39" s="149" t="s">
        <v>438</v>
      </c>
      <c r="F39" s="150">
        <v>138</v>
      </c>
      <c r="G39" s="151" t="s">
        <v>465</v>
      </c>
      <c r="H39" s="150">
        <v>25029.792238591417</v>
      </c>
      <c r="I39" s="150">
        <v>138</v>
      </c>
      <c r="J39" s="252" t="s">
        <v>394</v>
      </c>
      <c r="K39" s="147"/>
    </row>
    <row r="40" spans="2:11" outlineLevel="1" x14ac:dyDescent="0.25">
      <c r="B40" s="148" t="s">
        <v>49</v>
      </c>
      <c r="C40" s="148" t="s">
        <v>301</v>
      </c>
      <c r="D40" s="148">
        <v>149</v>
      </c>
      <c r="E40" s="149" t="s">
        <v>439</v>
      </c>
      <c r="F40" s="150">
        <v>24</v>
      </c>
      <c r="G40" s="151" t="s">
        <v>465</v>
      </c>
      <c r="H40" s="150">
        <v>1790.1008245598191</v>
      </c>
      <c r="I40" s="150">
        <v>24</v>
      </c>
      <c r="J40" s="252" t="s">
        <v>381</v>
      </c>
      <c r="K40" s="147"/>
    </row>
    <row r="41" spans="2:11" outlineLevel="1" x14ac:dyDescent="0.25">
      <c r="B41" s="148" t="s">
        <v>49</v>
      </c>
      <c r="C41" s="148" t="s">
        <v>216</v>
      </c>
      <c r="D41" s="148">
        <v>167</v>
      </c>
      <c r="E41" s="149" t="s">
        <v>440</v>
      </c>
      <c r="F41" s="150">
        <v>40</v>
      </c>
      <c r="G41" s="151" t="s">
        <v>465</v>
      </c>
      <c r="H41" s="150">
        <v>3104.7161355932203</v>
      </c>
      <c r="I41" s="150">
        <v>40</v>
      </c>
      <c r="J41" s="252" t="s">
        <v>381</v>
      </c>
      <c r="K41" s="147"/>
    </row>
    <row r="42" spans="2:11" outlineLevel="1" x14ac:dyDescent="0.25">
      <c r="B42" s="148" t="s">
        <v>49</v>
      </c>
      <c r="C42" s="148" t="s">
        <v>220</v>
      </c>
      <c r="D42" s="148">
        <v>159</v>
      </c>
      <c r="E42" s="149" t="s">
        <v>441</v>
      </c>
      <c r="F42" s="150">
        <v>40</v>
      </c>
      <c r="G42" s="151" t="s">
        <v>465</v>
      </c>
      <c r="H42" s="150">
        <v>2705.7181016949153</v>
      </c>
      <c r="I42" s="150">
        <v>40</v>
      </c>
      <c r="J42" s="252" t="s">
        <v>381</v>
      </c>
      <c r="K42" s="147"/>
    </row>
    <row r="43" spans="2:11" outlineLevel="1" x14ac:dyDescent="0.25">
      <c r="B43" s="148" t="s">
        <v>49</v>
      </c>
      <c r="C43" s="148" t="s">
        <v>302</v>
      </c>
      <c r="D43" s="148">
        <v>157</v>
      </c>
      <c r="E43" s="149" t="s">
        <v>442</v>
      </c>
      <c r="F43" s="150">
        <v>24</v>
      </c>
      <c r="G43" s="151" t="s">
        <v>465</v>
      </c>
      <c r="H43" s="150">
        <v>1278.13055623219</v>
      </c>
      <c r="I43" s="150">
        <v>24</v>
      </c>
      <c r="J43" s="252" t="s">
        <v>381</v>
      </c>
      <c r="K43" s="147"/>
    </row>
    <row r="44" spans="2:11" outlineLevel="1" x14ac:dyDescent="0.25">
      <c r="B44" s="148" t="s">
        <v>49</v>
      </c>
      <c r="C44" s="148" t="s">
        <v>302</v>
      </c>
      <c r="D44" s="148">
        <v>155</v>
      </c>
      <c r="E44" s="149" t="s">
        <v>443</v>
      </c>
      <c r="F44" s="150">
        <v>24</v>
      </c>
      <c r="G44" s="151" t="s">
        <v>465</v>
      </c>
      <c r="H44" s="150">
        <v>1278.13055623219</v>
      </c>
      <c r="I44" s="150">
        <v>24</v>
      </c>
      <c r="J44" s="252" t="s">
        <v>381</v>
      </c>
      <c r="K44" s="147"/>
    </row>
    <row r="45" spans="2:11" outlineLevel="1" x14ac:dyDescent="0.25">
      <c r="B45" s="148" t="s">
        <v>49</v>
      </c>
      <c r="C45" s="148" t="s">
        <v>224</v>
      </c>
      <c r="D45" s="148">
        <v>161</v>
      </c>
      <c r="E45" s="149" t="s">
        <v>444</v>
      </c>
      <c r="F45" s="150">
        <v>40</v>
      </c>
      <c r="G45" s="151" t="s">
        <v>465</v>
      </c>
      <c r="H45" s="150">
        <v>2568.9001132075473</v>
      </c>
      <c r="I45" s="150">
        <v>40</v>
      </c>
      <c r="J45" s="252" t="s">
        <v>381</v>
      </c>
      <c r="K45" s="147"/>
    </row>
    <row r="46" spans="2:11" outlineLevel="1" x14ac:dyDescent="0.25">
      <c r="B46" s="148" t="s">
        <v>49</v>
      </c>
      <c r="C46" s="148" t="s">
        <v>228</v>
      </c>
      <c r="D46" s="148">
        <v>452</v>
      </c>
      <c r="E46" s="149" t="s">
        <v>445</v>
      </c>
      <c r="F46" s="150">
        <v>344</v>
      </c>
      <c r="G46" s="151" t="s">
        <v>465</v>
      </c>
      <c r="H46" s="150">
        <v>59170.189776112071</v>
      </c>
      <c r="I46" s="150">
        <v>344</v>
      </c>
      <c r="J46" s="252" t="s">
        <v>395</v>
      </c>
      <c r="K46" s="147"/>
    </row>
    <row r="47" spans="2:11" outlineLevel="1" x14ac:dyDescent="0.25">
      <c r="B47" s="148" t="s">
        <v>50</v>
      </c>
      <c r="C47" s="148" t="s">
        <v>303</v>
      </c>
      <c r="D47" s="148">
        <v>475</v>
      </c>
      <c r="E47" s="149" t="s">
        <v>446</v>
      </c>
      <c r="F47" s="150">
        <v>8</v>
      </c>
      <c r="G47" s="151" t="s">
        <v>466</v>
      </c>
      <c r="H47" s="150">
        <v>49236.623615999997</v>
      </c>
      <c r="I47" s="150">
        <v>256</v>
      </c>
      <c r="J47" s="252" t="s">
        <v>396</v>
      </c>
      <c r="K47" s="147"/>
    </row>
    <row r="48" spans="2:11" outlineLevel="1" x14ac:dyDescent="0.25">
      <c r="B48" s="148" t="s">
        <v>50</v>
      </c>
      <c r="C48" s="148" t="s">
        <v>303</v>
      </c>
      <c r="D48" s="148">
        <v>474</v>
      </c>
      <c r="E48" s="149" t="s">
        <v>447</v>
      </c>
      <c r="F48" s="150">
        <v>8</v>
      </c>
      <c r="G48" s="151" t="s">
        <v>466</v>
      </c>
      <c r="H48" s="150">
        <v>49236.623615999997</v>
      </c>
      <c r="I48" s="150">
        <v>256</v>
      </c>
      <c r="J48" s="252" t="s">
        <v>396</v>
      </c>
      <c r="K48" s="147"/>
    </row>
    <row r="49" spans="2:11" outlineLevel="1" x14ac:dyDescent="0.25">
      <c r="B49" s="148" t="s">
        <v>50</v>
      </c>
      <c r="C49" s="148" t="s">
        <v>303</v>
      </c>
      <c r="D49" s="148">
        <v>491</v>
      </c>
      <c r="E49" s="149" t="s">
        <v>448</v>
      </c>
      <c r="F49" s="150">
        <v>40</v>
      </c>
      <c r="G49" s="151" t="s">
        <v>466</v>
      </c>
      <c r="H49" s="150">
        <v>9616.528049999999</v>
      </c>
      <c r="I49" s="150">
        <v>50</v>
      </c>
      <c r="J49" s="252" t="s">
        <v>397</v>
      </c>
      <c r="K49" s="147"/>
    </row>
    <row r="50" spans="2:11" outlineLevel="1" x14ac:dyDescent="0.25">
      <c r="B50" s="148" t="s">
        <v>50</v>
      </c>
      <c r="C50" s="148" t="s">
        <v>303</v>
      </c>
      <c r="D50" s="148">
        <v>492</v>
      </c>
      <c r="E50" s="149" t="s">
        <v>449</v>
      </c>
      <c r="F50" s="150">
        <v>1</v>
      </c>
      <c r="G50" s="151" t="s">
        <v>466</v>
      </c>
      <c r="H50" s="150">
        <v>15386.444879999999</v>
      </c>
      <c r="I50" s="150">
        <v>80</v>
      </c>
      <c r="J50" s="252" t="s">
        <v>398</v>
      </c>
      <c r="K50" s="147"/>
    </row>
    <row r="51" spans="2:11" outlineLevel="1" x14ac:dyDescent="0.25">
      <c r="B51" s="148" t="s">
        <v>51</v>
      </c>
      <c r="C51" s="148" t="s">
        <v>167</v>
      </c>
      <c r="D51" s="148">
        <v>0</v>
      </c>
      <c r="E51" s="149" t="s">
        <v>450</v>
      </c>
      <c r="F51" s="150">
        <v>1</v>
      </c>
      <c r="G51" s="151" t="s">
        <v>464</v>
      </c>
      <c r="H51" s="150">
        <v>76400.073272274254</v>
      </c>
      <c r="I51" s="150">
        <v>0</v>
      </c>
      <c r="J51" s="252" t="s">
        <v>381</v>
      </c>
      <c r="K51" s="147"/>
    </row>
    <row r="52" spans="2:11" ht="30" outlineLevel="1" x14ac:dyDescent="0.25">
      <c r="B52" s="148" t="s">
        <v>52</v>
      </c>
      <c r="C52" s="148" t="s">
        <v>161</v>
      </c>
      <c r="D52" s="148">
        <v>455</v>
      </c>
      <c r="E52" s="149" t="s">
        <v>451</v>
      </c>
      <c r="F52" s="150">
        <v>1</v>
      </c>
      <c r="G52" s="151" t="s">
        <v>464</v>
      </c>
      <c r="H52" s="150">
        <v>200000</v>
      </c>
      <c r="I52" s="150">
        <v>0</v>
      </c>
      <c r="J52" s="252" t="s">
        <v>399</v>
      </c>
      <c r="K52" s="147"/>
    </row>
    <row r="53" spans="2:11" ht="45" outlineLevel="1" x14ac:dyDescent="0.25">
      <c r="B53" s="148" t="s">
        <v>52</v>
      </c>
      <c r="C53" s="148" t="s">
        <v>161</v>
      </c>
      <c r="D53" s="148">
        <v>461</v>
      </c>
      <c r="E53" s="149" t="s">
        <v>452</v>
      </c>
      <c r="F53" s="150">
        <v>1</v>
      </c>
      <c r="G53" s="151" t="s">
        <v>464</v>
      </c>
      <c r="H53" s="150">
        <v>220000</v>
      </c>
      <c r="I53" s="150">
        <v>0</v>
      </c>
      <c r="J53" s="252" t="s">
        <v>400</v>
      </c>
      <c r="K53" s="147"/>
    </row>
    <row r="54" spans="2:11" ht="30" outlineLevel="1" x14ac:dyDescent="0.25">
      <c r="B54" s="148" t="s">
        <v>52</v>
      </c>
      <c r="C54" s="148" t="s">
        <v>161</v>
      </c>
      <c r="D54" s="148">
        <v>460</v>
      </c>
      <c r="E54" s="149" t="s">
        <v>453</v>
      </c>
      <c r="F54" s="150">
        <v>1</v>
      </c>
      <c r="G54" s="151" t="s">
        <v>464</v>
      </c>
      <c r="H54" s="150">
        <v>300000</v>
      </c>
      <c r="I54" s="150">
        <v>0</v>
      </c>
      <c r="J54" s="252" t="s">
        <v>401</v>
      </c>
      <c r="K54" s="147"/>
    </row>
    <row r="55" spans="2:11" ht="30" outlineLevel="1" x14ac:dyDescent="0.25">
      <c r="B55" s="148" t="s">
        <v>52</v>
      </c>
      <c r="C55" s="148" t="s">
        <v>161</v>
      </c>
      <c r="D55" s="148">
        <v>454</v>
      </c>
      <c r="E55" s="149" t="s">
        <v>454</v>
      </c>
      <c r="F55" s="150">
        <v>1</v>
      </c>
      <c r="G55" s="151" t="s">
        <v>464</v>
      </c>
      <c r="H55" s="150">
        <v>50000</v>
      </c>
      <c r="I55" s="150">
        <v>0</v>
      </c>
      <c r="J55" s="252" t="s">
        <v>402</v>
      </c>
      <c r="K55" s="147"/>
    </row>
    <row r="56" spans="2:11" outlineLevel="1" x14ac:dyDescent="0.25">
      <c r="B56" s="148" t="s">
        <v>57</v>
      </c>
      <c r="C56" s="148" t="s">
        <v>139</v>
      </c>
      <c r="D56" s="148">
        <v>0</v>
      </c>
      <c r="E56" s="149" t="s">
        <v>455</v>
      </c>
      <c r="F56" s="150">
        <v>1</v>
      </c>
      <c r="G56" s="151" t="s">
        <v>464</v>
      </c>
      <c r="H56" s="150">
        <v>55403.687978929651</v>
      </c>
      <c r="I56" s="150">
        <v>0</v>
      </c>
      <c r="J56" s="252" t="s">
        <v>381</v>
      </c>
      <c r="K56" s="147"/>
    </row>
    <row r="57" spans="2:11" outlineLevel="1" x14ac:dyDescent="0.25">
      <c r="B57" s="148" t="s">
        <v>57</v>
      </c>
      <c r="C57" s="148" t="s">
        <v>140</v>
      </c>
      <c r="D57" s="148">
        <v>0</v>
      </c>
      <c r="E57" s="149" t="s">
        <v>456</v>
      </c>
      <c r="F57" s="150">
        <v>1</v>
      </c>
      <c r="G57" s="151" t="s">
        <v>464</v>
      </c>
      <c r="H57" s="150">
        <v>26548.677374449704</v>
      </c>
      <c r="I57" s="150">
        <v>0</v>
      </c>
      <c r="J57" s="252" t="s">
        <v>381</v>
      </c>
      <c r="K57" s="147"/>
    </row>
    <row r="58" spans="2:11" outlineLevel="1" x14ac:dyDescent="0.25">
      <c r="B58" s="148" t="s">
        <v>57</v>
      </c>
      <c r="C58" s="148" t="s">
        <v>141</v>
      </c>
      <c r="D58" s="148">
        <v>0</v>
      </c>
      <c r="E58" s="149" t="s">
        <v>457</v>
      </c>
      <c r="F58" s="150">
        <v>1</v>
      </c>
      <c r="G58" s="151" t="s">
        <v>464</v>
      </c>
      <c r="H58" s="150">
        <v>10600.505007504062</v>
      </c>
      <c r="I58" s="150">
        <v>0</v>
      </c>
      <c r="J58" s="252" t="s">
        <v>381</v>
      </c>
      <c r="K58" s="147"/>
    </row>
    <row r="59" spans="2:11" outlineLevel="1" x14ac:dyDescent="0.25">
      <c r="B59" s="148" t="s">
        <v>57</v>
      </c>
      <c r="C59" s="148" t="s">
        <v>142</v>
      </c>
      <c r="D59" s="148">
        <v>0</v>
      </c>
      <c r="E59" s="149" t="s">
        <v>458</v>
      </c>
      <c r="F59" s="150">
        <v>1</v>
      </c>
      <c r="G59" s="151" t="s">
        <v>464</v>
      </c>
      <c r="H59" s="150">
        <v>1458437.1687861285</v>
      </c>
      <c r="I59" s="150">
        <v>0</v>
      </c>
      <c r="J59" s="252" t="s">
        <v>381</v>
      </c>
      <c r="K59" s="147"/>
    </row>
    <row r="60" spans="2:11" outlineLevel="1" x14ac:dyDescent="0.25">
      <c r="B60" s="148" t="s">
        <v>57</v>
      </c>
      <c r="C60" s="148" t="s">
        <v>143</v>
      </c>
      <c r="D60" s="148">
        <v>0</v>
      </c>
      <c r="E60" s="149" t="s">
        <v>459</v>
      </c>
      <c r="F60" s="150">
        <v>1</v>
      </c>
      <c r="G60" s="151" t="s">
        <v>464</v>
      </c>
      <c r="H60" s="150">
        <v>58085.038305769325</v>
      </c>
      <c r="I60" s="150">
        <v>0</v>
      </c>
      <c r="J60" s="252" t="s">
        <v>381</v>
      </c>
      <c r="K60" s="147"/>
    </row>
    <row r="61" spans="2:11" outlineLevel="1" x14ac:dyDescent="0.25">
      <c r="B61" s="148" t="s">
        <v>57</v>
      </c>
      <c r="C61" s="148" t="s">
        <v>144</v>
      </c>
      <c r="D61" s="148">
        <v>0</v>
      </c>
      <c r="E61" s="149" t="s">
        <v>460</v>
      </c>
      <c r="F61" s="150">
        <v>1</v>
      </c>
      <c r="G61" s="151" t="s">
        <v>464</v>
      </c>
      <c r="H61" s="150">
        <v>0</v>
      </c>
      <c r="I61" s="150">
        <v>0</v>
      </c>
      <c r="J61" s="252" t="s">
        <v>381</v>
      </c>
      <c r="K61" s="147"/>
    </row>
    <row r="62" spans="2:11" outlineLevel="1" x14ac:dyDescent="0.25">
      <c r="B62" s="148" t="s">
        <v>57</v>
      </c>
      <c r="C62" s="148" t="s">
        <v>145</v>
      </c>
      <c r="D62" s="148">
        <v>0</v>
      </c>
      <c r="E62" s="149" t="s">
        <v>461</v>
      </c>
      <c r="F62" s="150">
        <v>1</v>
      </c>
      <c r="G62" s="151" t="s">
        <v>464</v>
      </c>
      <c r="H62" s="150">
        <v>248747.80361231067</v>
      </c>
      <c r="I62" s="150">
        <v>0</v>
      </c>
      <c r="J62" s="252" t="s">
        <v>381</v>
      </c>
      <c r="K62" s="147"/>
    </row>
    <row r="63" spans="2:11" outlineLevel="1" x14ac:dyDescent="0.25">
      <c r="B63" s="148" t="s">
        <v>57</v>
      </c>
      <c r="C63" s="148" t="s">
        <v>146</v>
      </c>
      <c r="D63" s="148">
        <v>0</v>
      </c>
      <c r="E63" s="149" t="s">
        <v>462</v>
      </c>
      <c r="F63" s="150">
        <v>1</v>
      </c>
      <c r="G63" s="151" t="s">
        <v>464</v>
      </c>
      <c r="H63" s="150">
        <v>64151.638712444867</v>
      </c>
      <c r="I63" s="150">
        <v>0</v>
      </c>
      <c r="J63" s="252" t="s">
        <v>381</v>
      </c>
      <c r="K63" s="147"/>
    </row>
    <row r="64" spans="2:11" outlineLevel="1" x14ac:dyDescent="0.25">
      <c r="B64" s="148" t="s">
        <v>58</v>
      </c>
      <c r="C64" s="148" t="s">
        <v>304</v>
      </c>
      <c r="D64" s="148">
        <v>0</v>
      </c>
      <c r="E64" s="149" t="s">
        <v>22</v>
      </c>
      <c r="F64" s="150">
        <v>1</v>
      </c>
      <c r="G64" s="151" t="s">
        <v>464</v>
      </c>
      <c r="H64" s="150">
        <v>333060.4886274013</v>
      </c>
      <c r="I64" s="150">
        <v>0</v>
      </c>
      <c r="J64" s="252" t="s">
        <v>381</v>
      </c>
      <c r="K64" s="147"/>
    </row>
    <row r="65" spans="2:11" ht="15.75" outlineLevel="1" thickBot="1" x14ac:dyDescent="0.3">
      <c r="B65" s="148" t="s">
        <v>59</v>
      </c>
      <c r="C65" s="148" t="s">
        <v>310</v>
      </c>
      <c r="D65" s="148">
        <v>217</v>
      </c>
      <c r="E65" s="149" t="s">
        <v>463</v>
      </c>
      <c r="F65" s="150">
        <v>1</v>
      </c>
      <c r="G65" s="151" t="s">
        <v>464</v>
      </c>
      <c r="H65" s="150">
        <v>331723</v>
      </c>
      <c r="I65" s="150">
        <v>0</v>
      </c>
      <c r="J65" s="252" t="s">
        <v>381</v>
      </c>
      <c r="K65" s="147"/>
    </row>
    <row r="66" spans="2:11" s="91" customFormat="1" x14ac:dyDescent="0.25">
      <c r="B66" s="160" t="s">
        <v>61</v>
      </c>
      <c r="C66" s="160"/>
      <c r="D66" s="160"/>
      <c r="E66" s="161"/>
      <c r="F66" s="162"/>
      <c r="G66" s="162"/>
      <c r="H66" s="162">
        <v>7253161.7452909257</v>
      </c>
      <c r="I66" s="162"/>
      <c r="J66" s="162"/>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58"/>
  <sheetViews>
    <sheetView showGridLines="0" zoomScale="80" zoomScaleNormal="80" workbookViewId="0">
      <pane ySplit="8" topLeftCell="A9" activePane="bottomLeft" state="frozen"/>
      <selection pane="bottomLeft" activeCell="R19" sqref="R19"/>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6"/>
      <c r="B1" s="2" t="s">
        <v>29</v>
      </c>
      <c r="C1" s="3" t="s">
        <v>376</v>
      </c>
      <c r="D1" s="141"/>
      <c r="E1" s="141"/>
      <c r="F1" s="141"/>
      <c r="G1" s="141"/>
      <c r="H1" s="141"/>
      <c r="I1" s="70" t="s">
        <v>66</v>
      </c>
      <c r="J1" s="141"/>
      <c r="K1" s="70"/>
    </row>
    <row r="2" spans="1:11" x14ac:dyDescent="0.25">
      <c r="A2" s="136"/>
      <c r="B2" s="2" t="s">
        <v>26</v>
      </c>
      <c r="C2" s="3" t="s">
        <v>377</v>
      </c>
      <c r="D2" s="141"/>
      <c r="E2" s="141"/>
      <c r="F2" s="141"/>
      <c r="G2" s="141"/>
      <c r="H2" s="141"/>
      <c r="I2" s="141"/>
      <c r="J2" s="141"/>
      <c r="K2" s="141"/>
    </row>
    <row r="3" spans="1:11" x14ac:dyDescent="0.25">
      <c r="A3" s="136"/>
      <c r="B3" s="2" t="s">
        <v>159</v>
      </c>
      <c r="C3" s="3" t="s">
        <v>378</v>
      </c>
      <c r="D3" s="141"/>
      <c r="E3" s="141"/>
      <c r="F3" s="141"/>
      <c r="G3" s="141"/>
      <c r="H3" s="141"/>
      <c r="I3" s="141"/>
      <c r="J3" s="141"/>
      <c r="K3" s="141"/>
    </row>
    <row r="4" spans="1:11" x14ac:dyDescent="0.25">
      <c r="A4" s="136"/>
      <c r="B4" s="2" t="s">
        <v>158</v>
      </c>
      <c r="C4" s="3" t="s">
        <v>379</v>
      </c>
      <c r="D4" s="141"/>
      <c r="E4" s="141"/>
      <c r="F4" s="141"/>
      <c r="G4" s="141"/>
      <c r="H4" s="141"/>
      <c r="I4" s="141"/>
      <c r="J4" s="141"/>
      <c r="K4" s="141"/>
    </row>
    <row r="5" spans="1:11" x14ac:dyDescent="0.25">
      <c r="A5" s="136"/>
      <c r="B5" s="2"/>
      <c r="C5" s="3"/>
      <c r="D5" s="141"/>
      <c r="E5" s="141"/>
      <c r="F5" s="141"/>
      <c r="G5" s="141"/>
      <c r="H5" s="141"/>
      <c r="I5" s="141"/>
      <c r="J5" s="141"/>
      <c r="K5" s="141"/>
    </row>
    <row r="6" spans="1:11" x14ac:dyDescent="0.25">
      <c r="A6" s="136"/>
      <c r="B6" s="141"/>
      <c r="C6" s="141"/>
      <c r="D6" s="141"/>
      <c r="E6" s="142" t="s">
        <v>81</v>
      </c>
      <c r="F6" s="141"/>
      <c r="G6" s="141"/>
      <c r="H6" s="141" t="s">
        <v>473</v>
      </c>
      <c r="I6" s="141"/>
      <c r="J6" s="141"/>
      <c r="K6" s="141"/>
    </row>
    <row r="7" spans="1:11" x14ac:dyDescent="0.25">
      <c r="A7" s="136"/>
      <c r="B7" s="143"/>
      <c r="C7" s="143"/>
      <c r="D7" s="143"/>
      <c r="E7" s="143">
        <v>2026</v>
      </c>
      <c r="F7" s="246">
        <v>2027</v>
      </c>
      <c r="G7" s="246">
        <v>2028</v>
      </c>
      <c r="H7" s="246">
        <v>2030</v>
      </c>
      <c r="I7" s="246" t="s">
        <v>28</v>
      </c>
      <c r="J7" s="247">
        <v>2030</v>
      </c>
      <c r="K7" s="247" t="s">
        <v>28</v>
      </c>
    </row>
    <row r="8" spans="1:11" ht="30" x14ac:dyDescent="0.25">
      <c r="A8" s="136"/>
      <c r="B8" s="144" t="s">
        <v>82</v>
      </c>
      <c r="C8" s="145" t="s">
        <v>83</v>
      </c>
      <c r="D8" s="144" t="s">
        <v>84</v>
      </c>
      <c r="E8" s="144" t="s">
        <v>85</v>
      </c>
      <c r="F8" s="246"/>
      <c r="G8" s="246"/>
      <c r="H8" s="246"/>
      <c r="I8" s="246"/>
      <c r="J8" s="247"/>
      <c r="K8" s="247"/>
    </row>
    <row r="9" spans="1:11" x14ac:dyDescent="0.25">
      <c r="A9" s="136"/>
      <c r="B9" s="139" t="s">
        <v>86</v>
      </c>
      <c r="C9" s="137"/>
      <c r="D9" s="137">
        <v>0</v>
      </c>
      <c r="E9" s="137">
        <v>0</v>
      </c>
      <c r="F9" s="137">
        <v>0</v>
      </c>
      <c r="G9" s="137">
        <v>0</v>
      </c>
      <c r="H9" s="137">
        <v>0</v>
      </c>
      <c r="I9" s="137">
        <v>0</v>
      </c>
      <c r="J9" s="138">
        <v>0</v>
      </c>
      <c r="K9" s="137">
        <v>0</v>
      </c>
    </row>
    <row r="10" spans="1:11" x14ac:dyDescent="0.25">
      <c r="A10" s="136"/>
      <c r="B10" s="139" t="s">
        <v>87</v>
      </c>
      <c r="C10" s="137"/>
      <c r="D10" s="137">
        <v>0</v>
      </c>
      <c r="E10" s="137">
        <v>0</v>
      </c>
      <c r="F10" s="137">
        <v>0</v>
      </c>
      <c r="G10" s="137">
        <v>0</v>
      </c>
      <c r="H10" s="137">
        <v>0</v>
      </c>
      <c r="I10" s="137">
        <v>0</v>
      </c>
      <c r="J10" s="138">
        <v>0</v>
      </c>
      <c r="K10" s="137">
        <v>0</v>
      </c>
    </row>
    <row r="11" spans="1:11" x14ac:dyDescent="0.25">
      <c r="A11" s="136"/>
      <c r="B11" s="139" t="s">
        <v>352</v>
      </c>
      <c r="C11" s="137"/>
      <c r="D11" s="137">
        <v>0</v>
      </c>
      <c r="E11" s="137">
        <v>6.8</v>
      </c>
      <c r="F11" s="137">
        <v>6.8</v>
      </c>
      <c r="G11" s="137">
        <v>0</v>
      </c>
      <c r="H11" s="137">
        <v>0</v>
      </c>
      <c r="I11" s="137">
        <v>13.6</v>
      </c>
      <c r="J11" s="138">
        <v>0</v>
      </c>
      <c r="K11" s="137">
        <v>13.6</v>
      </c>
    </row>
    <row r="12" spans="1:11" x14ac:dyDescent="0.25">
      <c r="A12" s="136"/>
      <c r="B12" s="139" t="s">
        <v>88</v>
      </c>
      <c r="C12" s="137"/>
      <c r="D12" s="137">
        <v>0</v>
      </c>
      <c r="E12" s="137">
        <v>87.2</v>
      </c>
      <c r="F12" s="137">
        <v>86.8</v>
      </c>
      <c r="G12" s="137">
        <v>0</v>
      </c>
      <c r="H12" s="137">
        <v>0</v>
      </c>
      <c r="I12" s="137">
        <v>174</v>
      </c>
      <c r="J12" s="138">
        <v>0</v>
      </c>
      <c r="K12" s="137">
        <v>173.9</v>
      </c>
    </row>
    <row r="13" spans="1:11" x14ac:dyDescent="0.25">
      <c r="A13" s="136"/>
      <c r="B13" s="139" t="s">
        <v>89</v>
      </c>
      <c r="C13" s="137"/>
      <c r="D13" s="137">
        <v>0</v>
      </c>
      <c r="E13" s="137">
        <v>36.799999999999997</v>
      </c>
      <c r="F13" s="137">
        <v>24.4</v>
      </c>
      <c r="G13" s="137">
        <v>0</v>
      </c>
      <c r="H13" s="137">
        <v>0</v>
      </c>
      <c r="I13" s="137">
        <v>61.199999999999996</v>
      </c>
      <c r="J13" s="138">
        <v>0</v>
      </c>
      <c r="K13" s="137">
        <v>61.2</v>
      </c>
    </row>
    <row r="14" spans="1:11" x14ac:dyDescent="0.25">
      <c r="A14" s="136"/>
      <c r="B14" s="139" t="s">
        <v>353</v>
      </c>
      <c r="C14" s="137"/>
      <c r="D14" s="137">
        <v>0</v>
      </c>
      <c r="E14" s="137">
        <v>85.6</v>
      </c>
      <c r="F14" s="137">
        <v>61.3</v>
      </c>
      <c r="G14" s="137">
        <v>0</v>
      </c>
      <c r="H14" s="137">
        <v>0</v>
      </c>
      <c r="I14" s="137">
        <v>146.89999999999998</v>
      </c>
      <c r="J14" s="138">
        <v>0</v>
      </c>
      <c r="K14" s="137">
        <v>146.9</v>
      </c>
    </row>
    <row r="15" spans="1:11" x14ac:dyDescent="0.25">
      <c r="A15" s="136"/>
      <c r="B15" s="139" t="s">
        <v>354</v>
      </c>
      <c r="C15" s="137"/>
      <c r="D15" s="137">
        <v>0</v>
      </c>
      <c r="E15" s="137">
        <v>0</v>
      </c>
      <c r="F15" s="137">
        <v>0</v>
      </c>
      <c r="G15" s="137">
        <v>1389.4</v>
      </c>
      <c r="H15" s="137">
        <v>0</v>
      </c>
      <c r="I15" s="137">
        <v>1389.4</v>
      </c>
      <c r="J15" s="138">
        <v>0</v>
      </c>
      <c r="K15" s="137">
        <v>1389.4</v>
      </c>
    </row>
    <row r="16" spans="1:11" x14ac:dyDescent="0.25">
      <c r="A16" s="136"/>
      <c r="B16" s="139" t="s">
        <v>90</v>
      </c>
      <c r="C16" s="137"/>
      <c r="D16" s="137">
        <v>0</v>
      </c>
      <c r="E16" s="137">
        <v>0</v>
      </c>
      <c r="F16" s="137">
        <v>0</v>
      </c>
      <c r="G16" s="137">
        <v>1814.5</v>
      </c>
      <c r="H16" s="137">
        <v>0</v>
      </c>
      <c r="I16" s="137">
        <v>1814.5</v>
      </c>
      <c r="J16" s="138">
        <v>0</v>
      </c>
      <c r="K16" s="137">
        <v>1814.5</v>
      </c>
    </row>
    <row r="17" spans="1:11" x14ac:dyDescent="0.25">
      <c r="A17" s="136"/>
      <c r="B17" s="139" t="s">
        <v>91</v>
      </c>
      <c r="C17" s="137"/>
      <c r="D17" s="137">
        <v>0</v>
      </c>
      <c r="E17" s="137">
        <v>20.3</v>
      </c>
      <c r="F17" s="137">
        <v>40.4</v>
      </c>
      <c r="G17" s="137">
        <v>36.200000000000003</v>
      </c>
      <c r="H17" s="137">
        <v>0</v>
      </c>
      <c r="I17" s="137">
        <v>96.9</v>
      </c>
      <c r="J17" s="138">
        <v>0</v>
      </c>
      <c r="K17" s="137">
        <v>96.9</v>
      </c>
    </row>
    <row r="18" spans="1:11" x14ac:dyDescent="0.25">
      <c r="A18" s="136"/>
      <c r="B18" s="139" t="s">
        <v>92</v>
      </c>
      <c r="C18" s="137"/>
      <c r="D18" s="137">
        <v>0</v>
      </c>
      <c r="E18" s="137">
        <v>0</v>
      </c>
      <c r="F18" s="137">
        <v>0</v>
      </c>
      <c r="G18" s="137">
        <v>123.5</v>
      </c>
      <c r="H18" s="137">
        <v>0</v>
      </c>
      <c r="I18" s="137">
        <v>123.5</v>
      </c>
      <c r="J18" s="138">
        <v>0</v>
      </c>
      <c r="K18" s="137">
        <v>123.5</v>
      </c>
    </row>
    <row r="19" spans="1:11" x14ac:dyDescent="0.25">
      <c r="A19" s="136"/>
      <c r="B19" s="139" t="s">
        <v>355</v>
      </c>
      <c r="C19" s="137"/>
      <c r="D19" s="137">
        <v>0</v>
      </c>
      <c r="E19" s="137">
        <v>4.7</v>
      </c>
      <c r="F19" s="137">
        <v>4.4000000000000004</v>
      </c>
      <c r="G19" s="137">
        <v>67.3</v>
      </c>
      <c r="H19" s="137">
        <v>0</v>
      </c>
      <c r="I19" s="137">
        <v>76.400000000000006</v>
      </c>
      <c r="J19" s="138">
        <v>0</v>
      </c>
      <c r="K19" s="137">
        <v>76.400000000000006</v>
      </c>
    </row>
    <row r="20" spans="1:11" x14ac:dyDescent="0.25">
      <c r="A20" s="136"/>
      <c r="B20" s="139" t="s">
        <v>93</v>
      </c>
      <c r="C20" s="137"/>
      <c r="D20" s="137">
        <v>0</v>
      </c>
      <c r="E20" s="137">
        <v>0</v>
      </c>
      <c r="F20" s="137">
        <v>0</v>
      </c>
      <c r="G20" s="137">
        <v>770</v>
      </c>
      <c r="H20" s="137">
        <v>0</v>
      </c>
      <c r="I20" s="137">
        <v>770</v>
      </c>
      <c r="J20" s="138">
        <v>0</v>
      </c>
      <c r="K20" s="137">
        <v>770</v>
      </c>
    </row>
    <row r="21" spans="1:11" x14ac:dyDescent="0.25">
      <c r="A21" s="136"/>
      <c r="B21" s="140" t="s">
        <v>94</v>
      </c>
      <c r="C21" s="13">
        <v>0</v>
      </c>
      <c r="D21" s="13">
        <v>0</v>
      </c>
      <c r="E21" s="13">
        <v>241.4</v>
      </c>
      <c r="F21" s="13">
        <v>224.10000000000002</v>
      </c>
      <c r="G21" s="13">
        <v>4200.8999999999996</v>
      </c>
      <c r="H21" s="13">
        <v>0</v>
      </c>
      <c r="I21" s="13">
        <v>4666.3999999999996</v>
      </c>
      <c r="J21" s="13">
        <v>0</v>
      </c>
      <c r="K21" s="13">
        <v>4666.3</v>
      </c>
    </row>
    <row r="22" spans="1:11" x14ac:dyDescent="0.25">
      <c r="A22" s="136"/>
      <c r="B22" s="139" t="s">
        <v>95</v>
      </c>
      <c r="C22" s="137"/>
      <c r="D22" s="137">
        <v>0</v>
      </c>
      <c r="E22" s="137">
        <v>150.4</v>
      </c>
      <c r="F22" s="137">
        <v>164.5</v>
      </c>
      <c r="G22" s="137">
        <v>1607</v>
      </c>
      <c r="H22" s="137">
        <v>0</v>
      </c>
      <c r="I22" s="137">
        <v>1921.9</v>
      </c>
      <c r="J22" s="138">
        <v>0</v>
      </c>
      <c r="K22" s="137">
        <v>1922</v>
      </c>
    </row>
    <row r="23" spans="1:11" x14ac:dyDescent="0.25">
      <c r="A23" s="136"/>
      <c r="B23" s="139" t="s">
        <v>96</v>
      </c>
      <c r="C23" s="137"/>
      <c r="D23" s="137">
        <v>0</v>
      </c>
      <c r="E23" s="137">
        <v>10.4</v>
      </c>
      <c r="F23" s="137">
        <v>46.7</v>
      </c>
      <c r="G23" s="137">
        <v>275.89999999999998</v>
      </c>
      <c r="H23" s="137">
        <v>0</v>
      </c>
      <c r="I23" s="137">
        <v>333</v>
      </c>
      <c r="J23" s="138">
        <v>0</v>
      </c>
      <c r="K23" s="137">
        <v>333.1</v>
      </c>
    </row>
    <row r="24" spans="1:11" x14ac:dyDescent="0.25">
      <c r="A24" s="136"/>
      <c r="B24" s="140" t="s">
        <v>23</v>
      </c>
      <c r="C24" s="13">
        <v>0</v>
      </c>
      <c r="D24" s="13">
        <v>0</v>
      </c>
      <c r="E24" s="13">
        <v>402.2</v>
      </c>
      <c r="F24" s="13">
        <v>435.3</v>
      </c>
      <c r="G24" s="13">
        <v>6083.7999999999993</v>
      </c>
      <c r="H24" s="13">
        <v>0</v>
      </c>
      <c r="I24" s="13">
        <v>6921.2999999999993</v>
      </c>
      <c r="J24" s="13">
        <v>0</v>
      </c>
      <c r="K24" s="13">
        <v>6921.4000000000005</v>
      </c>
    </row>
    <row r="25" spans="1:11" x14ac:dyDescent="0.25">
      <c r="A25" s="136"/>
      <c r="B25" s="139" t="s">
        <v>97</v>
      </c>
      <c r="C25" s="137"/>
      <c r="D25" s="137">
        <v>0</v>
      </c>
      <c r="E25" s="137">
        <v>71.5</v>
      </c>
      <c r="F25" s="137">
        <v>130.5</v>
      </c>
      <c r="G25" s="137">
        <v>129.80000000000001</v>
      </c>
      <c r="H25" s="137">
        <v>0</v>
      </c>
      <c r="I25" s="137">
        <v>331.8</v>
      </c>
      <c r="J25" s="138">
        <v>0</v>
      </c>
      <c r="K25" s="137">
        <v>331.7</v>
      </c>
    </row>
    <row r="26" spans="1:11" hidden="1" x14ac:dyDescent="0.25">
      <c r="A26" s="136"/>
      <c r="B26" s="139"/>
      <c r="C26" s="137"/>
      <c r="D26" s="137"/>
      <c r="E26" s="137"/>
      <c r="F26" s="137"/>
      <c r="G26" s="137"/>
      <c r="H26" s="137"/>
      <c r="I26" s="137"/>
      <c r="J26" s="137"/>
      <c r="K26" s="137"/>
    </row>
    <row r="27" spans="1:11" x14ac:dyDescent="0.25">
      <c r="A27" s="136"/>
      <c r="B27" s="140" t="s">
        <v>157</v>
      </c>
      <c r="C27" s="13">
        <v>5767</v>
      </c>
      <c r="D27" s="13">
        <v>0</v>
      </c>
      <c r="E27" s="13">
        <v>473.7</v>
      </c>
      <c r="F27" s="13">
        <v>565.79999999999995</v>
      </c>
      <c r="G27" s="13">
        <v>6213.5999999999995</v>
      </c>
      <c r="H27" s="13">
        <v>0</v>
      </c>
      <c r="I27" s="13">
        <v>7253.0999999999995</v>
      </c>
      <c r="J27" s="13">
        <v>0</v>
      </c>
      <c r="K27" s="13">
        <v>7253.1</v>
      </c>
    </row>
    <row r="28" spans="1:11" x14ac:dyDescent="0.25">
      <c r="A28" s="136"/>
      <c r="B28" s="139" t="s">
        <v>98</v>
      </c>
      <c r="C28" s="137"/>
      <c r="D28" s="137">
        <v>0</v>
      </c>
      <c r="E28" s="137">
        <v>0</v>
      </c>
      <c r="F28" s="137">
        <v>0</v>
      </c>
      <c r="G28" s="137">
        <v>0</v>
      </c>
      <c r="H28" s="137">
        <v>0</v>
      </c>
      <c r="I28" s="137">
        <v>0</v>
      </c>
      <c r="J28" s="138">
        <v>0</v>
      </c>
      <c r="K28" s="137">
        <v>0</v>
      </c>
    </row>
    <row r="29" spans="1:11" hidden="1" x14ac:dyDescent="0.25">
      <c r="A29" s="136"/>
      <c r="B29" s="139"/>
      <c r="C29" s="137"/>
      <c r="D29" s="137"/>
      <c r="E29" s="137"/>
      <c r="F29" s="137"/>
      <c r="G29" s="137"/>
      <c r="H29" s="137"/>
      <c r="I29" s="137"/>
      <c r="J29" s="137"/>
      <c r="K29" s="137"/>
    </row>
    <row r="30" spans="1:11" x14ac:dyDescent="0.25">
      <c r="A30" s="136"/>
      <c r="B30" s="140" t="s">
        <v>99</v>
      </c>
      <c r="C30" s="13">
        <v>5767</v>
      </c>
      <c r="D30" s="13">
        <v>0</v>
      </c>
      <c r="E30" s="13">
        <v>473.7</v>
      </c>
      <c r="F30" s="13">
        <v>565.79999999999995</v>
      </c>
      <c r="G30" s="13">
        <v>6213.5999999999995</v>
      </c>
      <c r="H30" s="13">
        <v>0</v>
      </c>
      <c r="I30" s="13">
        <v>7253.0999999999995</v>
      </c>
      <c r="J30" s="13">
        <v>0</v>
      </c>
      <c r="K30" s="13">
        <v>7253.1</v>
      </c>
    </row>
    <row r="31" spans="1:11" x14ac:dyDescent="0.25">
      <c r="A31" s="136"/>
      <c r="B31" s="140" t="s">
        <v>100</v>
      </c>
      <c r="C31" s="13"/>
      <c r="D31" s="13"/>
      <c r="E31" s="13"/>
      <c r="F31" s="13"/>
      <c r="G31" s="13"/>
      <c r="H31" s="13"/>
      <c r="I31" s="13">
        <v>0</v>
      </c>
      <c r="J31" s="13"/>
      <c r="K31" s="13">
        <v>0</v>
      </c>
    </row>
    <row r="32" spans="1:11" x14ac:dyDescent="0.25">
      <c r="A32" s="136"/>
      <c r="B32" s="140" t="s">
        <v>101</v>
      </c>
      <c r="C32" s="13">
        <v>5767</v>
      </c>
      <c r="D32" s="13">
        <v>0</v>
      </c>
      <c r="E32" s="13">
        <v>473.7</v>
      </c>
      <c r="F32" s="13">
        <v>565.79999999999995</v>
      </c>
      <c r="G32" s="13">
        <v>6213.5999999999995</v>
      </c>
      <c r="H32" s="13">
        <v>0</v>
      </c>
      <c r="I32" s="13">
        <v>7253.0999999999995</v>
      </c>
      <c r="J32" s="13">
        <v>0</v>
      </c>
      <c r="K32" s="13">
        <v>7253.1</v>
      </c>
    </row>
    <row r="33" spans="1:11" x14ac:dyDescent="0.25">
      <c r="A33" s="136"/>
      <c r="B33" s="141"/>
      <c r="C33" s="141"/>
      <c r="D33" s="141"/>
      <c r="E33" s="141"/>
      <c r="F33" s="141"/>
      <c r="G33" s="141"/>
      <c r="H33" s="141"/>
      <c r="I33" s="141"/>
      <c r="J33" s="141"/>
      <c r="K33" s="141"/>
    </row>
    <row r="34" spans="1:11" x14ac:dyDescent="0.25">
      <c r="B34" s="212" t="s">
        <v>384</v>
      </c>
      <c r="C34" s="212"/>
      <c r="D34" s="212"/>
      <c r="E34" s="212"/>
      <c r="F34" s="212"/>
      <c r="G34" s="212"/>
      <c r="H34" s="212"/>
      <c r="I34" s="212"/>
      <c r="J34" s="212"/>
      <c r="K34" s="212"/>
    </row>
    <row r="35" spans="1:11" x14ac:dyDescent="0.25">
      <c r="A35" s="136"/>
      <c r="B35" s="139" t="s">
        <v>86</v>
      </c>
      <c r="C35" s="137"/>
      <c r="D35" s="137">
        <v>0</v>
      </c>
      <c r="E35" s="137">
        <v>0</v>
      </c>
      <c r="F35" s="137">
        <v>0</v>
      </c>
      <c r="G35" s="137">
        <v>0</v>
      </c>
      <c r="H35" s="137">
        <v>0</v>
      </c>
      <c r="I35" s="137">
        <v>0</v>
      </c>
      <c r="J35" s="138">
        <v>0</v>
      </c>
      <c r="K35" s="137"/>
    </row>
    <row r="36" spans="1:11" x14ac:dyDescent="0.25">
      <c r="A36" s="136"/>
      <c r="B36" s="139" t="s">
        <v>87</v>
      </c>
      <c r="C36" s="137"/>
      <c r="D36" s="137">
        <v>0</v>
      </c>
      <c r="E36" s="137">
        <v>0</v>
      </c>
      <c r="F36" s="137">
        <v>0</v>
      </c>
      <c r="G36" s="137">
        <v>0</v>
      </c>
      <c r="H36" s="137">
        <v>0</v>
      </c>
      <c r="I36" s="137">
        <v>0</v>
      </c>
      <c r="J36" s="138">
        <v>0</v>
      </c>
      <c r="K36" s="137"/>
    </row>
    <row r="37" spans="1:11" x14ac:dyDescent="0.25">
      <c r="A37" s="136"/>
      <c r="B37" s="139" t="s">
        <v>352</v>
      </c>
      <c r="C37" s="137"/>
      <c r="D37" s="137">
        <v>0</v>
      </c>
      <c r="E37" s="137">
        <v>6.8</v>
      </c>
      <c r="F37" s="137">
        <v>6.8</v>
      </c>
      <c r="G37" s="137">
        <v>0</v>
      </c>
      <c r="H37" s="137">
        <v>0</v>
      </c>
      <c r="I37" s="137">
        <v>13.6</v>
      </c>
      <c r="J37" s="138">
        <v>0</v>
      </c>
      <c r="K37" s="137"/>
    </row>
    <row r="38" spans="1:11" x14ac:dyDescent="0.25">
      <c r="A38" s="136"/>
      <c r="B38" s="139" t="s">
        <v>88</v>
      </c>
      <c r="C38" s="137"/>
      <c r="D38" s="137">
        <v>0</v>
      </c>
      <c r="E38" s="137">
        <v>87.2</v>
      </c>
      <c r="F38" s="137">
        <v>86.8</v>
      </c>
      <c r="G38" s="137">
        <v>0</v>
      </c>
      <c r="H38" s="137">
        <v>0</v>
      </c>
      <c r="I38" s="137">
        <v>174</v>
      </c>
      <c r="J38" s="138">
        <v>0</v>
      </c>
      <c r="K38" s="137"/>
    </row>
    <row r="39" spans="1:11" x14ac:dyDescent="0.25">
      <c r="A39" s="136"/>
      <c r="B39" s="139" t="s">
        <v>89</v>
      </c>
      <c r="C39" s="137"/>
      <c r="D39" s="137">
        <v>0</v>
      </c>
      <c r="E39" s="137">
        <v>36.799999999999997</v>
      </c>
      <c r="F39" s="137">
        <v>24.4</v>
      </c>
      <c r="G39" s="137">
        <v>0</v>
      </c>
      <c r="H39" s="137">
        <v>0</v>
      </c>
      <c r="I39" s="137">
        <v>61.199999999999996</v>
      </c>
      <c r="J39" s="138">
        <v>0</v>
      </c>
      <c r="K39" s="137"/>
    </row>
    <row r="40" spans="1:11" x14ac:dyDescent="0.25">
      <c r="A40" s="136"/>
      <c r="B40" s="139" t="s">
        <v>353</v>
      </c>
      <c r="C40" s="137"/>
      <c r="D40" s="137">
        <v>0</v>
      </c>
      <c r="E40" s="137">
        <v>85.6</v>
      </c>
      <c r="F40" s="137">
        <v>61.3</v>
      </c>
      <c r="G40" s="137">
        <v>0</v>
      </c>
      <c r="H40" s="137">
        <v>0</v>
      </c>
      <c r="I40" s="137">
        <v>146.89999999999998</v>
      </c>
      <c r="J40" s="138">
        <v>0</v>
      </c>
      <c r="K40" s="137"/>
    </row>
    <row r="41" spans="1:11" x14ac:dyDescent="0.25">
      <c r="A41" s="136"/>
      <c r="B41" s="139" t="s">
        <v>354</v>
      </c>
      <c r="C41" s="137"/>
      <c r="D41" s="137">
        <v>0</v>
      </c>
      <c r="E41" s="137">
        <v>0</v>
      </c>
      <c r="F41" s="137">
        <v>0</v>
      </c>
      <c r="G41" s="137">
        <v>1389.4</v>
      </c>
      <c r="H41" s="137">
        <v>0</v>
      </c>
      <c r="I41" s="137">
        <v>1389.4</v>
      </c>
      <c r="J41" s="138">
        <v>0</v>
      </c>
      <c r="K41" s="137"/>
    </row>
    <row r="42" spans="1:11" x14ac:dyDescent="0.25">
      <c r="A42" s="136"/>
      <c r="B42" s="139" t="s">
        <v>90</v>
      </c>
      <c r="C42" s="137"/>
      <c r="D42" s="137">
        <v>0</v>
      </c>
      <c r="E42" s="137">
        <v>0</v>
      </c>
      <c r="F42" s="137">
        <v>0</v>
      </c>
      <c r="G42" s="137">
        <v>1814.5</v>
      </c>
      <c r="H42" s="137">
        <v>0</v>
      </c>
      <c r="I42" s="137">
        <v>1814.5</v>
      </c>
      <c r="J42" s="138">
        <v>0</v>
      </c>
      <c r="K42" s="137"/>
    </row>
    <row r="43" spans="1:11" x14ac:dyDescent="0.25">
      <c r="A43" s="136"/>
      <c r="B43" s="139" t="s">
        <v>91</v>
      </c>
      <c r="C43" s="137"/>
      <c r="D43" s="137">
        <v>0</v>
      </c>
      <c r="E43" s="137">
        <v>20.3</v>
      </c>
      <c r="F43" s="137">
        <v>40.4</v>
      </c>
      <c r="G43" s="137">
        <v>36.200000000000003</v>
      </c>
      <c r="H43" s="137">
        <v>0</v>
      </c>
      <c r="I43" s="137">
        <v>96.9</v>
      </c>
      <c r="J43" s="138">
        <v>0</v>
      </c>
      <c r="K43" s="137"/>
    </row>
    <row r="44" spans="1:11" x14ac:dyDescent="0.25">
      <c r="A44" s="136"/>
      <c r="B44" s="139" t="s">
        <v>92</v>
      </c>
      <c r="C44" s="137"/>
      <c r="D44" s="137">
        <v>0</v>
      </c>
      <c r="E44" s="137">
        <v>0</v>
      </c>
      <c r="F44" s="137">
        <v>0</v>
      </c>
      <c r="G44" s="137">
        <v>123.5</v>
      </c>
      <c r="H44" s="137">
        <v>0</v>
      </c>
      <c r="I44" s="137">
        <v>123.5</v>
      </c>
      <c r="J44" s="138">
        <v>0</v>
      </c>
      <c r="K44" s="137"/>
    </row>
    <row r="45" spans="1:11" x14ac:dyDescent="0.25">
      <c r="A45" s="136"/>
      <c r="B45" s="139" t="s">
        <v>355</v>
      </c>
      <c r="C45" s="137"/>
      <c r="D45" s="137">
        <v>0</v>
      </c>
      <c r="E45" s="137">
        <v>4.7</v>
      </c>
      <c r="F45" s="137">
        <v>4.4000000000000004</v>
      </c>
      <c r="G45" s="137">
        <v>67.3</v>
      </c>
      <c r="H45" s="137">
        <v>0</v>
      </c>
      <c r="I45" s="137">
        <v>76.400000000000006</v>
      </c>
      <c r="J45" s="138">
        <v>0</v>
      </c>
      <c r="K45" s="137"/>
    </row>
    <row r="46" spans="1:11" x14ac:dyDescent="0.25">
      <c r="A46" s="136"/>
      <c r="B46" s="139" t="s">
        <v>93</v>
      </c>
      <c r="C46" s="137"/>
      <c r="D46" s="137">
        <v>0</v>
      </c>
      <c r="E46" s="137">
        <v>0</v>
      </c>
      <c r="F46" s="137">
        <v>0</v>
      </c>
      <c r="G46" s="137">
        <v>770</v>
      </c>
      <c r="H46" s="137">
        <v>0</v>
      </c>
      <c r="I46" s="137">
        <v>770</v>
      </c>
      <c r="J46" s="138">
        <v>0</v>
      </c>
      <c r="K46" s="137"/>
    </row>
    <row r="47" spans="1:11" x14ac:dyDescent="0.25">
      <c r="A47" s="136"/>
      <c r="B47" s="140" t="s">
        <v>94</v>
      </c>
      <c r="C47" s="13">
        <v>0</v>
      </c>
      <c r="D47" s="13">
        <v>0</v>
      </c>
      <c r="E47" s="13">
        <v>241.4</v>
      </c>
      <c r="F47" s="13">
        <v>224.10000000000002</v>
      </c>
      <c r="G47" s="13">
        <v>4200.8999999999996</v>
      </c>
      <c r="H47" s="13">
        <v>0</v>
      </c>
      <c r="I47" s="13">
        <v>4666.3999999999996</v>
      </c>
      <c r="J47" s="13">
        <v>0</v>
      </c>
      <c r="K47" s="13"/>
    </row>
    <row r="48" spans="1:11" x14ac:dyDescent="0.25">
      <c r="A48" s="136"/>
      <c r="B48" s="139" t="s">
        <v>95</v>
      </c>
      <c r="C48" s="137"/>
      <c r="D48" s="137">
        <v>0</v>
      </c>
      <c r="E48" s="137">
        <v>150.4</v>
      </c>
      <c r="F48" s="137">
        <v>164.5</v>
      </c>
      <c r="G48" s="137">
        <v>1607</v>
      </c>
      <c r="H48" s="137">
        <v>0</v>
      </c>
      <c r="I48" s="137">
        <v>1921.9</v>
      </c>
      <c r="J48" s="138">
        <v>0</v>
      </c>
      <c r="K48" s="137"/>
    </row>
    <row r="49" spans="1:11" x14ac:dyDescent="0.25">
      <c r="A49" s="136"/>
      <c r="B49" s="139" t="s">
        <v>96</v>
      </c>
      <c r="C49" s="137"/>
      <c r="D49" s="137">
        <v>0</v>
      </c>
      <c r="E49" s="137">
        <v>10.4</v>
      </c>
      <c r="F49" s="137">
        <v>46.7</v>
      </c>
      <c r="G49" s="137">
        <v>275.89999999999998</v>
      </c>
      <c r="H49" s="137">
        <v>0</v>
      </c>
      <c r="I49" s="137">
        <v>333</v>
      </c>
      <c r="J49" s="138">
        <v>0</v>
      </c>
      <c r="K49" s="137"/>
    </row>
    <row r="50" spans="1:11" x14ac:dyDescent="0.25">
      <c r="A50" s="136"/>
      <c r="B50" s="140" t="s">
        <v>23</v>
      </c>
      <c r="C50" s="13">
        <v>0</v>
      </c>
      <c r="D50" s="13">
        <v>0</v>
      </c>
      <c r="E50" s="13">
        <v>402.2</v>
      </c>
      <c r="F50" s="13">
        <v>435.3</v>
      </c>
      <c r="G50" s="13">
        <v>6083.7999999999993</v>
      </c>
      <c r="H50" s="13">
        <v>0</v>
      </c>
      <c r="I50" s="13">
        <v>6921.2999999999993</v>
      </c>
      <c r="J50" s="13">
        <v>0</v>
      </c>
      <c r="K50" s="13"/>
    </row>
    <row r="51" spans="1:11" x14ac:dyDescent="0.25">
      <c r="A51" s="136"/>
      <c r="B51" s="139" t="s">
        <v>97</v>
      </c>
      <c r="C51" s="137"/>
      <c r="D51" s="137">
        <v>0</v>
      </c>
      <c r="E51" s="137">
        <v>71.5</v>
      </c>
      <c r="F51" s="137">
        <v>130.5</v>
      </c>
      <c r="G51" s="137">
        <v>129.80000000000001</v>
      </c>
      <c r="H51" s="137">
        <v>0</v>
      </c>
      <c r="I51" s="137">
        <v>331.8</v>
      </c>
      <c r="J51" s="138">
        <v>0</v>
      </c>
      <c r="K51" s="137"/>
    </row>
    <row r="52" spans="1:11" x14ac:dyDescent="0.25">
      <c r="A52" s="136"/>
      <c r="B52" s="139"/>
      <c r="C52" s="137"/>
      <c r="D52" s="137"/>
      <c r="E52" s="137"/>
      <c r="F52" s="137"/>
      <c r="G52" s="137"/>
      <c r="H52" s="137"/>
      <c r="I52" s="137"/>
      <c r="J52" s="137"/>
      <c r="K52" s="137"/>
    </row>
    <row r="53" spans="1:11" x14ac:dyDescent="0.25">
      <c r="A53" s="136"/>
      <c r="B53" s="140" t="s">
        <v>157</v>
      </c>
      <c r="C53" s="13">
        <v>5767</v>
      </c>
      <c r="D53" s="13">
        <v>0</v>
      </c>
      <c r="E53" s="13">
        <v>473.7</v>
      </c>
      <c r="F53" s="13">
        <v>565.79999999999995</v>
      </c>
      <c r="G53" s="13">
        <v>6213.5999999999995</v>
      </c>
      <c r="H53" s="13">
        <v>0</v>
      </c>
      <c r="I53" s="13">
        <v>7253.0999999999995</v>
      </c>
      <c r="J53" s="13">
        <v>0</v>
      </c>
      <c r="K53" s="13"/>
    </row>
    <row r="54" spans="1:11" x14ac:dyDescent="0.25">
      <c r="A54" s="136"/>
      <c r="B54" s="139" t="s">
        <v>98</v>
      </c>
      <c r="C54" s="137"/>
      <c r="D54" s="137">
        <v>0</v>
      </c>
      <c r="E54" s="137">
        <v>0</v>
      </c>
      <c r="F54" s="137">
        <v>0</v>
      </c>
      <c r="G54" s="137">
        <v>0</v>
      </c>
      <c r="H54" s="137">
        <v>0</v>
      </c>
      <c r="I54" s="137">
        <v>0</v>
      </c>
      <c r="J54" s="138">
        <v>0</v>
      </c>
      <c r="K54" s="137"/>
    </row>
    <row r="55" spans="1:11" x14ac:dyDescent="0.25">
      <c r="A55" s="136"/>
      <c r="B55" s="139"/>
      <c r="C55" s="137"/>
      <c r="D55" s="137"/>
      <c r="E55" s="137"/>
      <c r="F55" s="137"/>
      <c r="G55" s="137"/>
      <c r="H55" s="137"/>
      <c r="I55" s="137"/>
      <c r="J55" s="137"/>
      <c r="K55" s="137"/>
    </row>
    <row r="56" spans="1:11" x14ac:dyDescent="0.25">
      <c r="A56" s="136"/>
      <c r="B56" s="140" t="s">
        <v>99</v>
      </c>
      <c r="C56" s="13">
        <v>5767</v>
      </c>
      <c r="D56" s="13">
        <v>0</v>
      </c>
      <c r="E56" s="13">
        <v>473.7</v>
      </c>
      <c r="F56" s="13">
        <v>565.79999999999995</v>
      </c>
      <c r="G56" s="13">
        <v>6213.5999999999995</v>
      </c>
      <c r="H56" s="13">
        <v>0</v>
      </c>
      <c r="I56" s="13">
        <v>7253.0999999999995</v>
      </c>
      <c r="J56" s="13">
        <v>0</v>
      </c>
      <c r="K56" s="13"/>
    </row>
    <row r="57" spans="1:11" x14ac:dyDescent="0.25">
      <c r="A57" s="136"/>
      <c r="B57" s="140" t="s">
        <v>100</v>
      </c>
      <c r="C57" s="13"/>
      <c r="D57" s="13"/>
      <c r="E57" s="13"/>
      <c r="F57" s="13"/>
      <c r="G57" s="13"/>
      <c r="H57" s="13"/>
      <c r="I57" s="13">
        <v>0</v>
      </c>
      <c r="J57" s="13"/>
      <c r="K57" s="13"/>
    </row>
    <row r="58" spans="1:11" x14ac:dyDescent="0.25">
      <c r="A58" s="136"/>
      <c r="B58" s="140" t="s">
        <v>101</v>
      </c>
      <c r="C58" s="13">
        <v>5767</v>
      </c>
      <c r="D58" s="13">
        <v>0</v>
      </c>
      <c r="E58" s="13">
        <v>473.7</v>
      </c>
      <c r="F58" s="13">
        <v>565.79999999999995</v>
      </c>
      <c r="G58" s="13">
        <v>6213.5999999999995</v>
      </c>
      <c r="H58" s="13">
        <v>0</v>
      </c>
      <c r="I58" s="13">
        <v>7253.0999999999995</v>
      </c>
      <c r="J58" s="13">
        <v>0</v>
      </c>
      <c r="K58"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381</v>
      </c>
      <c r="L1" s="3"/>
      <c r="M1" s="3"/>
      <c r="N1" s="73"/>
    </row>
    <row r="2" spans="1:14" x14ac:dyDescent="0.25">
      <c r="C2" s="2" t="s">
        <v>29</v>
      </c>
      <c r="D2" s="3" t="s">
        <v>376</v>
      </c>
      <c r="F2" s="73"/>
      <c r="G2" s="3"/>
      <c r="J2" s="2" t="s">
        <v>27</v>
      </c>
      <c r="K2" s="55">
        <v>47115.208333333336</v>
      </c>
      <c r="L2" s="3"/>
      <c r="M2" s="3"/>
      <c r="N2" s="73"/>
    </row>
    <row r="3" spans="1:14" x14ac:dyDescent="0.25">
      <c r="C3" s="2" t="s">
        <v>26</v>
      </c>
      <c r="D3" s="3" t="s">
        <v>377</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5">
        <v>0</v>
      </c>
      <c r="E7" s="105">
        <v>432025.31101431878</v>
      </c>
      <c r="F7" s="73"/>
      <c r="G7" s="106">
        <v>432025.31101431878</v>
      </c>
      <c r="N7" s="73"/>
    </row>
    <row r="8" spans="1:14" x14ac:dyDescent="0.25">
      <c r="B8" s="45" t="s">
        <v>130</v>
      </c>
      <c r="C8" s="51" t="s">
        <v>118</v>
      </c>
      <c r="D8" s="105">
        <v>0</v>
      </c>
      <c r="E8" s="105">
        <v>3726401.6407821914</v>
      </c>
      <c r="F8" s="73"/>
      <c r="G8" s="106">
        <v>3726401.6407821914</v>
      </c>
      <c r="N8" s="73"/>
    </row>
    <row r="9" spans="1:14" x14ac:dyDescent="0.25">
      <c r="B9" s="46" t="s">
        <v>130</v>
      </c>
      <c r="C9" s="51" t="s">
        <v>112</v>
      </c>
      <c r="D9" s="105">
        <v>0</v>
      </c>
      <c r="E9" s="105">
        <v>0</v>
      </c>
      <c r="F9" s="73"/>
      <c r="G9" s="106">
        <v>0</v>
      </c>
      <c r="N9" s="73"/>
    </row>
    <row r="10" spans="1:14" x14ac:dyDescent="0.25">
      <c r="B10" s="47" t="s">
        <v>130</v>
      </c>
      <c r="C10" s="51" t="s">
        <v>129</v>
      </c>
      <c r="D10" s="105">
        <v>0</v>
      </c>
      <c r="E10" s="105">
        <v>1347161.6615042784</v>
      </c>
      <c r="F10" s="73"/>
      <c r="G10" s="106">
        <v>1347161.6615042784</v>
      </c>
      <c r="N10" s="73"/>
    </row>
    <row r="11" spans="1:14" x14ac:dyDescent="0.25">
      <c r="B11" s="48" t="s">
        <v>130</v>
      </c>
      <c r="C11" s="51" t="s">
        <v>113</v>
      </c>
      <c r="D11" s="105">
        <v>0</v>
      </c>
      <c r="E11" s="105">
        <v>326061.50730097201</v>
      </c>
      <c r="F11" s="73"/>
      <c r="G11" s="106">
        <v>326061.50730097201</v>
      </c>
      <c r="N11" s="73"/>
    </row>
    <row r="12" spans="1:14" x14ac:dyDescent="0.25">
      <c r="B12" s="49" t="s">
        <v>130</v>
      </c>
      <c r="C12" s="51" t="s">
        <v>22</v>
      </c>
      <c r="D12" s="105">
        <v>0</v>
      </c>
      <c r="E12" s="105">
        <v>319788.62468916806</v>
      </c>
      <c r="F12" s="73"/>
      <c r="G12" s="106">
        <v>319788.62468916806</v>
      </c>
      <c r="N12" s="73"/>
    </row>
    <row r="13" spans="1:14" x14ac:dyDescent="0.25">
      <c r="B13" s="50" t="s">
        <v>130</v>
      </c>
      <c r="C13" s="51" t="s">
        <v>1</v>
      </c>
      <c r="D13" s="105">
        <v>0</v>
      </c>
      <c r="E13" s="105">
        <v>1101723</v>
      </c>
      <c r="F13" s="73"/>
      <c r="G13" s="106">
        <v>1101723</v>
      </c>
      <c r="N13" s="73"/>
    </row>
    <row r="14" spans="1:14" x14ac:dyDescent="0.25">
      <c r="B14" s="43" t="s">
        <v>116</v>
      </c>
      <c r="C14" s="40"/>
      <c r="D14" s="13">
        <v>0</v>
      </c>
      <c r="E14" s="13">
        <v>7253161.7452909295</v>
      </c>
      <c r="F14" s="73"/>
      <c r="G14" s="13">
        <v>7253161.7452909295</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7" t="s">
        <v>110</v>
      </c>
      <c r="E17" s="107" t="s">
        <v>127</v>
      </c>
      <c r="F17" s="73"/>
      <c r="G17" s="107" t="s">
        <v>112</v>
      </c>
      <c r="H17" s="107" t="s">
        <v>128</v>
      </c>
      <c r="I17" s="107" t="s">
        <v>113</v>
      </c>
      <c r="J17" s="107" t="s">
        <v>22</v>
      </c>
      <c r="K17" s="107" t="s">
        <v>1</v>
      </c>
      <c r="L17" s="107" t="s">
        <v>28</v>
      </c>
      <c r="M17" s="107" t="s">
        <v>131</v>
      </c>
      <c r="N17" s="73"/>
    </row>
    <row r="18" spans="2:14" x14ac:dyDescent="0.25">
      <c r="B18" s="108"/>
      <c r="C18" s="109" t="s">
        <v>136</v>
      </c>
      <c r="D18" s="105">
        <v>432025.31101431878</v>
      </c>
      <c r="E18" s="105">
        <v>3726401.6407821914</v>
      </c>
      <c r="F18" s="73"/>
      <c r="G18" s="105">
        <v>0</v>
      </c>
      <c r="H18" s="105">
        <v>1347161.6615042784</v>
      </c>
      <c r="I18" s="110">
        <v>326061.50730097201</v>
      </c>
      <c r="J18" s="105">
        <v>319788.62468916806</v>
      </c>
      <c r="K18" s="105">
        <v>1101723</v>
      </c>
      <c r="L18" s="111">
        <v>7253161.7452909295</v>
      </c>
      <c r="M18" s="111">
        <v>0</v>
      </c>
      <c r="N18" s="73"/>
    </row>
    <row r="19" spans="2:14" x14ac:dyDescent="0.25">
      <c r="B19" s="108"/>
      <c r="C19" s="109" t="s">
        <v>68</v>
      </c>
      <c r="D19" s="105">
        <v>0</v>
      </c>
      <c r="E19" s="105">
        <v>0</v>
      </c>
      <c r="F19" s="73"/>
      <c r="G19" s="105">
        <v>0</v>
      </c>
      <c r="H19" s="105">
        <v>0</v>
      </c>
      <c r="I19" s="110">
        <v>0</v>
      </c>
      <c r="J19" s="105">
        <v>0</v>
      </c>
      <c r="K19" s="105">
        <v>0</v>
      </c>
      <c r="L19" s="111">
        <v>0</v>
      </c>
      <c r="M19" s="111">
        <v>0</v>
      </c>
      <c r="N19" s="73"/>
    </row>
    <row r="20" spans="2:14" x14ac:dyDescent="0.25">
      <c r="B20" s="112"/>
      <c r="C20" s="51" t="s">
        <v>132</v>
      </c>
      <c r="D20" s="105">
        <v>0</v>
      </c>
      <c r="E20" s="105">
        <v>0</v>
      </c>
      <c r="F20" s="73"/>
      <c r="G20" s="105">
        <v>0</v>
      </c>
      <c r="H20" s="105">
        <v>0</v>
      </c>
      <c r="I20" s="110">
        <v>0</v>
      </c>
      <c r="J20" s="105">
        <v>0</v>
      </c>
      <c r="K20" s="105">
        <v>0</v>
      </c>
      <c r="L20" s="106">
        <v>0</v>
      </c>
      <c r="M20" s="106">
        <v>0</v>
      </c>
      <c r="N20" s="73"/>
    </row>
    <row r="21" spans="2:14" x14ac:dyDescent="0.25">
      <c r="B21" s="112"/>
      <c r="C21" s="51" t="s">
        <v>19</v>
      </c>
      <c r="D21" s="105">
        <v>0</v>
      </c>
      <c r="E21" s="105">
        <v>0</v>
      </c>
      <c r="F21" s="73"/>
      <c r="G21" s="105">
        <v>0</v>
      </c>
      <c r="H21" s="105">
        <v>0</v>
      </c>
      <c r="I21" s="110">
        <v>0</v>
      </c>
      <c r="J21" s="105">
        <v>0</v>
      </c>
      <c r="K21" s="105">
        <v>0</v>
      </c>
      <c r="L21" s="106">
        <v>0</v>
      </c>
      <c r="M21" s="106">
        <v>0</v>
      </c>
      <c r="N21" s="73"/>
    </row>
    <row r="22" spans="2:14" x14ac:dyDescent="0.25">
      <c r="B22" s="43" t="s">
        <v>28</v>
      </c>
      <c r="C22" s="113"/>
      <c r="D22" s="13">
        <v>432025.31101431878</v>
      </c>
      <c r="E22" s="13">
        <v>3726401.6407821914</v>
      </c>
      <c r="F22" s="73"/>
      <c r="G22" s="13">
        <v>0</v>
      </c>
      <c r="H22" s="13">
        <v>1347161.6615042784</v>
      </c>
      <c r="I22" s="13">
        <v>326061.50730097201</v>
      </c>
      <c r="J22" s="13">
        <v>319788.62468916806</v>
      </c>
      <c r="K22" s="13">
        <v>1101723</v>
      </c>
      <c r="L22" s="13">
        <v>7253161.7452909295</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4" t="s">
        <v>474</v>
      </c>
      <c r="H26" s="114" t="s">
        <v>475</v>
      </c>
      <c r="I26" s="114" t="s">
        <v>381</v>
      </c>
      <c r="J26" s="114" t="s">
        <v>381</v>
      </c>
      <c r="K26" s="114" t="s">
        <v>381</v>
      </c>
      <c r="L26" s="114"/>
      <c r="M26" s="114" t="s">
        <v>381</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4" t="s">
        <v>476</v>
      </c>
      <c r="H30" s="114" t="s">
        <v>477</v>
      </c>
      <c r="I30" s="114" t="s">
        <v>381</v>
      </c>
      <c r="J30" s="114" t="s">
        <v>381</v>
      </c>
      <c r="K30" s="114" t="s">
        <v>381</v>
      </c>
      <c r="L30" s="114"/>
      <c r="M30" s="114" t="s">
        <v>381</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4" t="s">
        <v>478</v>
      </c>
      <c r="H34" s="114" t="s">
        <v>479</v>
      </c>
      <c r="I34" s="114" t="s">
        <v>381</v>
      </c>
      <c r="J34" s="114" t="s">
        <v>381</v>
      </c>
      <c r="K34" s="114" t="s">
        <v>381</v>
      </c>
      <c r="L34" s="114"/>
      <c r="M34" s="114" t="s">
        <v>381</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4" t="s">
        <v>381</v>
      </c>
      <c r="H38" s="114" t="s">
        <v>381</v>
      </c>
      <c r="I38" s="114" t="s">
        <v>480</v>
      </c>
      <c r="J38" s="114" t="s">
        <v>381</v>
      </c>
      <c r="K38" s="114" t="s">
        <v>381</v>
      </c>
      <c r="L38" s="114"/>
      <c r="M38" s="114" t="s">
        <v>381</v>
      </c>
      <c r="N38" s="73"/>
    </row>
    <row r="39" spans="2:14" s="31" customFormat="1" ht="12.4" hidden="1" customHeight="1" x14ac:dyDescent="0.25">
      <c r="B39" s="29" t="s">
        <v>126</v>
      </c>
      <c r="C39" s="29"/>
      <c r="D39" s="115"/>
      <c r="E39" s="115"/>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49"/>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3" hidden="1" customWidth="1"/>
    <col min="3" max="3" width="8.7109375" style="5" customWidth="1"/>
    <col min="4" max="4" width="50.7109375" style="6" customWidth="1"/>
    <col min="5" max="5" width="10.7109375" style="154" customWidth="1"/>
    <col min="6" max="8" width="10.7109375" style="154" customWidth="1" outlineLevel="1"/>
    <col min="9" max="10" width="10.7109375" style="154" customWidth="1"/>
    <col min="11" max="11" width="60.7109375" style="154" customWidth="1"/>
    <col min="12" max="16384" width="8.85546875" style="5"/>
  </cols>
  <sheetData>
    <row r="1" spans="2:12" x14ac:dyDescent="0.25">
      <c r="B1" s="152">
        <v>3</v>
      </c>
      <c r="C1" s="174"/>
      <c r="K1" s="70" t="s">
        <v>66</v>
      </c>
    </row>
    <row r="2" spans="2:12" s="79" customFormat="1" ht="30.75" thickBot="1" x14ac:dyDescent="0.3">
      <c r="B2" s="175" t="s">
        <v>62</v>
      </c>
      <c r="C2" s="175" t="s">
        <v>160</v>
      </c>
      <c r="D2" s="156" t="s">
        <v>3</v>
      </c>
      <c r="E2" s="59" t="s">
        <v>481</v>
      </c>
      <c r="F2" s="65"/>
      <c r="G2" s="59"/>
      <c r="H2" s="59"/>
      <c r="I2" s="66"/>
      <c r="J2" s="157" t="s">
        <v>80</v>
      </c>
      <c r="K2" s="158" t="s">
        <v>69</v>
      </c>
    </row>
    <row r="3" spans="2:12" x14ac:dyDescent="0.25">
      <c r="B3" s="146">
        <v>1</v>
      </c>
      <c r="C3" s="215" t="s">
        <v>384</v>
      </c>
      <c r="D3" s="216"/>
      <c r="E3" s="217">
        <f>SUBTOTAL(9,E4:E48)</f>
        <v>7253161.7452909257</v>
      </c>
      <c r="F3" s="217"/>
      <c r="G3" s="217"/>
      <c r="H3" s="217"/>
      <c r="I3" s="217"/>
      <c r="J3" s="217"/>
      <c r="K3" s="217"/>
      <c r="L3" s="147"/>
    </row>
    <row r="4" spans="2:12" x14ac:dyDescent="0.25">
      <c r="B4" s="146">
        <v>2</v>
      </c>
      <c r="C4" s="165" t="s">
        <v>43</v>
      </c>
      <c r="D4" s="166" t="s">
        <v>170</v>
      </c>
      <c r="E4" s="167">
        <f>SUBTOTAL(9,E5:E6)</f>
        <v>13642.180580894914</v>
      </c>
      <c r="F4" s="168"/>
      <c r="G4" s="167"/>
      <c r="H4" s="167"/>
      <c r="I4" s="169"/>
      <c r="J4" s="167"/>
      <c r="K4" s="167"/>
      <c r="L4" s="147"/>
    </row>
    <row r="5" spans="2:12" customFormat="1" outlineLevel="1" x14ac:dyDescent="0.25">
      <c r="B5" s="170">
        <v>3</v>
      </c>
      <c r="C5" s="4" t="s">
        <v>171</v>
      </c>
      <c r="D5" s="171" t="s">
        <v>404</v>
      </c>
      <c r="E5" s="172">
        <v>5456.8722323579668</v>
      </c>
      <c r="F5" s="63"/>
      <c r="G5" s="60"/>
      <c r="H5" s="60"/>
      <c r="I5" s="64"/>
      <c r="J5" s="62" t="str">
        <f>IF(I$2&lt;&gt;"",E5-I5,"")</f>
        <v/>
      </c>
      <c r="K5" s="61"/>
      <c r="L5" s="173"/>
    </row>
    <row r="6" spans="2:12" customFormat="1" outlineLevel="1" x14ac:dyDescent="0.25">
      <c r="B6" s="170">
        <v>3</v>
      </c>
      <c r="C6" s="4" t="s">
        <v>175</v>
      </c>
      <c r="D6" s="171" t="s">
        <v>405</v>
      </c>
      <c r="E6" s="172">
        <v>8185.308348536948</v>
      </c>
      <c r="F6" s="63"/>
      <c r="G6" s="60"/>
      <c r="H6" s="60"/>
      <c r="I6" s="64"/>
      <c r="J6" s="62" t="str">
        <f>IF(I$2&lt;&gt;"",E6-I6,"")</f>
        <v/>
      </c>
      <c r="K6" s="61"/>
      <c r="L6" s="173"/>
    </row>
    <row r="7" spans="2:12" x14ac:dyDescent="0.25">
      <c r="B7" s="146">
        <v>2</v>
      </c>
      <c r="C7" s="165" t="s">
        <v>44</v>
      </c>
      <c r="D7" s="166" t="s">
        <v>14</v>
      </c>
      <c r="E7" s="167">
        <f>SUBTOTAL(9,E8:E9)</f>
        <v>173937.80240641016</v>
      </c>
      <c r="F7" s="168"/>
      <c r="G7" s="167"/>
      <c r="H7" s="167"/>
      <c r="I7" s="169"/>
      <c r="J7" s="167"/>
      <c r="K7" s="167"/>
      <c r="L7" s="147"/>
    </row>
    <row r="8" spans="2:12" customFormat="1" outlineLevel="1" x14ac:dyDescent="0.25">
      <c r="B8" s="170">
        <v>3</v>
      </c>
      <c r="C8" s="4" t="s">
        <v>179</v>
      </c>
      <c r="D8" s="171" t="s">
        <v>406</v>
      </c>
      <c r="E8" s="172">
        <v>17393.780240641016</v>
      </c>
      <c r="F8" s="63"/>
      <c r="G8" s="60"/>
      <c r="H8" s="60"/>
      <c r="I8" s="64"/>
      <c r="J8" s="62" t="str">
        <f>IF(I$2&lt;&gt;"",E8-I8,"")</f>
        <v/>
      </c>
      <c r="K8" s="61"/>
      <c r="L8" s="173"/>
    </row>
    <row r="9" spans="2:12" customFormat="1" outlineLevel="1" x14ac:dyDescent="0.25">
      <c r="B9" s="170">
        <v>3</v>
      </c>
      <c r="C9" s="4" t="s">
        <v>183</v>
      </c>
      <c r="D9" s="171" t="s">
        <v>407</v>
      </c>
      <c r="E9" s="172">
        <v>156544.02216576916</v>
      </c>
      <c r="F9" s="63"/>
      <c r="G9" s="60"/>
      <c r="H9" s="60"/>
      <c r="I9" s="64"/>
      <c r="J9" s="62" t="str">
        <f>IF(I$2&lt;&gt;"",E9-I9,"")</f>
        <v/>
      </c>
      <c r="K9" s="61"/>
      <c r="L9" s="173"/>
    </row>
    <row r="10" spans="2:12" x14ac:dyDescent="0.25">
      <c r="B10" s="146">
        <v>2</v>
      </c>
      <c r="C10" s="165" t="s">
        <v>45</v>
      </c>
      <c r="D10" s="166" t="s">
        <v>15</v>
      </c>
      <c r="E10" s="167">
        <f>SUBTOTAL(9,E11:E13)</f>
        <v>61167.489238709677</v>
      </c>
      <c r="F10" s="168"/>
      <c r="G10" s="167"/>
      <c r="H10" s="167"/>
      <c r="I10" s="169"/>
      <c r="J10" s="167"/>
      <c r="K10" s="167"/>
      <c r="L10" s="147"/>
    </row>
    <row r="11" spans="2:12" customFormat="1" outlineLevel="1" x14ac:dyDescent="0.25">
      <c r="B11" s="170">
        <v>3</v>
      </c>
      <c r="C11" s="4" t="s">
        <v>187</v>
      </c>
      <c r="D11" s="171" t="s">
        <v>409</v>
      </c>
      <c r="E11" s="172">
        <v>24079.053367741933</v>
      </c>
      <c r="F11" s="63"/>
      <c r="G11" s="60"/>
      <c r="H11" s="60"/>
      <c r="I11" s="64"/>
      <c r="J11" s="62" t="str">
        <f>IF(I$2&lt;&gt;"",E11-I11,"")</f>
        <v/>
      </c>
      <c r="K11" s="61"/>
      <c r="L11" s="173"/>
    </row>
    <row r="12" spans="2:12" customFormat="1" outlineLevel="1" x14ac:dyDescent="0.25">
      <c r="B12" s="170">
        <v>3</v>
      </c>
      <c r="C12" s="4" t="s">
        <v>194</v>
      </c>
      <c r="D12" s="171" t="s">
        <v>411</v>
      </c>
      <c r="E12" s="172">
        <v>34271.341625806454</v>
      </c>
      <c r="F12" s="63"/>
      <c r="G12" s="60"/>
      <c r="H12" s="60"/>
      <c r="I12" s="64"/>
      <c r="J12" s="62" t="str">
        <f>IF(I$2&lt;&gt;"",E12-I12,"")</f>
        <v/>
      </c>
      <c r="K12" s="61"/>
      <c r="L12" s="173"/>
    </row>
    <row r="13" spans="2:12" customFormat="1" outlineLevel="1" x14ac:dyDescent="0.25">
      <c r="B13" s="170">
        <v>3</v>
      </c>
      <c r="C13" s="4" t="s">
        <v>234</v>
      </c>
      <c r="D13" s="171" t="s">
        <v>412</v>
      </c>
      <c r="E13" s="172">
        <v>2817.0942451612909</v>
      </c>
      <c r="F13" s="63"/>
      <c r="G13" s="60"/>
      <c r="H13" s="60"/>
      <c r="I13" s="64"/>
      <c r="J13" s="62" t="str">
        <f>IF(I$2&lt;&gt;"",E13-I13,"")</f>
        <v/>
      </c>
      <c r="K13" s="61"/>
      <c r="L13" s="173"/>
    </row>
    <row r="14" spans="2:12" x14ac:dyDescent="0.25">
      <c r="B14" s="146">
        <v>2</v>
      </c>
      <c r="C14" s="165" t="s">
        <v>46</v>
      </c>
      <c r="D14" s="166" t="s">
        <v>198</v>
      </c>
      <c r="E14" s="167">
        <f>SUBTOTAL(9,E15:E15)</f>
        <v>146936.84671327437</v>
      </c>
      <c r="F14" s="168"/>
      <c r="G14" s="167"/>
      <c r="H14" s="167"/>
      <c r="I14" s="169"/>
      <c r="J14" s="167"/>
      <c r="K14" s="167"/>
      <c r="L14" s="147"/>
    </row>
    <row r="15" spans="2:12" customFormat="1" outlineLevel="1" x14ac:dyDescent="0.25">
      <c r="B15" s="170">
        <v>3</v>
      </c>
      <c r="C15" s="4" t="s">
        <v>238</v>
      </c>
      <c r="D15" s="171" t="s">
        <v>422</v>
      </c>
      <c r="E15" s="172">
        <v>146936.84671327437</v>
      </c>
      <c r="F15" s="63"/>
      <c r="G15" s="60"/>
      <c r="H15" s="60"/>
      <c r="I15" s="64"/>
      <c r="J15" s="62" t="str">
        <f>IF(I$2&lt;&gt;"",E15-I15,"")</f>
        <v/>
      </c>
      <c r="K15" s="61"/>
      <c r="L15" s="173"/>
    </row>
    <row r="16" spans="2:12" x14ac:dyDescent="0.25">
      <c r="B16" s="146">
        <v>2</v>
      </c>
      <c r="C16" s="165" t="s">
        <v>47</v>
      </c>
      <c r="D16" s="166" t="s">
        <v>199</v>
      </c>
      <c r="E16" s="167">
        <f>SUBTOTAL(9,E17:E18)</f>
        <v>1389426.2274102003</v>
      </c>
      <c r="F16" s="168"/>
      <c r="G16" s="167"/>
      <c r="H16" s="167"/>
      <c r="I16" s="169"/>
      <c r="J16" s="167"/>
      <c r="K16" s="167"/>
      <c r="L16" s="147"/>
    </row>
    <row r="17" spans="2:12" customFormat="1" outlineLevel="1" x14ac:dyDescent="0.25">
      <c r="B17" s="170">
        <v>3</v>
      </c>
      <c r="C17" s="4" t="s">
        <v>200</v>
      </c>
      <c r="D17" s="171" t="s">
        <v>425</v>
      </c>
      <c r="E17" s="172">
        <v>87309.861206200017</v>
      </c>
      <c r="F17" s="63"/>
      <c r="G17" s="60"/>
      <c r="H17" s="60"/>
      <c r="I17" s="64"/>
      <c r="J17" s="62" t="str">
        <f>IF(I$2&lt;&gt;"",E17-I17,"")</f>
        <v/>
      </c>
      <c r="K17" s="61"/>
      <c r="L17" s="173"/>
    </row>
    <row r="18" spans="2:12" customFormat="1" outlineLevel="1" x14ac:dyDescent="0.25">
      <c r="B18" s="170">
        <v>3</v>
      </c>
      <c r="C18" s="4" t="s">
        <v>206</v>
      </c>
      <c r="D18" s="171" t="s">
        <v>435</v>
      </c>
      <c r="E18" s="172">
        <v>1302116.3662040003</v>
      </c>
      <c r="F18" s="63"/>
      <c r="G18" s="60"/>
      <c r="H18" s="60"/>
      <c r="I18" s="64"/>
      <c r="J18" s="62" t="str">
        <f>IF(I$2&lt;&gt;"",E18-I18,"")</f>
        <v/>
      </c>
      <c r="K18" s="61"/>
      <c r="L18" s="173"/>
    </row>
    <row r="19" spans="2:12" x14ac:dyDescent="0.25">
      <c r="B19" s="146">
        <v>2</v>
      </c>
      <c r="C19" s="165" t="s">
        <v>48</v>
      </c>
      <c r="D19" s="166" t="s">
        <v>16</v>
      </c>
      <c r="E19" s="167">
        <f>SUBTOTAL(9,E20:E21)</f>
        <v>1814491.2187999999</v>
      </c>
      <c r="F19" s="168"/>
      <c r="G19" s="167"/>
      <c r="H19" s="167"/>
      <c r="I19" s="169"/>
      <c r="J19" s="167"/>
      <c r="K19" s="167"/>
      <c r="L19" s="147"/>
    </row>
    <row r="20" spans="2:12" customFormat="1" outlineLevel="1" x14ac:dyDescent="0.25">
      <c r="B20" s="170">
        <v>3</v>
      </c>
      <c r="C20" s="4" t="s">
        <v>208</v>
      </c>
      <c r="D20" s="171" t="s">
        <v>436</v>
      </c>
      <c r="E20" s="172">
        <v>663104.93599999999</v>
      </c>
      <c r="F20" s="63"/>
      <c r="G20" s="60"/>
      <c r="H20" s="60"/>
      <c r="I20" s="64"/>
      <c r="J20" s="62" t="str">
        <f>IF(I$2&lt;&gt;"",E20-I20,"")</f>
        <v/>
      </c>
      <c r="K20" s="61"/>
      <c r="L20" s="173"/>
    </row>
    <row r="21" spans="2:12" customFormat="1" outlineLevel="1" x14ac:dyDescent="0.25">
      <c r="B21" s="170">
        <v>3</v>
      </c>
      <c r="C21" s="4" t="s">
        <v>209</v>
      </c>
      <c r="D21" s="171" t="s">
        <v>437</v>
      </c>
      <c r="E21" s="172">
        <v>1151386.2827999999</v>
      </c>
      <c r="F21" s="63"/>
      <c r="G21" s="60"/>
      <c r="H21" s="60"/>
      <c r="I21" s="64"/>
      <c r="J21" s="62" t="str">
        <f>IF(I$2&lt;&gt;"",E21-I21,"")</f>
        <v/>
      </c>
      <c r="K21" s="61"/>
      <c r="L21" s="173"/>
    </row>
    <row r="22" spans="2:12" x14ac:dyDescent="0.25">
      <c r="B22" s="146">
        <v>2</v>
      </c>
      <c r="C22" s="165" t="s">
        <v>49</v>
      </c>
      <c r="D22" s="166" t="s">
        <v>17</v>
      </c>
      <c r="E22" s="167">
        <f>SUBTOTAL(9,E23:E29)</f>
        <v>96925.678302223372</v>
      </c>
      <c r="F22" s="168"/>
      <c r="G22" s="167"/>
      <c r="H22" s="167"/>
      <c r="I22" s="169"/>
      <c r="J22" s="167"/>
      <c r="K22" s="167"/>
      <c r="L22" s="147"/>
    </row>
    <row r="23" spans="2:12" customFormat="1" outlineLevel="1" x14ac:dyDescent="0.25">
      <c r="B23" s="170">
        <v>3</v>
      </c>
      <c r="C23" s="4" t="s">
        <v>210</v>
      </c>
      <c r="D23" s="171" t="s">
        <v>438</v>
      </c>
      <c r="E23" s="172">
        <v>25029.792238591417</v>
      </c>
      <c r="F23" s="63"/>
      <c r="G23" s="60"/>
      <c r="H23" s="60"/>
      <c r="I23" s="64"/>
      <c r="J23" s="62" t="str">
        <f>IF(I$2&lt;&gt;"",E23-I23,"")</f>
        <v/>
      </c>
      <c r="K23" s="61"/>
      <c r="L23" s="173"/>
    </row>
    <row r="24" spans="2:12" customFormat="1" outlineLevel="1" x14ac:dyDescent="0.25">
      <c r="B24" s="170">
        <v>3</v>
      </c>
      <c r="C24" s="4" t="s">
        <v>248</v>
      </c>
      <c r="D24" s="171" t="s">
        <v>439</v>
      </c>
      <c r="E24" s="172">
        <v>1790.1008245598191</v>
      </c>
      <c r="F24" s="63"/>
      <c r="G24" s="60"/>
      <c r="H24" s="60"/>
      <c r="I24" s="64"/>
      <c r="J24" s="62" t="str">
        <f>IF(I$2&lt;&gt;"",E24-I24,"")</f>
        <v/>
      </c>
      <c r="K24" s="61"/>
      <c r="L24" s="173"/>
    </row>
    <row r="25" spans="2:12" customFormat="1" outlineLevel="1" x14ac:dyDescent="0.25">
      <c r="B25" s="170">
        <v>3</v>
      </c>
      <c r="C25" s="4" t="s">
        <v>214</v>
      </c>
      <c r="D25" s="171" t="s">
        <v>440</v>
      </c>
      <c r="E25" s="172">
        <v>3104.7161355932203</v>
      </c>
      <c r="F25" s="63"/>
      <c r="G25" s="60"/>
      <c r="H25" s="60"/>
      <c r="I25" s="64"/>
      <c r="J25" s="62" t="str">
        <f>IF(I$2&lt;&gt;"",E25-I25,"")</f>
        <v/>
      </c>
      <c r="K25" s="61"/>
      <c r="L25" s="173"/>
    </row>
    <row r="26" spans="2:12" customFormat="1" outlineLevel="1" x14ac:dyDescent="0.25">
      <c r="B26" s="170">
        <v>3</v>
      </c>
      <c r="C26" s="4" t="s">
        <v>218</v>
      </c>
      <c r="D26" s="171" t="s">
        <v>441</v>
      </c>
      <c r="E26" s="172">
        <v>2705.7181016949153</v>
      </c>
      <c r="F26" s="63"/>
      <c r="G26" s="60"/>
      <c r="H26" s="60"/>
      <c r="I26" s="64"/>
      <c r="J26" s="62" t="str">
        <f>IF(I$2&lt;&gt;"",E26-I26,"")</f>
        <v/>
      </c>
      <c r="K26" s="61"/>
      <c r="L26" s="173"/>
    </row>
    <row r="27" spans="2:12" customFormat="1" outlineLevel="1" x14ac:dyDescent="0.25">
      <c r="B27" s="170">
        <v>3</v>
      </c>
      <c r="C27" s="4" t="s">
        <v>252</v>
      </c>
      <c r="D27" s="171" t="s">
        <v>443</v>
      </c>
      <c r="E27" s="172">
        <v>2556.2611124643799</v>
      </c>
      <c r="F27" s="63"/>
      <c r="G27" s="60"/>
      <c r="H27" s="60"/>
      <c r="I27" s="64"/>
      <c r="J27" s="62" t="str">
        <f>IF(I$2&lt;&gt;"",E27-I27,"")</f>
        <v/>
      </c>
      <c r="K27" s="61"/>
      <c r="L27" s="173"/>
    </row>
    <row r="28" spans="2:12" customFormat="1" outlineLevel="1" x14ac:dyDescent="0.25">
      <c r="B28" s="170">
        <v>3</v>
      </c>
      <c r="C28" s="4" t="s">
        <v>222</v>
      </c>
      <c r="D28" s="171" t="s">
        <v>444</v>
      </c>
      <c r="E28" s="172">
        <v>2568.9001132075473</v>
      </c>
      <c r="F28" s="63"/>
      <c r="G28" s="60"/>
      <c r="H28" s="60"/>
      <c r="I28" s="64"/>
      <c r="J28" s="62" t="str">
        <f>IF(I$2&lt;&gt;"",E28-I28,"")</f>
        <v/>
      </c>
      <c r="K28" s="61"/>
      <c r="L28" s="173"/>
    </row>
    <row r="29" spans="2:12" customFormat="1" outlineLevel="1" x14ac:dyDescent="0.25">
      <c r="B29" s="170">
        <v>3</v>
      </c>
      <c r="C29" s="4" t="s">
        <v>226</v>
      </c>
      <c r="D29" s="171" t="s">
        <v>445</v>
      </c>
      <c r="E29" s="172">
        <v>59170.189776112071</v>
      </c>
      <c r="F29" s="63"/>
      <c r="G29" s="60"/>
      <c r="H29" s="60"/>
      <c r="I29" s="64"/>
      <c r="J29" s="62" t="str">
        <f>IF(I$2&lt;&gt;"",E29-I29,"")</f>
        <v/>
      </c>
      <c r="K29" s="61"/>
      <c r="L29" s="173"/>
    </row>
    <row r="30" spans="2:12" x14ac:dyDescent="0.25">
      <c r="B30" s="146">
        <v>2</v>
      </c>
      <c r="C30" s="165" t="s">
        <v>50</v>
      </c>
      <c r="D30" s="166" t="s">
        <v>18</v>
      </c>
      <c r="E30" s="167">
        <f>SUBTOTAL(9,E31:E31)</f>
        <v>123476.22016199998</v>
      </c>
      <c r="F30" s="168"/>
      <c r="G30" s="167"/>
      <c r="H30" s="167"/>
      <c r="I30" s="169"/>
      <c r="J30" s="167"/>
      <c r="K30" s="167"/>
      <c r="L30" s="147"/>
    </row>
    <row r="31" spans="2:12" customFormat="1" outlineLevel="1" x14ac:dyDescent="0.25">
      <c r="B31" s="170">
        <v>3</v>
      </c>
      <c r="C31" s="4" t="s">
        <v>256</v>
      </c>
      <c r="D31" s="171" t="s">
        <v>449</v>
      </c>
      <c r="E31" s="172">
        <v>123476.22016199998</v>
      </c>
      <c r="F31" s="63"/>
      <c r="G31" s="60"/>
      <c r="H31" s="60"/>
      <c r="I31" s="64"/>
      <c r="J31" s="62" t="str">
        <f>IF(I$2&lt;&gt;"",E31-I31,"")</f>
        <v/>
      </c>
      <c r="K31" s="61"/>
      <c r="L31" s="173"/>
    </row>
    <row r="32" spans="2:12" x14ac:dyDescent="0.25">
      <c r="B32" s="146">
        <v>2</v>
      </c>
      <c r="C32" s="165" t="s">
        <v>51</v>
      </c>
      <c r="D32" s="166" t="s">
        <v>19</v>
      </c>
      <c r="E32" s="167">
        <f>SUBTOTAL(9,E33:E33)</f>
        <v>76400.073272274254</v>
      </c>
      <c r="F32" s="168"/>
      <c r="G32" s="167"/>
      <c r="H32" s="167"/>
      <c r="I32" s="169"/>
      <c r="J32" s="167"/>
      <c r="K32" s="167"/>
      <c r="L32" s="147"/>
    </row>
    <row r="33" spans="2:12" customFormat="1" outlineLevel="1" x14ac:dyDescent="0.25">
      <c r="B33" s="170">
        <v>3</v>
      </c>
      <c r="C33" s="4" t="s">
        <v>168</v>
      </c>
      <c r="D33" s="171" t="s">
        <v>450</v>
      </c>
      <c r="E33" s="172">
        <v>76400.073272274254</v>
      </c>
      <c r="F33" s="63"/>
      <c r="G33" s="60"/>
      <c r="H33" s="60"/>
      <c r="I33" s="64"/>
      <c r="J33" s="62" t="str">
        <f>IF(I$2&lt;&gt;"",E33-I33,"")</f>
        <v/>
      </c>
      <c r="K33" s="61"/>
      <c r="L33" s="173"/>
    </row>
    <row r="34" spans="2:12" x14ac:dyDescent="0.25">
      <c r="B34" s="146">
        <v>2</v>
      </c>
      <c r="C34" s="165" t="s">
        <v>52</v>
      </c>
      <c r="D34" s="166" t="s">
        <v>20</v>
      </c>
      <c r="E34" s="167">
        <f>SUBTOTAL(9,E35:E35)</f>
        <v>770000</v>
      </c>
      <c r="F34" s="168"/>
      <c r="G34" s="167"/>
      <c r="H34" s="167"/>
      <c r="I34" s="169"/>
      <c r="J34" s="167"/>
      <c r="K34" s="167"/>
      <c r="L34" s="147"/>
    </row>
    <row r="35" spans="2:12" customFormat="1" outlineLevel="1" x14ac:dyDescent="0.25">
      <c r="B35" s="170">
        <v>3</v>
      </c>
      <c r="C35" s="4" t="s">
        <v>263</v>
      </c>
      <c r="D35" s="171" t="s">
        <v>454</v>
      </c>
      <c r="E35" s="172">
        <v>770000</v>
      </c>
      <c r="F35" s="63"/>
      <c r="G35" s="60"/>
      <c r="H35" s="60"/>
      <c r="I35" s="64"/>
      <c r="J35" s="62" t="str">
        <f>IF(I$2&lt;&gt;"",E35-I35,"")</f>
        <v/>
      </c>
      <c r="K35" s="61"/>
      <c r="L35" s="173"/>
    </row>
    <row r="36" spans="2:12" x14ac:dyDescent="0.25">
      <c r="B36" s="146">
        <v>2</v>
      </c>
      <c r="C36" s="165" t="s">
        <v>57</v>
      </c>
      <c r="D36" s="166" t="s">
        <v>21</v>
      </c>
      <c r="E36" s="167">
        <f>SUBTOTAL(9,E37:E44)</f>
        <v>1921974.5197775366</v>
      </c>
      <c r="F36" s="168"/>
      <c r="G36" s="167"/>
      <c r="H36" s="167"/>
      <c r="I36" s="169"/>
      <c r="J36" s="167"/>
      <c r="K36" s="167"/>
      <c r="L36" s="147"/>
    </row>
    <row r="37" spans="2:12" customFormat="1" outlineLevel="1" x14ac:dyDescent="0.25">
      <c r="B37" s="170">
        <v>3</v>
      </c>
      <c r="C37" s="4" t="s">
        <v>265</v>
      </c>
      <c r="D37" s="171" t="s">
        <v>455</v>
      </c>
      <c r="E37" s="172">
        <v>55403.687978929651</v>
      </c>
      <c r="F37" s="63"/>
      <c r="G37" s="60"/>
      <c r="H37" s="60"/>
      <c r="I37" s="64"/>
      <c r="J37" s="62" t="str">
        <f>IF(I$2&lt;&gt;"",E37-I37,"")</f>
        <v/>
      </c>
      <c r="K37" s="61"/>
      <c r="L37" s="173"/>
    </row>
    <row r="38" spans="2:12" customFormat="1" outlineLevel="1" x14ac:dyDescent="0.25">
      <c r="B38" s="170">
        <v>3</v>
      </c>
      <c r="C38" s="4" t="s">
        <v>266</v>
      </c>
      <c r="D38" s="171" t="s">
        <v>456</v>
      </c>
      <c r="E38" s="172">
        <v>26548.677374449704</v>
      </c>
      <c r="F38" s="63"/>
      <c r="G38" s="60"/>
      <c r="H38" s="60"/>
      <c r="I38" s="64"/>
      <c r="J38" s="62" t="str">
        <f>IF(I$2&lt;&gt;"",E38-I38,"")</f>
        <v/>
      </c>
      <c r="K38" s="61"/>
      <c r="L38" s="173"/>
    </row>
    <row r="39" spans="2:12" customFormat="1" outlineLevel="1" x14ac:dyDescent="0.25">
      <c r="B39" s="170">
        <v>3</v>
      </c>
      <c r="C39" s="4" t="s">
        <v>267</v>
      </c>
      <c r="D39" s="171" t="s">
        <v>457</v>
      </c>
      <c r="E39" s="172">
        <v>10600.505007504062</v>
      </c>
      <c r="F39" s="63"/>
      <c r="G39" s="60"/>
      <c r="H39" s="60"/>
      <c r="I39" s="64"/>
      <c r="J39" s="62" t="str">
        <f>IF(I$2&lt;&gt;"",E39-I39,"")</f>
        <v/>
      </c>
      <c r="K39" s="61"/>
      <c r="L39" s="173"/>
    </row>
    <row r="40" spans="2:12" customFormat="1" outlineLevel="1" x14ac:dyDescent="0.25">
      <c r="B40" s="170">
        <v>3</v>
      </c>
      <c r="C40" s="4" t="s">
        <v>268</v>
      </c>
      <c r="D40" s="171" t="s">
        <v>458</v>
      </c>
      <c r="E40" s="172">
        <v>1458437.1687861285</v>
      </c>
      <c r="F40" s="63"/>
      <c r="G40" s="60"/>
      <c r="H40" s="60"/>
      <c r="I40" s="64"/>
      <c r="J40" s="62" t="str">
        <f>IF(I$2&lt;&gt;"",E40-I40,"")</f>
        <v/>
      </c>
      <c r="K40" s="61"/>
      <c r="L40" s="173"/>
    </row>
    <row r="41" spans="2:12" customFormat="1" outlineLevel="1" x14ac:dyDescent="0.25">
      <c r="B41" s="170">
        <v>3</v>
      </c>
      <c r="C41" s="4" t="s">
        <v>269</v>
      </c>
      <c r="D41" s="171" t="s">
        <v>459</v>
      </c>
      <c r="E41" s="172">
        <v>58085.038305769325</v>
      </c>
      <c r="F41" s="63"/>
      <c r="G41" s="60"/>
      <c r="H41" s="60"/>
      <c r="I41" s="64"/>
      <c r="J41" s="62" t="str">
        <f>IF(I$2&lt;&gt;"",E41-I41,"")</f>
        <v/>
      </c>
      <c r="K41" s="61"/>
      <c r="L41" s="173"/>
    </row>
    <row r="42" spans="2:12" customFormat="1" outlineLevel="1" x14ac:dyDescent="0.25">
      <c r="B42" s="170">
        <v>3</v>
      </c>
      <c r="C42" s="4" t="s">
        <v>271</v>
      </c>
      <c r="D42" s="171" t="s">
        <v>460</v>
      </c>
      <c r="E42" s="172">
        <v>0</v>
      </c>
      <c r="F42" s="63"/>
      <c r="G42" s="60"/>
      <c r="H42" s="60"/>
      <c r="I42" s="64"/>
      <c r="J42" s="62" t="str">
        <f>IF(I$2&lt;&gt;"",E42-I42,"")</f>
        <v/>
      </c>
      <c r="K42" s="61"/>
      <c r="L42" s="173"/>
    </row>
    <row r="43" spans="2:12" customFormat="1" outlineLevel="1" x14ac:dyDescent="0.25">
      <c r="B43" s="170">
        <v>3</v>
      </c>
      <c r="C43" s="4" t="s">
        <v>274</v>
      </c>
      <c r="D43" s="171" t="s">
        <v>461</v>
      </c>
      <c r="E43" s="172">
        <v>248747.80361231067</v>
      </c>
      <c r="F43" s="63"/>
      <c r="G43" s="60"/>
      <c r="H43" s="60"/>
      <c r="I43" s="64"/>
      <c r="J43" s="62" t="str">
        <f>IF(I$2&lt;&gt;"",E43-I43,"")</f>
        <v/>
      </c>
      <c r="K43" s="61"/>
      <c r="L43" s="173"/>
    </row>
    <row r="44" spans="2:12" customFormat="1" outlineLevel="1" x14ac:dyDescent="0.25">
      <c r="B44" s="170">
        <v>3</v>
      </c>
      <c r="C44" s="4" t="s">
        <v>275</v>
      </c>
      <c r="D44" s="171" t="s">
        <v>462</v>
      </c>
      <c r="E44" s="172">
        <v>64151.638712444867</v>
      </c>
      <c r="F44" s="63"/>
      <c r="G44" s="60"/>
      <c r="H44" s="60"/>
      <c r="I44" s="64"/>
      <c r="J44" s="62" t="str">
        <f>IF(I$2&lt;&gt;"",E44-I44,"")</f>
        <v/>
      </c>
      <c r="K44" s="61"/>
      <c r="L44" s="173"/>
    </row>
    <row r="45" spans="2:12" x14ac:dyDescent="0.25">
      <c r="B45" s="146">
        <v>2</v>
      </c>
      <c r="C45" s="165" t="s">
        <v>58</v>
      </c>
      <c r="D45" s="166" t="s">
        <v>22</v>
      </c>
      <c r="E45" s="167">
        <f>SUBTOTAL(9,E46:E46)</f>
        <v>333060.4886274013</v>
      </c>
      <c r="F45" s="168"/>
      <c r="G45" s="167"/>
      <c r="H45" s="167"/>
      <c r="I45" s="169"/>
      <c r="J45" s="167"/>
      <c r="K45" s="167"/>
      <c r="L45" s="147"/>
    </row>
    <row r="46" spans="2:12" customFormat="1" outlineLevel="1" x14ac:dyDescent="0.25">
      <c r="B46" s="170">
        <v>3</v>
      </c>
      <c r="C46" s="4" t="s">
        <v>276</v>
      </c>
      <c r="D46" s="171" t="s">
        <v>22</v>
      </c>
      <c r="E46" s="172">
        <v>333060.4886274013</v>
      </c>
      <c r="F46" s="63"/>
      <c r="G46" s="60"/>
      <c r="H46" s="60"/>
      <c r="I46" s="64"/>
      <c r="J46" s="62" t="str">
        <f>IF(I$2&lt;&gt;"",E46-I46,"")</f>
        <v/>
      </c>
      <c r="K46" s="61"/>
      <c r="L46" s="173"/>
    </row>
    <row r="47" spans="2:12" x14ac:dyDescent="0.25">
      <c r="B47" s="146">
        <v>2</v>
      </c>
      <c r="C47" s="165" t="s">
        <v>59</v>
      </c>
      <c r="D47" s="166" t="s">
        <v>1</v>
      </c>
      <c r="E47" s="167">
        <f>SUBTOTAL(9,E48:E48)</f>
        <v>331723</v>
      </c>
      <c r="F47" s="168"/>
      <c r="G47" s="167"/>
      <c r="H47" s="167"/>
      <c r="I47" s="169"/>
      <c r="J47" s="167"/>
      <c r="K47" s="167"/>
      <c r="L47" s="147"/>
    </row>
    <row r="48" spans="2:12" customFormat="1" ht="15.75" outlineLevel="1" thickBot="1" x14ac:dyDescent="0.3">
      <c r="B48" s="170">
        <v>3</v>
      </c>
      <c r="C48" s="4" t="s">
        <v>312</v>
      </c>
      <c r="D48" s="171" t="s">
        <v>463</v>
      </c>
      <c r="E48" s="172">
        <v>331723</v>
      </c>
      <c r="F48" s="63"/>
      <c r="G48" s="60"/>
      <c r="H48" s="60"/>
      <c r="I48" s="64"/>
      <c r="J48" s="62" t="str">
        <f>IF(I$2&lt;&gt;"",E48-I48,"")</f>
        <v/>
      </c>
      <c r="K48" s="61"/>
      <c r="L48" s="173"/>
    </row>
    <row r="49" spans="2:11" s="91" customFormat="1" x14ac:dyDescent="0.25">
      <c r="B49" s="159"/>
      <c r="C49" s="160" t="s">
        <v>61</v>
      </c>
      <c r="D49" s="161"/>
      <c r="E49" s="162">
        <v>7253161.7452909257</v>
      </c>
      <c r="F49" s="176">
        <f>SUBTOTAL(9,F3:F48)</f>
        <v>0</v>
      </c>
      <c r="G49" s="162">
        <f>SUBTOTAL(9,G3:G48)</f>
        <v>0</v>
      </c>
      <c r="H49" s="162">
        <f>SUBTOTAL(9,H3:H48)</f>
        <v>0</v>
      </c>
      <c r="I49" s="177">
        <f>SUBTOTAL(9,I3:I48)</f>
        <v>0</v>
      </c>
      <c r="J49" s="162"/>
      <c r="K49" s="162"/>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6"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6"/>
      <c r="D3" s="117" t="s">
        <v>102</v>
      </c>
      <c r="E3" s="118"/>
      <c r="F3" s="119"/>
      <c r="G3" s="117" t="s">
        <v>102</v>
      </c>
      <c r="H3" s="118"/>
      <c r="I3" s="119"/>
      <c r="J3" s="120"/>
      <c r="K3" s="121"/>
    </row>
    <row r="4" spans="2:11" x14ac:dyDescent="0.25">
      <c r="C4" s="249" t="s">
        <v>82</v>
      </c>
      <c r="D4" s="250" t="s">
        <v>103</v>
      </c>
      <c r="E4" s="250" t="s">
        <v>104</v>
      </c>
      <c r="F4" s="119"/>
      <c r="G4" s="250" t="s">
        <v>105</v>
      </c>
      <c r="H4" s="250" t="s">
        <v>106</v>
      </c>
      <c r="I4" s="119"/>
      <c r="J4" s="248" t="s">
        <v>0</v>
      </c>
      <c r="K4" s="121"/>
    </row>
    <row r="5" spans="2:11" x14ac:dyDescent="0.25">
      <c r="C5" s="249"/>
      <c r="D5" s="250"/>
      <c r="E5" s="250"/>
      <c r="F5" s="119"/>
      <c r="G5" s="250"/>
      <c r="H5" s="250"/>
      <c r="I5" s="119"/>
      <c r="J5" s="248"/>
      <c r="K5" s="121" t="s">
        <v>69</v>
      </c>
    </row>
    <row r="6" spans="2:11" x14ac:dyDescent="0.25">
      <c r="C6" s="122" t="s">
        <v>107</v>
      </c>
      <c r="D6" s="123"/>
      <c r="E6" s="123"/>
      <c r="F6" s="119"/>
      <c r="G6" s="124"/>
      <c r="H6" s="123"/>
      <c r="I6" s="125"/>
      <c r="J6" s="126"/>
      <c r="K6" s="126"/>
    </row>
    <row r="7" spans="2:11" x14ac:dyDescent="0.25">
      <c r="C7" s="127" t="s">
        <v>108</v>
      </c>
      <c r="D7" s="121"/>
      <c r="E7" s="14">
        <v>4</v>
      </c>
      <c r="F7" s="119"/>
      <c r="G7" s="128"/>
      <c r="H7" s="14">
        <v>1</v>
      </c>
      <c r="I7" s="119"/>
      <c r="J7" s="121"/>
      <c r="K7" s="121"/>
    </row>
    <row r="8" spans="2:11" x14ac:dyDescent="0.25">
      <c r="B8" s="83" t="s">
        <v>41</v>
      </c>
      <c r="C8" s="139" t="s">
        <v>86</v>
      </c>
      <c r="D8" s="15"/>
      <c r="E8" s="19">
        <f>D8/E$7</f>
        <v>0</v>
      </c>
      <c r="F8" s="130"/>
      <c r="G8" s="105">
        <v>0</v>
      </c>
      <c r="H8" s="19">
        <f>G8/H$7</f>
        <v>0</v>
      </c>
      <c r="I8" s="130"/>
      <c r="J8" s="131">
        <f>H8-E8</f>
        <v>0</v>
      </c>
      <c r="K8" s="16"/>
    </row>
    <row r="9" spans="2:11" x14ac:dyDescent="0.25">
      <c r="B9" s="83" t="s">
        <v>42</v>
      </c>
      <c r="C9" s="139" t="s">
        <v>87</v>
      </c>
      <c r="D9" s="15"/>
      <c r="E9" s="19">
        <f t="shared" ref="E9:E19" si="0">D9/E$7</f>
        <v>0</v>
      </c>
      <c r="F9" s="132"/>
      <c r="G9" s="105">
        <v>0</v>
      </c>
      <c r="H9" s="19">
        <f t="shared" ref="H9:H19" si="1">G9/H$7</f>
        <v>0</v>
      </c>
      <c r="I9" s="132"/>
      <c r="J9" s="131">
        <f t="shared" ref="J9:J19" si="2">H9-E9</f>
        <v>0</v>
      </c>
      <c r="K9" s="16"/>
    </row>
    <row r="10" spans="2:11" x14ac:dyDescent="0.25">
      <c r="B10" s="83" t="s">
        <v>43</v>
      </c>
      <c r="C10" s="139" t="s">
        <v>352</v>
      </c>
      <c r="D10" s="15"/>
      <c r="E10" s="19">
        <f t="shared" si="0"/>
        <v>0</v>
      </c>
      <c r="F10" s="132"/>
      <c r="G10" s="105">
        <v>13.6</v>
      </c>
      <c r="H10" s="19">
        <f t="shared" si="1"/>
        <v>13.6</v>
      </c>
      <c r="I10" s="132"/>
      <c r="J10" s="131">
        <f t="shared" si="2"/>
        <v>13.6</v>
      </c>
      <c r="K10" s="16"/>
    </row>
    <row r="11" spans="2:11" x14ac:dyDescent="0.25">
      <c r="B11" s="83" t="s">
        <v>44</v>
      </c>
      <c r="C11" s="139" t="s">
        <v>88</v>
      </c>
      <c r="D11" s="15"/>
      <c r="E11" s="19">
        <f t="shared" si="0"/>
        <v>0</v>
      </c>
      <c r="F11" s="132"/>
      <c r="G11" s="105">
        <v>174</v>
      </c>
      <c r="H11" s="19">
        <f t="shared" si="1"/>
        <v>174</v>
      </c>
      <c r="I11" s="132"/>
      <c r="J11" s="131">
        <f t="shared" si="2"/>
        <v>174</v>
      </c>
      <c r="K11" s="16"/>
    </row>
    <row r="12" spans="2:11" x14ac:dyDescent="0.25">
      <c r="B12" s="83" t="s">
        <v>45</v>
      </c>
      <c r="C12" s="139" t="s">
        <v>89</v>
      </c>
      <c r="D12" s="15"/>
      <c r="E12" s="19">
        <f t="shared" si="0"/>
        <v>0</v>
      </c>
      <c r="F12" s="132"/>
      <c r="G12" s="105">
        <v>61.199999999999996</v>
      </c>
      <c r="H12" s="19">
        <f t="shared" si="1"/>
        <v>61.199999999999996</v>
      </c>
      <c r="I12" s="132"/>
      <c r="J12" s="131">
        <f t="shared" si="2"/>
        <v>61.199999999999996</v>
      </c>
      <c r="K12" s="16"/>
    </row>
    <row r="13" spans="2:11" x14ac:dyDescent="0.25">
      <c r="B13" s="83" t="s">
        <v>46</v>
      </c>
      <c r="C13" s="139" t="s">
        <v>353</v>
      </c>
      <c r="D13" s="15"/>
      <c r="E13" s="19">
        <f t="shared" si="0"/>
        <v>0</v>
      </c>
      <c r="F13" s="132"/>
      <c r="G13" s="105">
        <v>146.89999999999998</v>
      </c>
      <c r="H13" s="19">
        <f t="shared" si="1"/>
        <v>146.89999999999998</v>
      </c>
      <c r="I13" s="132"/>
      <c r="J13" s="131">
        <f t="shared" si="2"/>
        <v>146.89999999999998</v>
      </c>
      <c r="K13" s="17"/>
    </row>
    <row r="14" spans="2:11" x14ac:dyDescent="0.25">
      <c r="B14" s="83" t="s">
        <v>47</v>
      </c>
      <c r="C14" s="139" t="s">
        <v>354</v>
      </c>
      <c r="D14" s="15"/>
      <c r="E14" s="19">
        <f t="shared" si="0"/>
        <v>0</v>
      </c>
      <c r="F14" s="132"/>
      <c r="G14" s="105">
        <v>1389.4</v>
      </c>
      <c r="H14" s="19">
        <f t="shared" si="1"/>
        <v>1389.4</v>
      </c>
      <c r="I14" s="132"/>
      <c r="J14" s="131">
        <f t="shared" si="2"/>
        <v>1389.4</v>
      </c>
      <c r="K14" s="17"/>
    </row>
    <row r="15" spans="2:11" x14ac:dyDescent="0.25">
      <c r="B15" s="83" t="s">
        <v>48</v>
      </c>
      <c r="C15" s="139" t="s">
        <v>90</v>
      </c>
      <c r="D15" s="15"/>
      <c r="E15" s="19">
        <f t="shared" si="0"/>
        <v>0</v>
      </c>
      <c r="F15" s="132"/>
      <c r="G15" s="105">
        <v>1814.5</v>
      </c>
      <c r="H15" s="19">
        <f t="shared" si="1"/>
        <v>1814.5</v>
      </c>
      <c r="I15" s="132"/>
      <c r="J15" s="131">
        <f t="shared" si="2"/>
        <v>1814.5</v>
      </c>
      <c r="K15" s="16"/>
    </row>
    <row r="16" spans="2:11" x14ac:dyDescent="0.25">
      <c r="B16" s="83" t="s">
        <v>49</v>
      </c>
      <c r="C16" s="139" t="s">
        <v>91</v>
      </c>
      <c r="D16" s="15"/>
      <c r="E16" s="19">
        <f t="shared" si="0"/>
        <v>0</v>
      </c>
      <c r="F16" s="132"/>
      <c r="G16" s="105">
        <v>96.9</v>
      </c>
      <c r="H16" s="19">
        <f t="shared" si="1"/>
        <v>96.9</v>
      </c>
      <c r="I16" s="132"/>
      <c r="J16" s="131">
        <f t="shared" si="2"/>
        <v>96.9</v>
      </c>
      <c r="K16" s="16"/>
    </row>
    <row r="17" spans="2:11" x14ac:dyDescent="0.25">
      <c r="B17" s="83" t="s">
        <v>50</v>
      </c>
      <c r="C17" s="139" t="s">
        <v>92</v>
      </c>
      <c r="D17" s="15"/>
      <c r="E17" s="19">
        <f t="shared" si="0"/>
        <v>0</v>
      </c>
      <c r="F17" s="132"/>
      <c r="G17" s="105">
        <v>123.5</v>
      </c>
      <c r="H17" s="19">
        <f t="shared" si="1"/>
        <v>123.5</v>
      </c>
      <c r="I17" s="132"/>
      <c r="J17" s="131">
        <f t="shared" si="2"/>
        <v>123.5</v>
      </c>
      <c r="K17" s="16"/>
    </row>
    <row r="18" spans="2:11" x14ac:dyDescent="0.25">
      <c r="B18" s="83" t="s">
        <v>51</v>
      </c>
      <c r="C18" s="139" t="s">
        <v>355</v>
      </c>
      <c r="D18" s="15"/>
      <c r="E18" s="19">
        <f t="shared" si="0"/>
        <v>0</v>
      </c>
      <c r="F18" s="132"/>
      <c r="G18" s="105">
        <v>76.400000000000006</v>
      </c>
      <c r="H18" s="19">
        <f t="shared" si="1"/>
        <v>76.400000000000006</v>
      </c>
      <c r="I18" s="132"/>
      <c r="J18" s="131">
        <f t="shared" si="2"/>
        <v>76.400000000000006</v>
      </c>
      <c r="K18" s="16"/>
    </row>
    <row r="19" spans="2:11" x14ac:dyDescent="0.25">
      <c r="B19" s="83" t="s">
        <v>52</v>
      </c>
      <c r="C19" s="139" t="s">
        <v>93</v>
      </c>
      <c r="D19" s="15"/>
      <c r="E19" s="19">
        <f t="shared" si="0"/>
        <v>0</v>
      </c>
      <c r="F19" s="132"/>
      <c r="G19" s="105">
        <v>770</v>
      </c>
      <c r="H19" s="19">
        <f t="shared" si="1"/>
        <v>770</v>
      </c>
      <c r="I19" s="132"/>
      <c r="J19" s="131">
        <f t="shared" si="2"/>
        <v>770</v>
      </c>
      <c r="K19" s="16"/>
    </row>
    <row r="20" spans="2:11" x14ac:dyDescent="0.25">
      <c r="B20" s="87"/>
      <c r="C20" s="133" t="s">
        <v>94</v>
      </c>
      <c r="D20" s="13">
        <f>SUM(D8:D19)</f>
        <v>0</v>
      </c>
      <c r="E20" s="13">
        <f>SUM(E8:E19)</f>
        <v>0</v>
      </c>
      <c r="F20" s="132"/>
      <c r="G20" s="13">
        <v>4666.3999999999996</v>
      </c>
      <c r="H20" s="13">
        <f>SUM(H8:H19)</f>
        <v>4666.3999999999996</v>
      </c>
      <c r="I20" s="132"/>
      <c r="J20" s="13">
        <f>SUM(J8:J19)</f>
        <v>4666.3999999999996</v>
      </c>
      <c r="K20" s="133"/>
    </row>
    <row r="21" spans="2:11" x14ac:dyDescent="0.25">
      <c r="B21" s="83" t="s">
        <v>57</v>
      </c>
      <c r="C21" s="129" t="s">
        <v>95</v>
      </c>
      <c r="D21" s="15"/>
      <c r="E21" s="19">
        <f>D21/E$7</f>
        <v>0</v>
      </c>
      <c r="F21" s="132"/>
      <c r="G21" s="105">
        <v>1921.9</v>
      </c>
      <c r="H21" s="19">
        <f>G21/H$7</f>
        <v>1921.9</v>
      </c>
      <c r="I21" s="132"/>
      <c r="J21" s="131">
        <f>H21-E21</f>
        <v>1921.9</v>
      </c>
      <c r="K21" s="17"/>
    </row>
    <row r="22" spans="2:11" x14ac:dyDescent="0.25">
      <c r="B22" s="83" t="s">
        <v>58</v>
      </c>
      <c r="C22" s="129" t="s">
        <v>96</v>
      </c>
      <c r="D22" s="15"/>
      <c r="E22" s="19">
        <f>D22/E$7</f>
        <v>0</v>
      </c>
      <c r="F22" s="132"/>
      <c r="G22" s="105">
        <v>333</v>
      </c>
      <c r="H22" s="19">
        <f>G22/H$7</f>
        <v>333</v>
      </c>
      <c r="I22" s="132"/>
      <c r="J22" s="131">
        <f>H22-E22</f>
        <v>333</v>
      </c>
      <c r="K22" s="17"/>
    </row>
    <row r="23" spans="2:11" x14ac:dyDescent="0.25">
      <c r="B23" s="87"/>
      <c r="C23" s="133" t="s">
        <v>23</v>
      </c>
      <c r="D23" s="13">
        <f>SUM(D20:D22)</f>
        <v>0</v>
      </c>
      <c r="E23" s="13">
        <f>SUM(E20:E22)</f>
        <v>0</v>
      </c>
      <c r="F23" s="132"/>
      <c r="G23" s="13">
        <v>6921.2999999999993</v>
      </c>
      <c r="H23" s="13">
        <f>SUM(H20:H22)</f>
        <v>6921.2999999999993</v>
      </c>
      <c r="I23" s="132"/>
      <c r="J23" s="13">
        <f>SUM(J20:J22)</f>
        <v>6921.2999999999993</v>
      </c>
      <c r="K23" s="133"/>
    </row>
    <row r="24" spans="2:11" x14ac:dyDescent="0.25">
      <c r="B24" s="83" t="s">
        <v>59</v>
      </c>
      <c r="C24" s="129" t="s">
        <v>97</v>
      </c>
      <c r="D24" s="15"/>
      <c r="E24" s="19">
        <f>D24/E$7</f>
        <v>0</v>
      </c>
      <c r="F24" s="132"/>
      <c r="G24" s="105">
        <v>331.8</v>
      </c>
      <c r="H24" s="19">
        <f>G24/H$7</f>
        <v>331.8</v>
      </c>
      <c r="I24" s="132"/>
      <c r="J24" s="131">
        <f>H24-E24</f>
        <v>331.8</v>
      </c>
      <c r="K24" s="16"/>
    </row>
    <row r="25" spans="2:11" hidden="1" x14ac:dyDescent="0.25">
      <c r="B25" s="87"/>
      <c r="C25" s="129"/>
      <c r="D25" s="15"/>
      <c r="E25" s="19">
        <f>D25/E$7</f>
        <v>0</v>
      </c>
      <c r="F25" s="132"/>
      <c r="G25" s="105">
        <v>0</v>
      </c>
      <c r="H25" s="19">
        <f>G25/H$7</f>
        <v>0</v>
      </c>
      <c r="I25" s="132"/>
      <c r="J25" s="131">
        <f>H25-E25</f>
        <v>0</v>
      </c>
      <c r="K25" s="16"/>
    </row>
    <row r="26" spans="2:11" x14ac:dyDescent="0.25">
      <c r="C26" s="133" t="s">
        <v>157</v>
      </c>
      <c r="D26" s="13">
        <f>SUM(D23:D25)</f>
        <v>0</v>
      </c>
      <c r="E26" s="13">
        <f>SUM(E23:E25)</f>
        <v>0</v>
      </c>
      <c r="F26" s="132"/>
      <c r="G26" s="13">
        <v>7253.0999999999995</v>
      </c>
      <c r="H26" s="13">
        <f>SUM(H23:H25)</f>
        <v>7253.0999999999995</v>
      </c>
      <c r="I26" s="132"/>
      <c r="J26" s="13">
        <f>SUM(J23:J25)</f>
        <v>7253.0999999999995</v>
      </c>
      <c r="K26" s="133"/>
    </row>
    <row r="27" spans="2:11" x14ac:dyDescent="0.25">
      <c r="B27" s="83" t="s">
        <v>60</v>
      </c>
      <c r="C27" s="129" t="s">
        <v>98</v>
      </c>
      <c r="D27" s="15"/>
      <c r="E27" s="19">
        <f>D27/E$7</f>
        <v>0</v>
      </c>
      <c r="F27" s="132"/>
      <c r="G27" s="105">
        <v>0</v>
      </c>
      <c r="H27" s="19">
        <f>G27/H$7</f>
        <v>0</v>
      </c>
      <c r="I27" s="132"/>
      <c r="J27" s="131">
        <f>H27-E27</f>
        <v>0</v>
      </c>
      <c r="K27" s="16"/>
    </row>
    <row r="28" spans="2:11" hidden="1" x14ac:dyDescent="0.25">
      <c r="C28" s="129"/>
      <c r="D28" s="15"/>
      <c r="E28" s="19">
        <f>D28/E$7</f>
        <v>0</v>
      </c>
      <c r="F28" s="132"/>
      <c r="G28" s="105">
        <v>0</v>
      </c>
      <c r="H28" s="19">
        <f>G28/H$7</f>
        <v>0</v>
      </c>
      <c r="I28" s="132"/>
      <c r="J28" s="131">
        <f>H28-E28</f>
        <v>0</v>
      </c>
      <c r="K28" s="16"/>
    </row>
    <row r="29" spans="2:11" x14ac:dyDescent="0.25">
      <c r="C29" s="133" t="s">
        <v>99</v>
      </c>
      <c r="D29" s="13">
        <f>SUM(D26:D28)</f>
        <v>0</v>
      </c>
      <c r="E29" s="13">
        <f>SUM(E26:E28)</f>
        <v>0</v>
      </c>
      <c r="F29" s="132"/>
      <c r="G29" s="13">
        <v>7253.0999999999995</v>
      </c>
      <c r="H29" s="13">
        <f>SUM(H26:H28)</f>
        <v>7253.0999999999995</v>
      </c>
      <c r="I29" s="132"/>
      <c r="J29" s="13">
        <f>SUM(J26:J28)</f>
        <v>7253.0999999999995</v>
      </c>
      <c r="K29" s="133"/>
    </row>
    <row r="30" spans="2:11" x14ac:dyDescent="0.25">
      <c r="C30" s="133" t="s">
        <v>100</v>
      </c>
      <c r="D30" s="13"/>
      <c r="E30" s="13">
        <f>D30/E$7</f>
        <v>0</v>
      </c>
      <c r="F30" s="132"/>
      <c r="G30" s="13"/>
      <c r="H30" s="13">
        <f>G30/H$7</f>
        <v>0</v>
      </c>
      <c r="I30" s="132"/>
      <c r="J30" s="13">
        <f>H30-E30</f>
        <v>0</v>
      </c>
      <c r="K30" s="133"/>
    </row>
    <row r="31" spans="2:11" x14ac:dyDescent="0.25">
      <c r="C31" s="133" t="s">
        <v>101</v>
      </c>
      <c r="D31" s="13">
        <f>SUM(D29:D30)</f>
        <v>0</v>
      </c>
      <c r="E31" s="13">
        <f>SUM(E29:E30)</f>
        <v>0</v>
      </c>
      <c r="F31" s="132"/>
      <c r="G31" s="13">
        <v>7253.0999999999995</v>
      </c>
      <c r="H31" s="13">
        <f>SUM(H29:H30)</f>
        <v>7253.0999999999995</v>
      </c>
      <c r="I31" s="132"/>
      <c r="J31" s="13">
        <f>SUM(J29:J30)</f>
        <v>7253.0999999999995</v>
      </c>
      <c r="K31" s="133"/>
    </row>
    <row r="32" spans="2:11" x14ac:dyDescent="0.25">
      <c r="C32" s="134"/>
      <c r="D32" s="18"/>
      <c r="E32" s="20"/>
      <c r="F32" s="135"/>
      <c r="G32" s="20"/>
      <c r="H32" s="20"/>
      <c r="I32" s="135"/>
      <c r="J32" s="20"/>
      <c r="K32" s="18"/>
    </row>
    <row r="33" spans="5:10" x14ac:dyDescent="0.25">
      <c r="E33" s="135"/>
      <c r="F33" s="135"/>
      <c r="G33" s="135"/>
      <c r="H33" s="135"/>
      <c r="I33" s="135"/>
      <c r="J33" s="135"/>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79" t="s">
        <v>336</v>
      </c>
      <c r="C2" s="10" t="s">
        <v>78</v>
      </c>
      <c r="D2" s="10" t="s">
        <v>79</v>
      </c>
      <c r="E2" s="10" t="s">
        <v>80</v>
      </c>
    </row>
    <row r="3" spans="2:5" s="5" customFormat="1" x14ac:dyDescent="0.25">
      <c r="B3" s="58" t="s">
        <v>335</v>
      </c>
      <c r="C3" s="11">
        <v>0</v>
      </c>
      <c r="D3" s="11">
        <v>0</v>
      </c>
      <c r="E3" s="11">
        <v>0</v>
      </c>
    </row>
    <row r="4" spans="2:5" s="5" customFormat="1" x14ac:dyDescent="0.25">
      <c r="B4" s="58" t="s">
        <v>332</v>
      </c>
      <c r="C4" s="11">
        <v>3553540.0516044395</v>
      </c>
      <c r="D4" s="11">
        <v>3553540.0516044381</v>
      </c>
      <c r="E4" s="11">
        <v>0</v>
      </c>
    </row>
    <row r="5" spans="2:5" s="5" customFormat="1" x14ac:dyDescent="0.25">
      <c r="B5" s="58" t="s">
        <v>110</v>
      </c>
      <c r="C5" s="11">
        <v>146936.84671327434</v>
      </c>
      <c r="D5" s="11">
        <v>146936.84671327434</v>
      </c>
      <c r="E5" s="11">
        <v>0</v>
      </c>
    </row>
    <row r="6" spans="2:5" s="5" customFormat="1" x14ac:dyDescent="0.25">
      <c r="B6" s="58" t="s">
        <v>333</v>
      </c>
      <c r="C6" s="11">
        <v>0</v>
      </c>
      <c r="D6" s="11">
        <v>0</v>
      </c>
      <c r="E6" s="11">
        <v>0</v>
      </c>
    </row>
    <row r="7" spans="2:5" s="5" customFormat="1" x14ac:dyDescent="0.25">
      <c r="B7" s="58" t="s">
        <v>334</v>
      </c>
      <c r="C7" s="11">
        <v>119526.76529599998</v>
      </c>
      <c r="D7" s="11">
        <v>119526.765296</v>
      </c>
      <c r="E7" s="11">
        <v>0</v>
      </c>
    </row>
    <row r="8" spans="2:5" s="5" customFormat="1" x14ac:dyDescent="0.25">
      <c r="B8" s="58" t="s">
        <v>19</v>
      </c>
      <c r="C8" s="11">
        <v>3433158.0816772114</v>
      </c>
      <c r="D8" s="11">
        <v>3433158.0816772119</v>
      </c>
      <c r="E8" s="11">
        <v>0</v>
      </c>
    </row>
    <row r="9" spans="2:5" s="5" customFormat="1" x14ac:dyDescent="0.25">
      <c r="B9" s="67"/>
      <c r="C9" s="12">
        <v>7253161.7452909257</v>
      </c>
      <c r="D9" s="12">
        <v>7253161.7452909239</v>
      </c>
      <c r="E9" s="12">
        <v>0</v>
      </c>
    </row>
    <row r="10" spans="2:5" s="5" customFormat="1" x14ac:dyDescent="0.25">
      <c r="B10" s="67"/>
    </row>
    <row r="11" spans="2:5" s="5" customFormat="1" ht="26.25" x14ac:dyDescent="0.25">
      <c r="B11" s="79" t="s">
        <v>342</v>
      </c>
      <c r="C11" s="10" t="s">
        <v>163</v>
      </c>
      <c r="D11" s="10" t="s">
        <v>343</v>
      </c>
      <c r="E11" s="10" t="s">
        <v>345</v>
      </c>
    </row>
    <row r="12" spans="2:5" s="5" customFormat="1" x14ac:dyDescent="0.25">
      <c r="B12" s="58" t="s">
        <v>307</v>
      </c>
      <c r="C12" s="11">
        <v>7253100</v>
      </c>
      <c r="D12" s="11">
        <v>7253100</v>
      </c>
      <c r="E12" s="57" t="s">
        <v>75</v>
      </c>
    </row>
    <row r="13" spans="2:5" s="5" customFormat="1" x14ac:dyDescent="0.25">
      <c r="B13" s="58" t="s">
        <v>65</v>
      </c>
      <c r="C13" s="68">
        <v>7253161.7452909239</v>
      </c>
      <c r="D13" s="11">
        <v>7253161.7452909239</v>
      </c>
      <c r="E13" s="11">
        <v>61.745290923863649</v>
      </c>
    </row>
    <row r="14" spans="2:5" s="5" customFormat="1" x14ac:dyDescent="0.25">
      <c r="B14" s="58" t="s">
        <v>109</v>
      </c>
      <c r="C14" s="68">
        <v>7253161.7452909257</v>
      </c>
      <c r="D14" s="11">
        <v>7253161.7452909257</v>
      </c>
      <c r="E14" s="11">
        <v>61.745290925726295</v>
      </c>
    </row>
    <row r="15" spans="2:5" s="5" customFormat="1" x14ac:dyDescent="0.25">
      <c r="B15" s="58" t="s">
        <v>357</v>
      </c>
      <c r="C15" s="68">
        <v>7253161.7452909248</v>
      </c>
      <c r="D15" s="11">
        <v>7253161.7452909248</v>
      </c>
      <c r="E15" s="11">
        <v>61.745290924794972</v>
      </c>
    </row>
    <row r="16" spans="2:5" s="5" customFormat="1" x14ac:dyDescent="0.25">
      <c r="B16" s="58" t="s">
        <v>138</v>
      </c>
      <c r="C16" s="11">
        <v>7253099.9999999991</v>
      </c>
      <c r="D16" s="11">
        <v>7253099.9999999991</v>
      </c>
      <c r="E16" s="11">
        <v>0</v>
      </c>
    </row>
    <row r="17" spans="2:5" s="5" customFormat="1" x14ac:dyDescent="0.25">
      <c r="B17" s="58" t="s">
        <v>134</v>
      </c>
      <c r="C17" s="68">
        <v>7253161.7452909295</v>
      </c>
      <c r="D17" s="57" t="s">
        <v>75</v>
      </c>
      <c r="E17" s="11">
        <v>61.745290929451585</v>
      </c>
    </row>
    <row r="18" spans="2:5" s="5" customFormat="1" x14ac:dyDescent="0.25">
      <c r="B18" s="58" t="s">
        <v>0</v>
      </c>
      <c r="C18" s="68">
        <v>7253161.7452909257</v>
      </c>
      <c r="D18" s="11">
        <v>7253161.7452909257</v>
      </c>
      <c r="E18" s="11">
        <v>61.745290925726295</v>
      </c>
    </row>
    <row r="19" spans="2:5" s="5" customFormat="1" x14ac:dyDescent="0.25">
      <c r="B19" s="69" t="s">
        <v>346</v>
      </c>
    </row>
    <row r="20" spans="2:5" s="5" customFormat="1" x14ac:dyDescent="0.25"/>
    <row r="21" spans="2:5" s="5" customFormat="1" ht="26.25" x14ac:dyDescent="0.25">
      <c r="B21" s="79" t="s">
        <v>337</v>
      </c>
      <c r="C21" s="10" t="s">
        <v>341</v>
      </c>
      <c r="D21" s="10" t="s">
        <v>344</v>
      </c>
    </row>
    <row r="22" spans="2:5" s="5" customFormat="1" x14ac:dyDescent="0.25">
      <c r="B22" s="58" t="s">
        <v>338</v>
      </c>
      <c r="C22" s="68">
        <v>233</v>
      </c>
      <c r="D22" s="68">
        <v>0</v>
      </c>
    </row>
    <row r="23" spans="2:5" s="5" customFormat="1" x14ac:dyDescent="0.25">
      <c r="B23" s="58" t="s">
        <v>339</v>
      </c>
      <c r="C23" s="68">
        <v>0</v>
      </c>
      <c r="D23" s="68">
        <v>0</v>
      </c>
    </row>
    <row r="24" spans="2:5" s="5" customFormat="1" x14ac:dyDescent="0.25">
      <c r="B24" s="58" t="s">
        <v>340</v>
      </c>
      <c r="C24" s="68">
        <v>0</v>
      </c>
      <c r="D24" s="57" t="s">
        <v>75</v>
      </c>
    </row>
    <row r="25" spans="2:5" s="5" customFormat="1" x14ac:dyDescent="0.25">
      <c r="B25" s="58" t="s">
        <v>308</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1" t="s">
        <v>381</v>
      </c>
      <c r="C73" s="251" t="s">
        <v>381</v>
      </c>
      <c r="D73" s="251"/>
      <c r="E73" s="251" t="s">
        <v>381</v>
      </c>
    </row>
    <row r="74" spans="2:5" s="5" customFormat="1" ht="45" customHeight="1" x14ac:dyDescent="0.25">
      <c r="B74" s="251" t="s">
        <v>381</v>
      </c>
      <c r="C74" s="251" t="s">
        <v>381</v>
      </c>
      <c r="D74" s="251"/>
      <c r="E74" s="251" t="s">
        <v>381</v>
      </c>
    </row>
    <row r="75" spans="2:5" s="5" customFormat="1" ht="45" customHeight="1" x14ac:dyDescent="0.25">
      <c r="B75" s="251" t="s">
        <v>381</v>
      </c>
      <c r="C75" s="251" t="s">
        <v>381</v>
      </c>
      <c r="D75" s="251"/>
      <c r="E75" s="251" t="s">
        <v>381</v>
      </c>
    </row>
    <row r="76" spans="2:5" s="5" customFormat="1" ht="45" customHeight="1" x14ac:dyDescent="0.25">
      <c r="B76" s="251" t="s">
        <v>381</v>
      </c>
      <c r="C76" s="251" t="s">
        <v>381</v>
      </c>
      <c r="D76" s="251"/>
      <c r="E76" s="251" t="s">
        <v>381</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2026-08-26T16:25:10Z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