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nu.com\data\SharedData\Estimating-R\10) EES Projects (PROD)\Capital Program-Project\21334\Hyde Park BESS\1) Estimate Summary Form\"/>
    </mc:Choice>
  </mc:AlternateContent>
  <xr:revisionPtr revIDLastSave="0" documentId="13_ncr:1_{1ED55870-58AE-4172-BCCC-6F3367D18C9D}" xr6:coauthVersionLast="36" xr6:coauthVersionMax="36" xr10:uidLastSave="{00000000-0000-0000-0000-000000000000}"/>
  <bookViews>
    <workbookView xWindow="-38535" yWindow="0" windowWidth="38610" windowHeight="9375" tabRatio="916" firstSheet="1" activeTab="2" xr2:uid="{00000000-000D-0000-FFFF-FFFF00000000}"/>
  </bookViews>
  <sheets>
    <sheet name="Table of contents" sheetId="11" state="hidden" r:id="rId1"/>
    <sheet name="Scope and Clarifications" sheetId="41" r:id="rId2"/>
    <sheet name="Overview" sheetId="3" r:id="rId3"/>
    <sheet name="Summary" sheetId="5" r:id="rId4"/>
    <sheet name="Schedule" sheetId="22" r:id="rId5"/>
    <sheet name="Bid" sheetId="45" state="hidden" r:id="rId6"/>
    <sheet name="Risk" sheetId="37" r:id="rId7"/>
    <sheet name="Item" sheetId="38" r:id="rId8"/>
    <sheet name="PAF" sheetId="29" r:id="rId9"/>
    <sheet name="PP4" sheetId="34" r:id="rId10"/>
    <sheet name="Delta" sheetId="36" state="hidden" r:id="rId11"/>
    <sheet name="Unit Comparison" sheetId="30" state="hidden" r:id="rId12"/>
    <sheet name="Data check" sheetId="33" state="hidden" r:id="rId13"/>
  </sheets>
  <functionGroups builtInGroupCount="19"/>
  <definedNames>
    <definedName name="_Revision" comment="Update this value for any change regardless of whether it breaks code.">"11"</definedName>
    <definedName name="_Version" comment="Update this value if the workbook is updated in a way that breaks the code.  If changes are made that don't break code update the value of the _Revision  name.">"1.3"</definedName>
    <definedName name="_xlnm.Print_Area" localSheetId="12">'Data check'!$A$1:$G$9</definedName>
    <definedName name="_xlnm.Print_Area" localSheetId="2">Overview!$A$1:$H$44</definedName>
    <definedName name="_xlnm.Print_Area" localSheetId="1">'Scope and Clarifications'!$A$2:$E$44</definedName>
    <definedName name="_xlnm.Print_Area" localSheetId="0">'Table of contents'!$B$1:$B$47</definedName>
    <definedName name="rngActualTotalCost" localSheetId="5">Bid!$E:$E</definedName>
    <definedName name="rngActualTotalCost" localSheetId="4">Schedule!$E:$E</definedName>
    <definedName name="rngBodySection" localSheetId="5">Bid!$3:$31</definedName>
    <definedName name="rngBodySection" localSheetId="10">Delta!$3:$118</definedName>
    <definedName name="rngBodySection" localSheetId="7">Item!$3:$274</definedName>
    <definedName name="rngBodySection" localSheetId="8">PAF!$34:$83</definedName>
    <definedName name="rngBodySection" localSheetId="6">Risk!$3:$21</definedName>
    <definedName name="rngBodySection" localSheetId="4">Schedule!$3:$355</definedName>
    <definedName name="rngBodySection" localSheetId="1">'Scope and Clarifications'!$17:$44</definedName>
    <definedName name="rngBodySection" localSheetId="3">Summary!$3:$355</definedName>
    <definedName name="rngConvertToValues" localSheetId="10">Delta!$D$3:$D$118,Delta!$E$2,Delta!$E$119</definedName>
    <definedName name="rngConvertToValues" localSheetId="11">'Unit Comparison'!$G$8:$G$31</definedName>
    <definedName name="rngCostSection" localSheetId="10">Delta!$E:$J</definedName>
    <definedName name="rngCostSection" localSheetId="7">Item!$F:$F</definedName>
    <definedName name="rngCostSection" localSheetId="6">Risk!$D:$D</definedName>
    <definedName name="rngCostSection" localSheetId="3">Summary!$F:$K</definedName>
    <definedName name="rngDeleteRows_Portfolio" localSheetId="12">'Data check'!$12:$14,'Data check'!$15:$18</definedName>
    <definedName name="rngDeleteRows_Portfolio" localSheetId="0">'Table of contents'!$7:$7,'Table of contents'!$8:$8,'Table of contents'!$13:$16</definedName>
    <definedName name="rngDERTaxRows" localSheetId="2">Overview!$35:$36</definedName>
    <definedName name="rngDetailedCostSummary" localSheetId="9">'PP4'!$D$18:$M$21</definedName>
    <definedName name="rngEscalatedSection" localSheetId="10">Delta!$K:$K</definedName>
    <definedName name="rngEscalatedSection" localSheetId="7">Item!$J:$J</definedName>
    <definedName name="rngEscalatedSection" localSheetId="6">Risk!$E:$E</definedName>
    <definedName name="rngEscalatedSection" localSheetId="3">Summary!$F:$K</definedName>
    <definedName name="rngEscalatedTotalAmount" localSheetId="5">Bid!$D:$D</definedName>
    <definedName name="rngEscalatedTotalAmount" localSheetId="4">Schedule!$D:$D</definedName>
    <definedName name="rngExtendedScheduleSection" localSheetId="8">PAF!$J:$J</definedName>
    <definedName name="rngHiddenColumns" localSheetId="10">Delta!$B:$B</definedName>
    <definedName name="rngHiddenColumns" localSheetId="9">'PP4'!$F:$F,'PP4'!$N:$N</definedName>
    <definedName name="rngID" localSheetId="5">Bid!$B:$B</definedName>
    <definedName name="rngID" localSheetId="10">Delta!$C:$C</definedName>
    <definedName name="rngID" localSheetId="7">Item!$B:$B</definedName>
    <definedName name="rngID" localSheetId="6">Risk!$B:$B</definedName>
    <definedName name="rngID" localSheetId="4">Schedule!$B:$B</definedName>
    <definedName name="rngID" localSheetId="3">Summary!$B:$B</definedName>
    <definedName name="rngKeySection" localSheetId="10">Delta!$B:$B</definedName>
    <definedName name="rngLabel" localSheetId="5">Bid!$2:$2</definedName>
    <definedName name="rngLabel" localSheetId="2">Overview!$8:$8</definedName>
    <definedName name="rngLabel" localSheetId="8">PAF!$7:$7</definedName>
    <definedName name="rngLabel" localSheetId="9">'PP4'!$25:$25</definedName>
    <definedName name="rngLabel" localSheetId="4">Schedule!$2:$2</definedName>
    <definedName name="rngLineItemCategoryRows" localSheetId="8">PAF!$28:$28,PAF!$25:$25,PAF!$22:$23,PAF!$9:$20</definedName>
    <definedName name="rngProjectCostSummary" localSheetId="9">'PP4'!$D$7:$E$13</definedName>
    <definedName name="rngProjectDirects" localSheetId="2">Overview!$D$21</definedName>
    <definedName name="rngProjectDirects" localSheetId="9">'PP4'!$H$20</definedName>
    <definedName name="rngProjectName" localSheetId="2">Overview!$C$2</definedName>
    <definedName name="rngProjectName" localSheetId="1">'Scope and Clarifications'!$C$3</definedName>
    <definedName name="rngProjectTotal" localSheetId="5">Bid!$D$32</definedName>
    <definedName name="rngProjectTotal" localSheetId="10">Delta!$E$119</definedName>
    <definedName name="rngProjectTotal" localSheetId="2">Overview!$D$28</definedName>
    <definedName name="rngProjectTotal" localSheetId="8">PAF!$I$32</definedName>
    <definedName name="rngProjectTotal" localSheetId="9">'PP4'!$H$27</definedName>
    <definedName name="rngProjectTotal" localSheetId="4">Schedule!$D$356</definedName>
    <definedName name="rngProjectTotal" localSheetId="3">Summary!$D$356</definedName>
    <definedName name="rngProjectTotalApprovalLevel" localSheetId="2">Overview!$D$26</definedName>
    <definedName name="rngProjectTotalApprovalLevel" localSheetId="8">PAF!$I$27</definedName>
    <definedName name="rngProjectTotalApprovalLevel" localSheetId="9">'PP4'!$G$14</definedName>
    <definedName name="rngProjectTotalApprovalLevel_Delta" localSheetId="12">'Data check'!$C$18</definedName>
    <definedName name="rngProjectTotalApprovalLevel_ScheduleProject" localSheetId="12">'Data check'!$C$14</definedName>
    <definedName name="rngProjectTotalApprovalLevel_SummaryProject" localSheetId="12">'Data check'!$C$13</definedName>
    <definedName name="rngScheduleSection" localSheetId="5">Bid!$F:$H</definedName>
    <definedName name="rngScheduleSection" localSheetId="2">Overview!$G:$H</definedName>
    <definedName name="rngScheduleSection" localSheetId="8">PAF!$E:$G</definedName>
    <definedName name="rngScheduleSection" localSheetId="9">'PP4'!$F:$N</definedName>
    <definedName name="rngScheduleSection" localSheetId="4">Schedule!$F:$H</definedName>
    <definedName name="rngTOC" localSheetId="0">'Table of contents'!$B$7:$C$17</definedName>
    <definedName name="rngTotalAmount" localSheetId="3">Summary!$D:$D</definedName>
    <definedName name="rngTotalColumn" localSheetId="2">Overview!$D:$D</definedName>
    <definedName name="rngUnEscalatedSection" localSheetId="10">Delta!$E:$I</definedName>
    <definedName name="rngUnEscalatedSection" localSheetId="7">Item!$F:$F</definedName>
    <definedName name="rngUnEscalatedSection" localSheetId="6">Risk!$D:$D</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36" l="1"/>
  <c r="E6" i="36"/>
  <c r="E11" i="36"/>
  <c r="E14" i="36"/>
  <c r="E17" i="36"/>
  <c r="E25" i="36"/>
  <c r="E32" i="36"/>
  <c r="E37" i="36"/>
  <c r="E42" i="36"/>
  <c r="E52" i="36"/>
  <c r="E55" i="36"/>
  <c r="E60" i="36"/>
  <c r="E69" i="36"/>
  <c r="E71" i="36"/>
  <c r="E74" i="36"/>
  <c r="E77" i="36"/>
  <c r="E80" i="36"/>
  <c r="E84" i="36"/>
  <c r="E86" i="36"/>
  <c r="E89" i="36"/>
  <c r="E92" i="36"/>
  <c r="E100" i="36"/>
  <c r="E102" i="36"/>
  <c r="E104" i="36"/>
  <c r="E106" i="36"/>
  <c r="E115" i="36"/>
  <c r="E117" i="36"/>
  <c r="J5" i="36"/>
  <c r="J7" i="36"/>
  <c r="J8" i="36"/>
  <c r="J9" i="36"/>
  <c r="J10" i="36"/>
  <c r="J12" i="36"/>
  <c r="J13" i="36"/>
  <c r="J15" i="36"/>
  <c r="J16" i="36"/>
  <c r="J18" i="36"/>
  <c r="J19" i="36"/>
  <c r="J20" i="36"/>
  <c r="J21" i="36"/>
  <c r="J22" i="36"/>
  <c r="J23" i="36"/>
  <c r="J24" i="36"/>
  <c r="J26" i="36"/>
  <c r="J27" i="36"/>
  <c r="J28" i="36"/>
  <c r="J29" i="36"/>
  <c r="J30" i="36"/>
  <c r="J31" i="36"/>
  <c r="J33" i="36"/>
  <c r="J34" i="36"/>
  <c r="J35" i="36"/>
  <c r="J36" i="36"/>
  <c r="J38" i="36"/>
  <c r="J39" i="36"/>
  <c r="J40" i="36"/>
  <c r="J41" i="36"/>
  <c r="J43" i="36"/>
  <c r="J44" i="36"/>
  <c r="J45" i="36"/>
  <c r="J46" i="36"/>
  <c r="J47" i="36"/>
  <c r="J48" i="36"/>
  <c r="J49" i="36"/>
  <c r="J50" i="36"/>
  <c r="J51" i="36"/>
  <c r="J53" i="36"/>
  <c r="J54" i="36"/>
  <c r="J56" i="36"/>
  <c r="J57" i="36"/>
  <c r="J58" i="36"/>
  <c r="J59" i="36"/>
  <c r="J61" i="36"/>
  <c r="J62" i="36"/>
  <c r="J63" i="36"/>
  <c r="J64" i="36"/>
  <c r="J65" i="36"/>
  <c r="J66" i="36"/>
  <c r="J67" i="36"/>
  <c r="J68" i="36"/>
  <c r="J70" i="36"/>
  <c r="J72" i="36"/>
  <c r="J75" i="36"/>
  <c r="J76" i="36"/>
  <c r="J78" i="36"/>
  <c r="J79" i="36"/>
  <c r="J81" i="36"/>
  <c r="J82" i="36"/>
  <c r="J83" i="36"/>
  <c r="J85" i="36"/>
  <c r="J87" i="36"/>
  <c r="J88" i="36"/>
  <c r="J90" i="36"/>
  <c r="J91" i="36"/>
  <c r="J93" i="36"/>
  <c r="J94" i="36"/>
  <c r="J95" i="36"/>
  <c r="J96" i="36"/>
  <c r="J97" i="36"/>
  <c r="J98" i="36"/>
  <c r="J99" i="36"/>
  <c r="J101" i="36"/>
  <c r="J103" i="36"/>
  <c r="J105" i="36"/>
  <c r="J107" i="36"/>
  <c r="J108" i="36"/>
  <c r="J109" i="36"/>
  <c r="J110" i="36"/>
  <c r="J111" i="36"/>
  <c r="J112" i="36"/>
  <c r="J113" i="36"/>
  <c r="J114" i="36"/>
  <c r="J116" i="36"/>
  <c r="J118" i="36"/>
  <c r="E73" i="36" l="1"/>
  <c r="E3" i="36"/>
  <c r="F119" i="36" l="1"/>
  <c r="G119" i="36"/>
  <c r="H119" i="36"/>
  <c r="I119" i="36"/>
  <c r="H30" i="30" l="1"/>
  <c r="H28" i="30"/>
  <c r="H25" i="30"/>
  <c r="E30" i="30"/>
  <c r="E28" i="30"/>
  <c r="E27" i="30"/>
  <c r="E25" i="30"/>
  <c r="E24" i="30"/>
  <c r="E22" i="30"/>
  <c r="E21" i="30"/>
  <c r="E19" i="30"/>
  <c r="E18" i="30"/>
  <c r="E17" i="30"/>
  <c r="E16" i="30"/>
  <c r="E15" i="30"/>
  <c r="E14" i="30"/>
  <c r="E13" i="30"/>
  <c r="E12" i="30"/>
  <c r="E11" i="30"/>
  <c r="E10" i="30"/>
  <c r="E9" i="30"/>
  <c r="E8" i="30"/>
  <c r="D20" i="30"/>
  <c r="D23" i="30" s="1"/>
  <c r="D26" i="30" s="1"/>
  <c r="D29" i="30" s="1"/>
  <c r="D31" i="30" s="1"/>
  <c r="J30" i="30" l="1"/>
  <c r="J25" i="30"/>
  <c r="J28" i="30"/>
  <c r="E20" i="30"/>
  <c r="E23" i="30" s="1"/>
  <c r="E26" i="30" s="1"/>
  <c r="E29" i="30" s="1"/>
  <c r="E31" i="30" s="1"/>
  <c r="H24" i="30" l="1"/>
  <c r="J24" i="30" s="1"/>
  <c r="H22" i="30"/>
  <c r="J22" i="30" s="1"/>
  <c r="H21" i="30"/>
  <c r="J21" i="30" s="1"/>
  <c r="H12" i="30" l="1"/>
  <c r="J12" i="30" s="1"/>
  <c r="H16" i="30"/>
  <c r="J16" i="30" s="1"/>
  <c r="H15" i="30"/>
  <c r="J15" i="30" s="1"/>
  <c r="H18" i="30"/>
  <c r="J18" i="30" s="1"/>
  <c r="H13" i="30"/>
  <c r="J13" i="30" s="1"/>
  <c r="H10" i="30"/>
  <c r="J10" i="30" s="1"/>
  <c r="H14" i="30"/>
  <c r="J14" i="30" s="1"/>
  <c r="H17" i="30"/>
  <c r="J17" i="30" s="1"/>
  <c r="H9" i="30"/>
  <c r="J9" i="30" s="1"/>
  <c r="H11" i="30"/>
  <c r="J11" i="30" s="1"/>
  <c r="H19" i="30"/>
  <c r="J19" i="30" s="1"/>
  <c r="H27" i="30" l="1"/>
  <c r="J27" i="30" l="1"/>
  <c r="H8" i="30" l="1"/>
  <c r="H20" i="30" l="1"/>
  <c r="H23" i="30" s="1"/>
  <c r="H26" i="30" s="1"/>
  <c r="H29" i="30" s="1"/>
  <c r="H31" i="30" s="1"/>
  <c r="J8" i="30"/>
  <c r="J20" i="30" s="1"/>
  <c r="J23" i="30" s="1"/>
  <c r="J26" i="30" s="1"/>
  <c r="J29" i="30" s="1"/>
  <c r="J31" i="30" s="1"/>
</calcChain>
</file>

<file path=xl/sharedStrings.xml><?xml version="1.0" encoding="utf-8"?>
<sst xmlns="http://schemas.openxmlformats.org/spreadsheetml/2006/main" count="3423" uniqueCount="900">
  <si>
    <t>Delta</t>
  </si>
  <si>
    <t>Contingency</t>
  </si>
  <si>
    <t>Powered by</t>
  </si>
  <si>
    <t>Description</t>
  </si>
  <si>
    <t>Quantity</t>
  </si>
  <si>
    <t>Unit</t>
  </si>
  <si>
    <t>Labor Amount</t>
  </si>
  <si>
    <t>Material Amount</t>
  </si>
  <si>
    <t>Subcontract Amount</t>
  </si>
  <si>
    <t>Equipment Amount</t>
  </si>
  <si>
    <t>Other Amount</t>
  </si>
  <si>
    <t>Total
Amount</t>
  </si>
  <si>
    <t>ROW / Easements / Land purchases</t>
  </si>
  <si>
    <t>Environmental Approvals / Permits</t>
  </si>
  <si>
    <t>Siting Approvals / Permits</t>
  </si>
  <si>
    <t>Engineering / Design</t>
  </si>
  <si>
    <t>Testing / Commissioning</t>
  </si>
  <si>
    <t>PMT Project Mgmt Team</t>
  </si>
  <si>
    <t>Removals</t>
  </si>
  <si>
    <t>Other</t>
  </si>
  <si>
    <t>Risks</t>
  </si>
  <si>
    <t>Indirects/Overhead</t>
  </si>
  <si>
    <t>AFUDC</t>
  </si>
  <si>
    <t>Project Total - Baseline Budget</t>
  </si>
  <si>
    <t>Reimbursables/Customer Contribution</t>
  </si>
  <si>
    <t>Estimate Range</t>
  </si>
  <si>
    <t>Project no</t>
  </si>
  <si>
    <t>In service date</t>
  </si>
  <si>
    <t>Total</t>
  </si>
  <si>
    <t>Project name</t>
  </si>
  <si>
    <r>
      <t>Escalation</t>
    </r>
    <r>
      <rPr>
        <b/>
        <sz val="11"/>
        <color theme="0" tint="-0.499984740745262"/>
        <rFont val="Calibri"/>
        <family val="2"/>
        <scheme val="minor"/>
      </rPr>
      <t xml:space="preserve"> (included above)</t>
    </r>
  </si>
  <si>
    <t>Low</t>
  </si>
  <si>
    <t>High</t>
  </si>
  <si>
    <t>Expected</t>
  </si>
  <si>
    <t>Metrics</t>
  </si>
  <si>
    <t>Miscellaneous</t>
  </si>
  <si>
    <r>
      <t xml:space="preserve">Materials </t>
    </r>
    <r>
      <rPr>
        <sz val="8"/>
        <color theme="0" tint="-0.499984740745262"/>
        <rFont val="Calibri"/>
        <family val="2"/>
        <scheme val="minor"/>
      </rPr>
      <t>(Eversource purchased)</t>
    </r>
  </si>
  <si>
    <r>
      <t>Construction</t>
    </r>
    <r>
      <rPr>
        <sz val="8"/>
        <color theme="0" tint="-0.499984740745262"/>
        <rFont val="Calibri"/>
        <family val="2"/>
        <scheme val="minor"/>
      </rPr>
      <t xml:space="preserve"> (inc contractor sourced material)</t>
    </r>
  </si>
  <si>
    <t>% Directs</t>
  </si>
  <si>
    <t>% Total</t>
  </si>
  <si>
    <r>
      <t>Project Directs</t>
    </r>
    <r>
      <rPr>
        <b/>
        <sz val="8"/>
        <color theme="0" tint="-0.499984740745262"/>
        <rFont val="Calibri"/>
        <family val="2"/>
        <scheme val="minor"/>
      </rPr>
      <t xml:space="preserve"> (including risks)</t>
    </r>
  </si>
  <si>
    <t>01</t>
  </si>
  <si>
    <t>02</t>
  </si>
  <si>
    <t>03</t>
  </si>
  <si>
    <t>04</t>
  </si>
  <si>
    <t>05</t>
  </si>
  <si>
    <t>06</t>
  </si>
  <si>
    <t>07</t>
  </si>
  <si>
    <t>08</t>
  </si>
  <si>
    <t>09</t>
  </si>
  <si>
    <t>10</t>
  </si>
  <si>
    <t>11</t>
  </si>
  <si>
    <t>12</t>
  </si>
  <si>
    <t>CBS1</t>
  </si>
  <si>
    <t>CBS2</t>
  </si>
  <si>
    <t>CBS4</t>
  </si>
  <si>
    <t>Labor
Hours</t>
  </si>
  <si>
    <t>13</t>
  </si>
  <si>
    <t>14</t>
  </si>
  <si>
    <t>15</t>
  </si>
  <si>
    <t>16</t>
  </si>
  <si>
    <t>Grand Total</t>
  </si>
  <si>
    <t>Level</t>
  </si>
  <si>
    <t>CBS1 &gt; 2 &gt; 3 &gt; 4</t>
  </si>
  <si>
    <t>Total Amount</t>
  </si>
  <si>
    <t>Summary</t>
  </si>
  <si>
    <t>Return to TOC</t>
  </si>
  <si>
    <t>Construction</t>
  </si>
  <si>
    <t>Overhead</t>
  </si>
  <si>
    <t>Notes</t>
  </si>
  <si>
    <t>Estimate name</t>
  </si>
  <si>
    <t>Business unit</t>
  </si>
  <si>
    <t>Work type</t>
  </si>
  <si>
    <t>Estimate grade</t>
  </si>
  <si>
    <t>DER Tax</t>
  </si>
  <si>
    <t>NA</t>
  </si>
  <si>
    <t>Actuals</t>
  </si>
  <si>
    <t>Unit Comparison</t>
  </si>
  <si>
    <t>From estimate</t>
  </si>
  <si>
    <t>From Summary sheet</t>
  </si>
  <si>
    <t>Variance</t>
  </si>
  <si>
    <t>PAF (dollars in thousands)</t>
  </si>
  <si>
    <t>Line item Category</t>
  </si>
  <si>
    <t>Prior Authorized</t>
  </si>
  <si>
    <t>Actuals to Date</t>
  </si>
  <si>
    <t>to Go</t>
  </si>
  <si>
    <t>1. ROW / Easements / Land purchases</t>
  </si>
  <si>
    <t>2. Environmental Approvals / Permits</t>
  </si>
  <si>
    <t>4. Siting Approvals / Permits</t>
  </si>
  <si>
    <t>5. Engineering / Design</t>
  </si>
  <si>
    <t>8. Testing / Commissioning</t>
  </si>
  <si>
    <t>9. PMT Project Mgmt Team</t>
  </si>
  <si>
    <t>10. Removals</t>
  </si>
  <si>
    <t>12. Risks</t>
  </si>
  <si>
    <t>Project Directs Total w/Risks</t>
  </si>
  <si>
    <t>13. Indirects/Overhead</t>
  </si>
  <si>
    <t>14. AFUDC</t>
  </si>
  <si>
    <t>15. Contingency</t>
  </si>
  <si>
    <t>16. Reimbursables/Customer Contribution</t>
  </si>
  <si>
    <t>Project Total (less reimbursables)</t>
  </si>
  <si>
    <t>Total O&amp;M</t>
  </si>
  <si>
    <t>TOTAL REQUEST</t>
  </si>
  <si>
    <t>Dollars in Thousands</t>
  </si>
  <si>
    <t>Normalized Program Cost</t>
  </si>
  <si>
    <t>Program Unit Cost</t>
  </si>
  <si>
    <t>Estimate Total Cost</t>
  </si>
  <si>
    <t xml:space="preserve">Estimate Unit Cost </t>
  </si>
  <si>
    <t>Location / project number</t>
  </si>
  <si>
    <t>Units</t>
  </si>
  <si>
    <t>Schedule</t>
  </si>
  <si>
    <t>Material</t>
  </si>
  <si>
    <t>2.2 Detailed Cost Summary By Project Element</t>
  </si>
  <si>
    <t>Right of Way</t>
  </si>
  <si>
    <t>Escalation</t>
  </si>
  <si>
    <t>PTF</t>
  </si>
  <si>
    <t>Non-PTF</t>
  </si>
  <si>
    <t>Total Project Cost</t>
  </si>
  <si>
    <t>Eversource Energy</t>
  </si>
  <si>
    <t>Labor and Equipment</t>
  </si>
  <si>
    <t>3.0 Project Milestone Schedule</t>
  </si>
  <si>
    <t>Start</t>
  </si>
  <si>
    <t>Finish</t>
  </si>
  <si>
    <t>Approval and permits</t>
  </si>
  <si>
    <t>Engineering and design</t>
  </si>
  <si>
    <t>Start offset</t>
  </si>
  <si>
    <t>Finish offset</t>
  </si>
  <si>
    <t>Mo count</t>
  </si>
  <si>
    <t>Labor and Equip</t>
  </si>
  <si>
    <t>Eng, Permit, Indirect</t>
  </si>
  <si>
    <t>Engineering, Permit, Indirect</t>
  </si>
  <si>
    <t>¢</t>
  </si>
  <si>
    <t>PTF Total</t>
  </si>
  <si>
    <t>Underground</t>
  </si>
  <si>
    <t>2.1 Project Cost Summary</t>
  </si>
  <si>
    <t>PP4</t>
  </si>
  <si>
    <t>Distribution</t>
  </si>
  <si>
    <t>Station</t>
  </si>
  <si>
    <t>Transmission owner</t>
  </si>
  <si>
    <t>PAF</t>
  </si>
  <si>
    <t>12.02.00.00</t>
  </si>
  <si>
    <t>13.01.00.00</t>
  </si>
  <si>
    <t>13.02.00.00</t>
  </si>
  <si>
    <t>13.03.00.00</t>
  </si>
  <si>
    <t>13.05.00.00</t>
  </si>
  <si>
    <t>13.06.00.00</t>
  </si>
  <si>
    <t>13.08.00.00</t>
  </si>
  <si>
    <t>13.09.00.00</t>
  </si>
  <si>
    <t>13.10.00.00</t>
  </si>
  <si>
    <t>Actual Amount</t>
  </si>
  <si>
    <t>Indirects/Overhead - Non-Productive Time</t>
  </si>
  <si>
    <t>Indirects/Overhead - Payroll Benefits</t>
  </si>
  <si>
    <t>Indirects/Overhead - General Services</t>
  </si>
  <si>
    <t>Indirects/Overhead - E&amp;S Stations</t>
  </si>
  <si>
    <t>Indirects/Overhead - AS&amp;E</t>
  </si>
  <si>
    <t>Indirects/Overhead - Lobby Stock</t>
  </si>
  <si>
    <t>Indirects/Overhead - MDEC</t>
  </si>
  <si>
    <t>Indirects/Overhead - Vehicles</t>
  </si>
  <si>
    <r>
      <t>Project Total</t>
    </r>
    <r>
      <rPr>
        <b/>
        <sz val="8"/>
        <color theme="0" tint="-0.499984740745262"/>
        <rFont val="Calibri"/>
        <family val="2"/>
        <scheme val="minor"/>
      </rPr>
      <t xml:space="preserve"> (less reimbursables)</t>
    </r>
  </si>
  <si>
    <t>Project Total - Approval Level</t>
  </si>
  <si>
    <t>Project estimator</t>
  </si>
  <si>
    <t>Project manager</t>
  </si>
  <si>
    <t>CBS1 &gt; 2</t>
  </si>
  <si>
    <t>Risk - Environmental</t>
  </si>
  <si>
    <t>12.03.00.00</t>
  </si>
  <si>
    <t>Risk - Project Services (SCS)</t>
  </si>
  <si>
    <t>12.05.00.00</t>
  </si>
  <si>
    <t>Risk - Engineering</t>
  </si>
  <si>
    <t>12.07.00.00</t>
  </si>
  <si>
    <t>Risk - Construction</t>
  </si>
  <si>
    <t>Total amount</t>
  </si>
  <si>
    <t>Risk anaysis</t>
  </si>
  <si>
    <t>11.00.00</t>
  </si>
  <si>
    <t>Direct Cost</t>
  </si>
  <si>
    <t>11.00.00.01</t>
  </si>
  <si>
    <t>11.00.00.02</t>
  </si>
  <si>
    <t>11.00.00.03</t>
  </si>
  <si>
    <t>11.00</t>
  </si>
  <si>
    <t>Sequence</t>
  </si>
  <si>
    <t>02.01</t>
  </si>
  <si>
    <t>02.01.00</t>
  </si>
  <si>
    <t>02.01.00.00</t>
  </si>
  <si>
    <t>Eversource Personnel - Environmental Approvals / Permits</t>
  </si>
  <si>
    <t>02.02</t>
  </si>
  <si>
    <t>02.02.00</t>
  </si>
  <si>
    <t>02.02.00.00</t>
  </si>
  <si>
    <t>Contractor Environmental Services / Personnel</t>
  </si>
  <si>
    <t>SCS Outreach</t>
  </si>
  <si>
    <t>03.01</t>
  </si>
  <si>
    <t>03.01.00</t>
  </si>
  <si>
    <t>03.01.00.00</t>
  </si>
  <si>
    <t>Eversource Personnel - SCS</t>
  </si>
  <si>
    <t>03.02</t>
  </si>
  <si>
    <t>03.02.00</t>
  </si>
  <si>
    <t>03.02.00.00</t>
  </si>
  <si>
    <t>Contractor SCS Outreach Services / Personnel</t>
  </si>
  <si>
    <t>04.01</t>
  </si>
  <si>
    <t>04.01.00</t>
  </si>
  <si>
    <t>04.01.00.00</t>
  </si>
  <si>
    <t>Siting Approvals / Permits - Eversource Personnel</t>
  </si>
  <si>
    <t>04.02</t>
  </si>
  <si>
    <t>04.02.00</t>
  </si>
  <si>
    <t>04.02.00.00</t>
  </si>
  <si>
    <t>Siting Approvals / Permits - Contractor Personnel</t>
  </si>
  <si>
    <t>05.02</t>
  </si>
  <si>
    <t>05.02.01</t>
  </si>
  <si>
    <t>05.02.01.00</t>
  </si>
  <si>
    <t>Substation Electrical Engineering / Design - Eversource</t>
  </si>
  <si>
    <t>05.02.02</t>
  </si>
  <si>
    <t>05.02.02.00</t>
  </si>
  <si>
    <t>Substation Electrical Engineering / Design - Contractor</t>
  </si>
  <si>
    <t>05.04</t>
  </si>
  <si>
    <t>05.04.02</t>
  </si>
  <si>
    <t>05.04.02.00</t>
  </si>
  <si>
    <t>P&amp;C Engineering / Design - Eversource</t>
  </si>
  <si>
    <t>05.05</t>
  </si>
  <si>
    <t>05.05.01</t>
  </si>
  <si>
    <t>05.05.01.00</t>
  </si>
  <si>
    <t>SCADA Engineering / Design - Eversource</t>
  </si>
  <si>
    <t>05.06</t>
  </si>
  <si>
    <t>05.06.01</t>
  </si>
  <si>
    <t>05.06.01.00</t>
  </si>
  <si>
    <t>Telcom Engineering / Design - Eversource</t>
  </si>
  <si>
    <t>05.06.02</t>
  </si>
  <si>
    <t>05.06.02.00</t>
  </si>
  <si>
    <t>Equipment /Materials ( Eversource purchased)</t>
  </si>
  <si>
    <t>06.01</t>
  </si>
  <si>
    <t>06.01.05</t>
  </si>
  <si>
    <t>06.01.05.00</t>
  </si>
  <si>
    <t>Structures</t>
  </si>
  <si>
    <t>06.02</t>
  </si>
  <si>
    <t>06.02.01</t>
  </si>
  <si>
    <t>06.02.01.00</t>
  </si>
  <si>
    <t>Breakers</t>
  </si>
  <si>
    <t>06.03</t>
  </si>
  <si>
    <t>06.03.02</t>
  </si>
  <si>
    <t>06.03.02.00</t>
  </si>
  <si>
    <t>Conductor</t>
  </si>
  <si>
    <t>Construction  ( incl matl's by contractors)</t>
  </si>
  <si>
    <t>07.01</t>
  </si>
  <si>
    <t>07.01.02</t>
  </si>
  <si>
    <t>07.01.02.01</t>
  </si>
  <si>
    <t>07.01.04</t>
  </si>
  <si>
    <t>07.01.04.00</t>
  </si>
  <si>
    <t>Mobilization &amp; Demobilization</t>
  </si>
  <si>
    <t>07.02</t>
  </si>
  <si>
    <t>07.02.02</t>
  </si>
  <si>
    <t>07.02.03</t>
  </si>
  <si>
    <t>07.02.03.01</t>
  </si>
  <si>
    <t>07.02.03.02</t>
  </si>
  <si>
    <t>07.03</t>
  </si>
  <si>
    <t>07.03.01</t>
  </si>
  <si>
    <t>07.03.01.01</t>
  </si>
  <si>
    <t>07.03.01.03</t>
  </si>
  <si>
    <t>07.03.01.04</t>
  </si>
  <si>
    <t>07.03.02</t>
  </si>
  <si>
    <t>07.03.02.01</t>
  </si>
  <si>
    <t>08.01</t>
  </si>
  <si>
    <t>08.02</t>
  </si>
  <si>
    <t>08.03</t>
  </si>
  <si>
    <t>08.03.01</t>
  </si>
  <si>
    <t>08.03.01.00</t>
  </si>
  <si>
    <t>Field Communications Internal</t>
  </si>
  <si>
    <t>08.04</t>
  </si>
  <si>
    <t>08.04.02</t>
  </si>
  <si>
    <t>08.04.02.00</t>
  </si>
  <si>
    <t>Telecom Field Engineer Contractor</t>
  </si>
  <si>
    <t>09.01</t>
  </si>
  <si>
    <t>09.01.01</t>
  </si>
  <si>
    <t>09.01.01.00</t>
  </si>
  <si>
    <t>Project Management (PM/APM) - Eversource</t>
  </si>
  <si>
    <t>09.01.02</t>
  </si>
  <si>
    <t>09.01.02.00</t>
  </si>
  <si>
    <t>Project Management (PM/APM) - Contractor</t>
  </si>
  <si>
    <t>09.04</t>
  </si>
  <si>
    <t>09.04.01</t>
  </si>
  <si>
    <t>09.04.01.00</t>
  </si>
  <si>
    <t>System Planning - Eversource</t>
  </si>
  <si>
    <t>09.08</t>
  </si>
  <si>
    <t>09.08.01</t>
  </si>
  <si>
    <t>09.08.01.00</t>
  </si>
  <si>
    <t>Estimating - Eversource</t>
  </si>
  <si>
    <t>09.08.02</t>
  </si>
  <si>
    <t>09.08.02.00</t>
  </si>
  <si>
    <t>Estimating - Contractor</t>
  </si>
  <si>
    <t>09.10</t>
  </si>
  <si>
    <t>09.10.01</t>
  </si>
  <si>
    <t>09.10.01.00</t>
  </si>
  <si>
    <t>Asset Management - Eversource</t>
  </si>
  <si>
    <t>09.11</t>
  </si>
  <si>
    <t>09.11.01</t>
  </si>
  <si>
    <t>09.11.01.00</t>
  </si>
  <si>
    <t>Construction Rep - Eversource</t>
  </si>
  <si>
    <t>09.12</t>
  </si>
  <si>
    <t>09.12.01</t>
  </si>
  <si>
    <t>09.12.01.00</t>
  </si>
  <si>
    <t>Vegetation Management - Eversource</t>
  </si>
  <si>
    <t>01.04</t>
  </si>
  <si>
    <t>ROW / Easements / Land Acquisition</t>
  </si>
  <si>
    <t>01.04.00</t>
  </si>
  <si>
    <t>01.04.00.00</t>
  </si>
  <si>
    <t>02.03.01</t>
  </si>
  <si>
    <t>Legal Services personnel (specific to ENV / Regulatory) - Internal</t>
  </si>
  <si>
    <t>02.03.01.00</t>
  </si>
  <si>
    <t>Legal Services personnel (specific to ENV / Regulatory)</t>
  </si>
  <si>
    <t>02.03</t>
  </si>
  <si>
    <t>02.05</t>
  </si>
  <si>
    <t>Fees</t>
  </si>
  <si>
    <t>02.05.00</t>
  </si>
  <si>
    <t>02.05.00.00</t>
  </si>
  <si>
    <t>Eversource Personnel</t>
  </si>
  <si>
    <t>Contractor Siting Services / Personnel</t>
  </si>
  <si>
    <t>05.01</t>
  </si>
  <si>
    <t>Civil &amp; Structural Engineering / Design</t>
  </si>
  <si>
    <t>Substation Electrical Engineering / Design</t>
  </si>
  <si>
    <t>05.01.01</t>
  </si>
  <si>
    <t>Civil &amp; Structural Engineering / Design - Eversource</t>
  </si>
  <si>
    <t>05.01.01.00</t>
  </si>
  <si>
    <t>05.03</t>
  </si>
  <si>
    <t>Line Engineering / Design - Contractor</t>
  </si>
  <si>
    <t>05.01.02</t>
  </si>
  <si>
    <t>Civil &amp; Structural Engineering / Design - Contractor</t>
  </si>
  <si>
    <t>05.01.02.00</t>
  </si>
  <si>
    <t>P&amp;C Engineering / Design</t>
  </si>
  <si>
    <t>SCADA Engineering / Design</t>
  </si>
  <si>
    <t>Telcom Engineering / Design</t>
  </si>
  <si>
    <t>05.03.01</t>
  </si>
  <si>
    <t>Line Engineering / Design - Eversource</t>
  </si>
  <si>
    <t>05.03.01.00</t>
  </si>
  <si>
    <t>05.07</t>
  </si>
  <si>
    <t>Other Engineering / Design</t>
  </si>
  <si>
    <t>05.04.01</t>
  </si>
  <si>
    <t>05.04.01.00</t>
  </si>
  <si>
    <t>Civil / Structural Materials</t>
  </si>
  <si>
    <t>Substation Materials / Equipment</t>
  </si>
  <si>
    <t>05.05.02</t>
  </si>
  <si>
    <t>SCADA Engineering / Design - Contractor</t>
  </si>
  <si>
    <t>05.05.02.00</t>
  </si>
  <si>
    <t>Line Materials / Equipment</t>
  </si>
  <si>
    <t>06.04</t>
  </si>
  <si>
    <t>P&amp;C Materials / Equipment</t>
  </si>
  <si>
    <t>05.07.01</t>
  </si>
  <si>
    <t>Other Engineering / Design - Eversource</t>
  </si>
  <si>
    <t>05.07.01.00</t>
  </si>
  <si>
    <t>06.06</t>
  </si>
  <si>
    <t>Communications Materials / Equipment</t>
  </si>
  <si>
    <t>06.08</t>
  </si>
  <si>
    <t>Other Materials / Equipment</t>
  </si>
  <si>
    <t>Eversource - General</t>
  </si>
  <si>
    <t>Lines - Overhead Work</t>
  </si>
  <si>
    <t>Substation Electrical Work</t>
  </si>
  <si>
    <t>07.09</t>
  </si>
  <si>
    <t>Substation - Other</t>
  </si>
  <si>
    <t>Testing / Commissioning - LCE</t>
  </si>
  <si>
    <t>Testing / Commissioning -Field Engineering</t>
  </si>
  <si>
    <t>Testing / Commissioning - Field Comm</t>
  </si>
  <si>
    <t>Testing / Commissioning - Telecom Field Engineer</t>
  </si>
  <si>
    <t>Project Management (PM) / (APM)</t>
  </si>
  <si>
    <t>09.02</t>
  </si>
  <si>
    <t>Project Planning/Cost (IP)</t>
  </si>
  <si>
    <t>09.03</t>
  </si>
  <si>
    <t>Contracts/Purchasing (C/P)</t>
  </si>
  <si>
    <t>System Planning</t>
  </si>
  <si>
    <t>06.02.05</t>
  </si>
  <si>
    <t>Transformers</t>
  </si>
  <si>
    <t>06.02.05.00</t>
  </si>
  <si>
    <t>Estimating</t>
  </si>
  <si>
    <t>06.02.08</t>
  </si>
  <si>
    <t>Power Cable</t>
  </si>
  <si>
    <t>06.02.08.00</t>
  </si>
  <si>
    <t>09.09</t>
  </si>
  <si>
    <t>Project Controls</t>
  </si>
  <si>
    <t>06.02.09</t>
  </si>
  <si>
    <t>Switch</t>
  </si>
  <si>
    <t>06.02.09.00</t>
  </si>
  <si>
    <t>Asset Management</t>
  </si>
  <si>
    <t>Construction Reps</t>
  </si>
  <si>
    <t>06.02.99</t>
  </si>
  <si>
    <t>Misc. eqt</t>
  </si>
  <si>
    <t>06.02.99.00</t>
  </si>
  <si>
    <t>Vegetation Management</t>
  </si>
  <si>
    <t>10.01</t>
  </si>
  <si>
    <t>12.02</t>
  </si>
  <si>
    <t>06.04.02</t>
  </si>
  <si>
    <t>Relays &amp; Cabinents</t>
  </si>
  <si>
    <t>12.03</t>
  </si>
  <si>
    <t>06.04.03</t>
  </si>
  <si>
    <t>Control Cable</t>
  </si>
  <si>
    <t>06.04.02.00</t>
  </si>
  <si>
    <t>06.04.03.00</t>
  </si>
  <si>
    <t>12.05</t>
  </si>
  <si>
    <t>06.06.00</t>
  </si>
  <si>
    <t>12.07</t>
  </si>
  <si>
    <t>06.06.00.00</t>
  </si>
  <si>
    <t>06.08.00</t>
  </si>
  <si>
    <t>06.08.01</t>
  </si>
  <si>
    <t>Grounding</t>
  </si>
  <si>
    <t>06.08.00.00</t>
  </si>
  <si>
    <t>07.01.01</t>
  </si>
  <si>
    <t>General Construction</t>
  </si>
  <si>
    <t>06.08.01.00</t>
  </si>
  <si>
    <t>Switching &amp; Tagging</t>
  </si>
  <si>
    <t>07.01.01.00</t>
  </si>
  <si>
    <t>13.01</t>
  </si>
  <si>
    <t>13.02</t>
  </si>
  <si>
    <t>Line Construction - Civil / Drilling / Trenching / Foundations</t>
  </si>
  <si>
    <t>13.03</t>
  </si>
  <si>
    <t>Line Construction - Overhead Tower Construction / Wire Stringing</t>
  </si>
  <si>
    <t>13.05</t>
  </si>
  <si>
    <t>07.02.05</t>
  </si>
  <si>
    <t>Lines - Underground Line Work</t>
  </si>
  <si>
    <t>13.06</t>
  </si>
  <si>
    <t>S/S Construction - Civil / Site Prep / Excavation / Foundation</t>
  </si>
  <si>
    <t>S/S Construction - Electrical constr.</t>
  </si>
  <si>
    <t>13.08</t>
  </si>
  <si>
    <t>07.03.03</t>
  </si>
  <si>
    <t>S/S Construction - P&amp;C</t>
  </si>
  <si>
    <t>13.09</t>
  </si>
  <si>
    <t>07.09.00</t>
  </si>
  <si>
    <t>13.10</t>
  </si>
  <si>
    <t>14.01</t>
  </si>
  <si>
    <t>08.01.02</t>
  </si>
  <si>
    <t>LCE Contractor</t>
  </si>
  <si>
    <t>07.02.02.02</t>
  </si>
  <si>
    <t>08.02.02</t>
  </si>
  <si>
    <t>Field Engineer Contractor</t>
  </si>
  <si>
    <t>Contingency - Other</t>
  </si>
  <si>
    <t>09.02.01</t>
  </si>
  <si>
    <t>Project Planning/Cost (IP) - Eversource</t>
  </si>
  <si>
    <t>07.02.05.02</t>
  </si>
  <si>
    <t>09.03.01</t>
  </si>
  <si>
    <t>Contracts/Purchasing (C/P) - Eversource</t>
  </si>
  <si>
    <t>07.03.01.02</t>
  </si>
  <si>
    <t>09.09.01</t>
  </si>
  <si>
    <t>Project Controls - Eversource</t>
  </si>
  <si>
    <t>07.03.02.04</t>
  </si>
  <si>
    <t>07.03.02.07</t>
  </si>
  <si>
    <t>07.03.02.09</t>
  </si>
  <si>
    <t>07.03.02.10</t>
  </si>
  <si>
    <t>07.03.02.11</t>
  </si>
  <si>
    <t>10.01.00</t>
  </si>
  <si>
    <t>07.03.02.12</t>
  </si>
  <si>
    <t>07.03.02.99</t>
  </si>
  <si>
    <t>12.02.00</t>
  </si>
  <si>
    <t>07.03.03.02</t>
  </si>
  <si>
    <t>12.03.00</t>
  </si>
  <si>
    <t>07.03.03.03</t>
  </si>
  <si>
    <t>07.09.00.00</t>
  </si>
  <si>
    <t>12.05.00</t>
  </si>
  <si>
    <t>12.07.00</t>
  </si>
  <si>
    <t>08.01.02.00</t>
  </si>
  <si>
    <t>08.02.02.00</t>
  </si>
  <si>
    <t>13.01.00</t>
  </si>
  <si>
    <t>13.02.00</t>
  </si>
  <si>
    <t>13.03.00</t>
  </si>
  <si>
    <t>13.05.00</t>
  </si>
  <si>
    <t>13.06.00</t>
  </si>
  <si>
    <t>13.08.00</t>
  </si>
  <si>
    <t>13.09.00</t>
  </si>
  <si>
    <t>09.02.01.00</t>
  </si>
  <si>
    <t>13.10.00</t>
  </si>
  <si>
    <t>14.01.00</t>
  </si>
  <si>
    <t>09.03.01.00</t>
  </si>
  <si>
    <t>09.09.01.00</t>
  </si>
  <si>
    <t>10.01.00.00</t>
  </si>
  <si>
    <t>14.01.00.00</t>
  </si>
  <si>
    <t>Conceptual (-25% to +50%)</t>
  </si>
  <si>
    <t>Click to display sheet</t>
  </si>
  <si>
    <t>Overview</t>
  </si>
  <si>
    <t>Risk mitigation</t>
  </si>
  <si>
    <t>State</t>
  </si>
  <si>
    <t>15.15.00.00</t>
  </si>
  <si>
    <t>Eversource – Taxes</t>
  </si>
  <si>
    <t>15.15</t>
  </si>
  <si>
    <t>15.15.00</t>
  </si>
  <si>
    <t>Ext accuracy</t>
  </si>
  <si>
    <t>Scope and Clarifications</t>
  </si>
  <si>
    <t>Estimate scope</t>
  </si>
  <si>
    <t>Clarifications</t>
  </si>
  <si>
    <t>Project scope</t>
  </si>
  <si>
    <t>Category Type</t>
  </si>
  <si>
    <t>Date of Estimate</t>
  </si>
  <si>
    <t>Work Type</t>
  </si>
  <si>
    <t>Key Qty</t>
  </si>
  <si>
    <t>ISO-NE QP</t>
  </si>
  <si>
    <t>External accuracy</t>
  </si>
  <si>
    <t>Work order</t>
  </si>
  <si>
    <t>Estimate Accuracy</t>
  </si>
  <si>
    <t>Voltage Class</t>
  </si>
  <si>
    <t>Estimate Type</t>
  </si>
  <si>
    <t>Estimator</t>
  </si>
  <si>
    <t>Version number</t>
  </si>
  <si>
    <r>
      <t>Risks &amp; Contingency / Project Total - Approval level</t>
    </r>
    <r>
      <rPr>
        <sz val="6"/>
        <color theme="1"/>
        <rFont val="Calibri"/>
        <family val="2"/>
        <scheme val="minor"/>
      </rPr>
      <t xml:space="preserve"> (less Risks &amp; Contingency)</t>
    </r>
  </si>
  <si>
    <t>Labor</t>
  </si>
  <si>
    <t>Subcontract</t>
  </si>
  <si>
    <t>Equipment</t>
  </si>
  <si>
    <t>Actual</t>
  </si>
  <si>
    <t>Cost type</t>
  </si>
  <si>
    <t>Record type</t>
  </si>
  <si>
    <t>Estimate SOV</t>
  </si>
  <si>
    <t>Actual SOV</t>
  </si>
  <si>
    <t>Plant in service</t>
  </si>
  <si>
    <t>Count</t>
  </si>
  <si>
    <t>Sheet</t>
  </si>
  <si>
    <r>
      <t xml:space="preserve">Total amount
</t>
    </r>
    <r>
      <rPr>
        <sz val="8"/>
        <color theme="1"/>
        <rFont val="Calibri"/>
        <family val="2"/>
        <scheme val="minor"/>
      </rPr>
      <t>(with reimbursables)</t>
    </r>
  </si>
  <si>
    <r>
      <t xml:space="preserve">Count
</t>
    </r>
    <r>
      <rPr>
        <sz val="8"/>
        <color theme="1"/>
        <rFont val="Calibri"/>
        <family val="2"/>
        <scheme val="minor"/>
      </rPr>
      <t>(with Year)</t>
    </r>
  </si>
  <si>
    <r>
      <t xml:space="preserve">Variance
</t>
    </r>
    <r>
      <rPr>
        <sz val="8"/>
        <color theme="1"/>
        <rFont val="Calibri"/>
        <family val="2"/>
        <scheme val="minor"/>
      </rPr>
      <t>(vs Overview)</t>
    </r>
  </si>
  <si>
    <t>* Minor discrepencies likely due to the fact that the Overview sheet is rounded to 000s</t>
  </si>
  <si>
    <t>Project Services</t>
  </si>
  <si>
    <t>Item analysis</t>
  </si>
  <si>
    <t>PAF report</t>
  </si>
  <si>
    <t>PP4 analysis</t>
  </si>
  <si>
    <r>
      <t>Other</t>
    </r>
    <r>
      <rPr>
        <sz val="8"/>
        <color theme="0" tint="-0.499984740745262"/>
        <rFont val="Calibri"/>
        <family val="2"/>
        <scheme val="minor"/>
      </rPr>
      <t xml:space="preserve"> (including CWIP &amp; Taxes)</t>
    </r>
  </si>
  <si>
    <t>3. Project Services</t>
  </si>
  <si>
    <r>
      <t xml:space="preserve">6. Materials </t>
    </r>
    <r>
      <rPr>
        <sz val="8"/>
        <color rgb="FF000000"/>
        <rFont val="Calibri"/>
        <family val="2"/>
        <scheme val="minor"/>
      </rPr>
      <t>(Eversource purchased)</t>
    </r>
  </si>
  <si>
    <r>
      <t>7. Construction</t>
    </r>
    <r>
      <rPr>
        <sz val="8"/>
        <color rgb="FF000000"/>
        <rFont val="Calibri"/>
        <family val="2"/>
        <scheme val="minor"/>
      </rPr>
      <t xml:space="preserve"> (incl contractor sourced material)</t>
    </r>
  </si>
  <si>
    <r>
      <t>11. Other</t>
    </r>
    <r>
      <rPr>
        <sz val="8"/>
        <color rgb="FF000000"/>
        <rFont val="Calibri"/>
        <family val="2"/>
        <scheme val="minor"/>
      </rPr>
      <t xml:space="preserve"> (including CWIP &amp; Taxes)</t>
    </r>
  </si>
  <si>
    <t>Manhours</t>
  </si>
  <si>
    <t>Bid</t>
  </si>
  <si>
    <t>Bid Item</t>
  </si>
  <si>
    <t>C14</t>
  </si>
  <si>
    <t>UG Const Labor (ductbank, Piping, TBF, etc)</t>
  </si>
  <si>
    <t>C17</t>
  </si>
  <si>
    <t>Surveying, Geotechnical Studies, Eng, and Permitting</t>
  </si>
  <si>
    <t>C18</t>
  </si>
  <si>
    <t>Material - Site Work and Below Grade</t>
  </si>
  <si>
    <t>C19</t>
  </si>
  <si>
    <t>Material - Above Grade</t>
  </si>
  <si>
    <t>C20</t>
  </si>
  <si>
    <t>Construction Labor - Below Grade</t>
  </si>
  <si>
    <t>C21</t>
  </si>
  <si>
    <t>Construction Labor - Above Grade</t>
  </si>
  <si>
    <t>C22</t>
  </si>
  <si>
    <t>Substation Testing, Commissioning, Energization</t>
  </si>
  <si>
    <t>C23</t>
  </si>
  <si>
    <t>Administrative &amp; General OH</t>
  </si>
  <si>
    <t>C24</t>
  </si>
  <si>
    <t>Misc &amp; Other Expenses</t>
  </si>
  <si>
    <t>C25</t>
  </si>
  <si>
    <t>OTHER (DO NOT USE)</t>
  </si>
  <si>
    <t>C26</t>
  </si>
  <si>
    <t>C27</t>
  </si>
  <si>
    <t>Overheads</t>
  </si>
  <si>
    <t>Bid analysis</t>
  </si>
  <si>
    <t>Cost/Quantity</t>
  </si>
  <si>
    <t>Hyde Park BESS</t>
  </si>
  <si>
    <t>21334</t>
  </si>
  <si>
    <t>Robert Herman</t>
  </si>
  <si>
    <t>Brian Roche</t>
  </si>
  <si>
    <t>Battery Storage</t>
  </si>
  <si>
    <t/>
  </si>
  <si>
    <t xml:space="preserve">Installation of a 10MW/20MWH utility scale battery storage system (BESS) at 401-403 Cummings Highway near Hyde Park Substation #496 in Hyde Park, Boston MA.
Substation Design to integrate the existing 13.8 kV distribution infrastructure with a new Battery Energy Storage System (BESS) facility. Station 360 will include 4 standalone interconnection breakers, and the BESS system.
</t>
  </si>
  <si>
    <t xml:space="preserve">As this design progresses, modifications may take place that will render this estimate inaccurate.
Battery Energy Storage System (BESS) designed primarily for peak shaving.
The batteries will charge during light-load periods and discharge during peak-load periods to reduce the substation peak demand, with capability to support multi-day peak events. 
Actuals Start Date: 7/2021.
Actuals to Date of: 8/6/2026, $4,298,465.76
ISD: 12/28/28.
Estimate does not include duct bank costs outside of substation.
Labor:
Engineering All Disciplines: Internal oversight with external detail work.
Civil &amp; Electrical Construction: External.
Testing/LCE: External.
As this design progresses, modifications may take place that will render this estimate inaccurate.
Rev 1, Dated 9/1/26, Per project team, increase battery material cost.
Rev 2. Dated 9/9/26, Updated battery cost based on cover agreement dated 12/6/25.
</t>
  </si>
  <si>
    <t>Hyde Park BESS - Sta. 360 - Rev 2</t>
  </si>
  <si>
    <t>Hyde Park BESS - Sta. 496 - Rev 2</t>
  </si>
  <si>
    <t>EM</t>
  </si>
  <si>
    <t>80089926</t>
  </si>
  <si>
    <t>D - (sub 69kV)</t>
  </si>
  <si>
    <t>Battery Storage Facility</t>
  </si>
  <si>
    <t xml:space="preserve">INSTALL:
200'x200' - Develop a New SS Site.
Twelve (12) - Normad Voyager Eagle LFP BESS Systems with 251"x108" Foundation Pads.
Four (4) - 15 kV, Siemens SDV7 Standalone, 1,200-Amps Breaker with Foundations.
Eight (8) - Wooden Riser Poles for Riser Structures.
Four (4) - 3-MVA, 13.8 kV/480 Volt GSUs with Foundations Pads.
Two (2) - Three Phase - 1,500 KVA, 13.8kV/480V, SSVT with Foundation Pads.
One (1) - Three Phase - 125 kVA, 480V-120/208V Dry Type SSVT with Foundation Pad.
Four (4) - Metering Trans-closures.
Various Conduits Runs.
(2,000 LF) - 4/O, 600V, Cable for Connection to the GSU to the BESS.
(2,750 LF) - 250 MCM for the Connection from the Riser Poles to the GSU.
Station Lighting.
(800 LF) - Perimeter Fence.
Two (2) - Vehicle Access Gates.
One (1) - Main Gate.
Ground Grid.
Various Control Cabinets and Control Cables.
Site Preparation:
(2.5 Acres) - Clear and Grub.
(1.75 Acres) - Clear Wooded Area for Access Road.
(760 LF x 20 LF) - Access Road with Curb Cut.
</t>
  </si>
  <si>
    <t>INSTALL:
Four (4) - SEL-351S feeder relays and associated equipment.
Four (4) - SEL-351S transformer relays and associated equipment.
Four (4) - SEL-751 feeder relays and associated equipment.
Four (4) - SEL-751 transformer relays and associated equipment.
Four (4) - SEL-735 transformer relays and associated equipment.
Eight (8) - Relay Plates.
REMOVE:
Four (4) - SEL-551 feeder relays and associated equipment.
Four (4) - SEL-551 transformer relays and associated equipment.
Four (4) - ABB-REF610 feeder relays and associated equipment.
Four (4) - ABB-REF610 transformer relays and associated equipment.</t>
  </si>
  <si>
    <t xml:space="preserve">Site is a former landfill for construction debris and efforts will be made during the design process to limit excavation when possible.
No site conditions poise any challenges for the ground grid.
Soil borings are planned.
Eversource is the owner of the property.
Building construction is not required.
Per project team:
No control house
Breakers, $300k each, include skid, relays, PTs, hook type disconnect switches, DC battery, 
</t>
  </si>
  <si>
    <t xml:space="preserve">Engineering deliverables will include all required protection, control, communication, logic, wiring, and associated design documentation necessary to support relay replacement, installation, testing, and commissioning. Develop SCADA point lists for the RTU (Orion+ or similar) and for the SEL RTAC/AXION devices being used for alarming and as data concentrators. Design transfer trip signaling between Station 496 Hyde Park and the associated feeders at Station 360 using dedicated dark fiber.
</t>
  </si>
  <si>
    <t>Actual Costs to 8/6/26</t>
  </si>
  <si>
    <t>Mhrs from E-23-373 estimate</t>
  </si>
  <si>
    <t>Zoning relief and permits.  City of Boston Article 80 &amp; zoning variance.</t>
  </si>
  <si>
    <t>Permit needed for authorization to construct on closed landfill facility.</t>
  </si>
  <si>
    <t>Disturb greater than 1 acre of land.</t>
  </si>
  <si>
    <t>Tier II reporting for batteries.</t>
  </si>
  <si>
    <t>Samples plus soil management plan needed.</t>
  </si>
  <si>
    <t>Develop plan and inspections are required.</t>
  </si>
  <si>
    <t>Neighborhood is concerned about losing land and visual concerns near shopping plaza.  Screening/buffering likely for abutting residential neighborhood.
Increase traffic concerns.</t>
  </si>
  <si>
    <t>Per estimator</t>
  </si>
  <si>
    <t>Mhrs from E-23-373 estimate Review Hours</t>
  </si>
  <si>
    <t>Mhrs from E-23-373 estimate
SS design, system integration and layout</t>
  </si>
  <si>
    <t>Mhrs from E-23-373 estimate
planning, layout and relay settings</t>
  </si>
  <si>
    <t>Mhrs from E-23-373 estimate
SCADA Settings and layout</t>
  </si>
  <si>
    <t>Mhrs from E-23-373 estimate
Walk down, layout and support.</t>
  </si>
  <si>
    <t>2-1,500 kVA Pad and 1-125kVA Pad</t>
  </si>
  <si>
    <t>Per project team - breaker cost includes, relays, cabinets, DC battery, PTs, hook type switches and skid.
Cost per breaker is $300K per project team.</t>
  </si>
  <si>
    <t>Maximo #534534</t>
  </si>
  <si>
    <t>Cost per estimator</t>
  </si>
  <si>
    <t>Per Estimator - 500LF for each of the 3 SSVT</t>
  </si>
  <si>
    <t>Riser Structure to GSU</t>
  </si>
  <si>
    <t xml:space="preserve">for thee pad mount SSV (9) plus (4 metering transclosure x 6 ea.) = 33
</t>
  </si>
  <si>
    <t>12 runs x 6 terminations/run 
cost on line</t>
  </si>
  <si>
    <t>GSU to BESS cost on line</t>
  </si>
  <si>
    <t>SSVT 2-1500 kVA Pad Trans and one Dry Type - cost on line Wake Forest Aluminum
cost on line</t>
  </si>
  <si>
    <t>Located on breaker skid</t>
  </si>
  <si>
    <t>Cost on line - Per estimator for three SSVTs (9) and PTs (24)
Total 33.</t>
  </si>
  <si>
    <t>OH cable from breaker to wood pole</t>
  </si>
  <si>
    <t>25' x 6 conductors x 2 - OH cable from breaker to wood pole on each side of the breaker</t>
  </si>
  <si>
    <t>Length per Estimator</t>
  </si>
  <si>
    <t>40LF x 12 runs - GSU to Batteries</t>
  </si>
  <si>
    <t>12 runs x 2 sweeps - GSU to Batteries.</t>
  </si>
  <si>
    <t>See cover agreement dated 12/6/25.</t>
  </si>
  <si>
    <t xml:space="preserve">200'x200'
Cost $123,768 Bidder lists dated 7/28/23.
Add 3% per year inflation = $135,244 all ground grid material
</t>
  </si>
  <si>
    <t>20' spacing</t>
  </si>
  <si>
    <t>20'Wx760'</t>
  </si>
  <si>
    <t>Per Constructability Review Form</t>
  </si>
  <si>
    <t>2 ops x 8 hrs/ops x 2 switchers
Interconnection to grid switch time</t>
  </si>
  <si>
    <t>Access Road</t>
  </si>
  <si>
    <t>Cut 2,520 CY of Material</t>
  </si>
  <si>
    <t>210'x210'=44,100SFT/9 = 4,900sy</t>
  </si>
  <si>
    <t>Personnel Gate</t>
  </si>
  <si>
    <t>Generator Step Up Transformer</t>
  </si>
  <si>
    <t>27.25'(W) x 150" (L)</t>
  </si>
  <si>
    <t>Metering</t>
  </si>
  <si>
    <t>Mhrs per estimator</t>
  </si>
  <si>
    <t>Telecommunication</t>
  </si>
  <si>
    <t>220 'x4 runs - Riser poles to GSU</t>
  </si>
  <si>
    <t>200 'x4 runs - Riser poles to Feeder Connections Manholes</t>
  </si>
  <si>
    <t>12 runs x 2 sweeps - GSU to Batteries</t>
  </si>
  <si>
    <t>Cost from E-23-373 estimate = 16,801 mhrs x 50% = 8,400 mhrs</t>
  </si>
  <si>
    <t>200'x200'</t>
  </si>
  <si>
    <t>12 runs x 6 terminations/run</t>
  </si>
  <si>
    <t>GSU to BESS</t>
  </si>
  <si>
    <t>Elect Hook Up - Assume 100 ft direct bury XLP Cable between lights and back to CB Panel</t>
  </si>
  <si>
    <t>Increase traffic during construction.</t>
  </si>
  <si>
    <t>50% mhrs of Field Test Engr.</t>
  </si>
  <si>
    <t>Per Estimator</t>
  </si>
  <si>
    <t>3 days per construction week and 8 hours per week for lead up year plus 40 mhrs close out.
Const: 10 mns x 4.3wks/mn x 24 hrs/wk = 1,032
Up to const: 6 mns x 4.3wks/mn x 8 hrs/wk = 206
40 hrs close out
Total 1,278</t>
  </si>
  <si>
    <t>5 days per construction week and 16 hours per week for lead up year plus 40 mhrs close out.
Const: 10 mns x 4.3wks/mn x 40 hrs/wk = 1,720
Up to const: 6 mns x 4.3wks/mn x 16 hrs/wk = 412
40 hrs close out
Total 2,172</t>
  </si>
  <si>
    <t>per estimator</t>
  </si>
  <si>
    <t>10mns x 4.3wks/mn x 40 mhrs/wk</t>
  </si>
  <si>
    <t>actual input row</t>
  </si>
  <si>
    <t xml:space="preserve">Bar Insurance (Builders all risk coverage), over $50M, for stations 0.7% and Lines 1.5%, of Material, Labor and Equipment.  Risk item BAR Deductibles between $250K and $500K.
$24,798,226 x 0.7% = $173,587
</t>
  </si>
  <si>
    <t>Additional requirements and communication with DEP and review of landfill closure documents.</t>
  </si>
  <si>
    <t>Increase costs for outreach services which can cause delays in schedule.</t>
  </si>
  <si>
    <t>Increase P&amp;C engineering costs due to design changes and failed test results.</t>
  </si>
  <si>
    <t>Increase engineering costs due to design changes and change orders.</t>
  </si>
  <si>
    <t>Bar Insurance deductibles</t>
  </si>
  <si>
    <t xml:space="preserve">Change orders, increase labor and materials costs.
</t>
  </si>
  <si>
    <t xml:space="preserve">Salaries increase yearly or a labor shortage of qualified personnel.  Possible overtime.
</t>
  </si>
  <si>
    <t>Material costs increase especially precious metals and possible tariffs.</t>
  </si>
  <si>
    <t xml:space="preserve">Unforeseen UG facilities not shown on drawings that must be removed or relocated.
</t>
  </si>
  <si>
    <t>Delay in schedule, increase labor costs due to delays in receiving permits.</t>
  </si>
  <si>
    <t>Unexpected remediation needed.</t>
  </si>
  <si>
    <t xml:space="preserve">Delay in schedule due to adverse weather.
</t>
  </si>
  <si>
    <t>20 ops x 8 hrs/ops x 2 switchers</t>
  </si>
  <si>
    <t>SEL-751 8 reloays x 300 mhrs per RRA = 2,400 mhrs
SEL-735 4 reloays x 300 mhrs per RRA = 1,200 mhrs
SEL-351S 8 reloays x 420 mhrs per RRA = 3,360 mhrs
Total = 6,920 mhrs x 75% efficiency = 5,200 mhrs</t>
  </si>
  <si>
    <t xml:space="preserve">4 mns x 4.3 wks/mn x 8 mhrs/wk
</t>
  </si>
  <si>
    <t>2mns x 4.3wks/mn x 40 mhrs/wk</t>
  </si>
  <si>
    <t>10% of install (320 mhrs)</t>
  </si>
  <si>
    <t>50% of install (2.5 mhrs)</t>
  </si>
  <si>
    <t>2 elec x 1 wk x 40 mhrs/wk</t>
  </si>
  <si>
    <t>11.01</t>
  </si>
  <si>
    <t>11.01.00.04</t>
  </si>
  <si>
    <t>11.01.00</t>
  </si>
  <si>
    <t>C04</t>
  </si>
  <si>
    <t>C01</t>
  </si>
  <si>
    <t>C05</t>
  </si>
  <si>
    <t>C09</t>
  </si>
  <si>
    <t>C03</t>
  </si>
  <si>
    <t>Easment Costs</t>
  </si>
  <si>
    <t>Land Costs</t>
  </si>
  <si>
    <t>Enviromental, Eversource</t>
  </si>
  <si>
    <t>City/Municipal Permits (Zoning, Building, etc.)</t>
  </si>
  <si>
    <t>DEP Listed Site - Wast Management</t>
  </si>
  <si>
    <t>eNOI, EPA 2022, Submittal</t>
  </si>
  <si>
    <t>Environmental, Contractor</t>
  </si>
  <si>
    <t>Mass DEP</t>
  </si>
  <si>
    <t>Soil Sampling/Disposal</t>
  </si>
  <si>
    <t>Storm Water Pollution Prevention Plan (SWPPP)</t>
  </si>
  <si>
    <t>Legal, Environmental, Eversource</t>
  </si>
  <si>
    <t>Fees - Environmental Permits - Contractor</t>
  </si>
  <si>
    <t>Project Services (Outreach), Eversource (Actuals input)</t>
  </si>
  <si>
    <t>Project Services (Outreach), Eversource (Manual input)</t>
  </si>
  <si>
    <t>SCS, Internal, Traditional</t>
  </si>
  <si>
    <t>Project Services (Outreach), Contractor (Actuals input)</t>
  </si>
  <si>
    <t>Project Services (Outreach), Contractor (Manual input)</t>
  </si>
  <si>
    <t>SCS, External, Traditional</t>
  </si>
  <si>
    <t>Siting, Eversource (Actuals input)</t>
  </si>
  <si>
    <t>Siting, Eversource (Manual input)</t>
  </si>
  <si>
    <t>Siting, Internal, Application</t>
  </si>
  <si>
    <t>Siting, Contractor (Actuals input)</t>
  </si>
  <si>
    <t>Siting, External, Application</t>
  </si>
  <si>
    <t>Engr. Civil - Eversource - station</t>
  </si>
  <si>
    <t>Engr. Civil - Contractor - station</t>
  </si>
  <si>
    <t>Engr. Station - Eversource</t>
  </si>
  <si>
    <t>Engr. Station - Contractor</t>
  </si>
  <si>
    <t>Engr. Lines D AG - Eversource</t>
  </si>
  <si>
    <t>Engr. P&amp;C - Eversource</t>
  </si>
  <si>
    <t>Engr. P&amp;C - Contractor</t>
  </si>
  <si>
    <t>Engr. SCADA - Eversource</t>
  </si>
  <si>
    <t>Engr. SCADA - Contractor</t>
  </si>
  <si>
    <t>Engr. Telecom - Eversource</t>
  </si>
  <si>
    <t>Engr. Telecom - Contractor</t>
  </si>
  <si>
    <t>Engr. SS Drafting/Project Services - Eversource</t>
  </si>
  <si>
    <t>S.S., 15kV, SSVT Riser .92 tons (Funish)</t>
  </si>
  <si>
    <t>38kV Circuit Breakers SIEMENS SD7-1200 Amps, 15kV, (Furnish)</t>
  </si>
  <si>
    <t>Station Service Transformers Automatic Transfer Switch, 100A, 120/240V, 1 Phase, waterproof enclosure, (Furnish)</t>
  </si>
  <si>
    <t>Station Service Transformers, Three-Phase, 1,500 kVA, 13.8kV-480V, Pad Mount, (Furnish)</t>
  </si>
  <si>
    <t>Station Service Transformers, Three-Phase, 125 kVA, 13.8kV-480V, Pad Mount, (Furnish)</t>
  </si>
  <si>
    <t>Transformer, 13.8kV - 480V, Generator Step-Up (GSU), 3 MVA, Pad Mount, (Furnish)</t>
  </si>
  <si>
    <t>Power Cable 3 Phase 15kV EPR Triplex (Furnish)</t>
  </si>
  <si>
    <t>Power Cable 3 Phase 15kV EPR Triplex (Furnish) - 250 MCM</t>
  </si>
  <si>
    <t>Power Cable, 15 kV Elbow Connectors (Furnish)</t>
  </si>
  <si>
    <t>Power Cable, 250 MCM, 15kV, Terminations (Furnish)</t>
  </si>
  <si>
    <t>Power Cable, 600V, 4/O Cable, 1-Conductor, Insulated, (Furnish) - CU</t>
  </si>
  <si>
    <t>Power Cable, 600V, 4/O Cable, Insulated, (Furnish) Length per Estimator 4 cond. AL</t>
  </si>
  <si>
    <t>Switch, Disconnect, 14.4kV, 3 pole/single throw, 1200 amp (includes Insulators and Manual Operating Mechanism), (Furnish)</t>
  </si>
  <si>
    <t>AC/ DC Distribution Panels, Aux. Power Systems,  (Furnish)</t>
  </si>
  <si>
    <t>Automatic Transfer Switch, 400 amps, 3 Phase, (Furnish)</t>
  </si>
  <si>
    <t>Fuse Cutouts, 15 KV, 1 Phase, (Furnish)</t>
  </si>
  <si>
    <t>Insulators - 15kV, Dead-End Insulators, (Furnish)</t>
  </si>
  <si>
    <t>Misc. Eqt &amp; Construction, Material (Furnish)</t>
  </si>
  <si>
    <t>Wood Poles Distribution  Wood Poles - 45ft, (Furnish)</t>
  </si>
  <si>
    <t>Cable Single Phase/Bare Cable 556 mcm ACSR, (26/7) Dove, (Furnish)</t>
  </si>
  <si>
    <t>Outdoor Metering Transclosure, , (Furnish)</t>
  </si>
  <si>
    <t>Relays, P&amp;C Systems for Batteries, (Furnish)</t>
  </si>
  <si>
    <t>Insulated Control Cable Cable, Control, User Defined, (Furnish)</t>
  </si>
  <si>
    <t>Communications, User Defined, (Furnish)</t>
  </si>
  <si>
    <t>4" Galvanized Rigid Conduit (Furnish)</t>
  </si>
  <si>
    <t>4" GRC 90 Degree Elbow - 36" Sweep (Furnish)</t>
  </si>
  <si>
    <t>Batteries, Nomad Batteries Voyager Eagle LFP BESS System , (Furnish)</t>
  </si>
  <si>
    <t>Grounding Systems, Cable, UG, 4/0 copper, bare, (Furnish)</t>
  </si>
  <si>
    <t>Grounding Systems, Grounding, Conn, Compression, Ground 2-4/0, (Furnish)</t>
  </si>
  <si>
    <t>Grounding Systems, Grounding, Connector, Compression, Ground, C-Tap. , (Furnish)</t>
  </si>
  <si>
    <t>Grounding Systems, Grounding, Connector, Compression, Ground, L-Tap. 4/0 cable to 5/8" Rod, (Furnish)</t>
  </si>
  <si>
    <t>Grounding Systems, Grounding, Ground Rods "5/8 X 8 FT, (Furnish)</t>
  </si>
  <si>
    <t>Grounding Systems, Transformers and Grid, (Furnish)</t>
  </si>
  <si>
    <t>Fire Suppression (Install)</t>
  </si>
  <si>
    <t>Fire Suppresssion (Furnish)</t>
  </si>
  <si>
    <t>Roads, Paving - Gravel Driveway - 20 ft. wide, (Furnish)</t>
  </si>
  <si>
    <t>Roads, Paving - Gravel Driveway - 20 ft. wide, (Install)</t>
  </si>
  <si>
    <t>Soil Borings, (Furnish) - Access Rd,.</t>
  </si>
  <si>
    <t>Soil Borings, (Install)</t>
  </si>
  <si>
    <t>Switching &amp; Tagging (Internal labor)</t>
  </si>
  <si>
    <t>Demobilization</t>
  </si>
  <si>
    <t>Mobilization</t>
  </si>
  <si>
    <t>Soil Borings, (Install) - SS</t>
  </si>
  <si>
    <t>Wood Poles Distribution  Wood Poles - 45ft, (Install)</t>
  </si>
  <si>
    <t>Power Cable 3 Phase 15kV EPR Triplex (Install)</t>
  </si>
  <si>
    <t>Power Cable 3 Phase 15kV EPR Triplex (Install) - 250 MCM</t>
  </si>
  <si>
    <t>Soil Borings, (Furnish) - SS</t>
  </si>
  <si>
    <t>Backfill -  Imported fill, (Install)</t>
  </si>
  <si>
    <t>Backfill - Imported fill, (Furnish)</t>
  </si>
  <si>
    <t>Sitework, Clear &amp; Grub site, (Install)</t>
  </si>
  <si>
    <t>Soil Disposal - Reusable, (Furnish)</t>
  </si>
  <si>
    <t>Soil Disposal - Reusable, (Install)</t>
  </si>
  <si>
    <t>Surfacing, Trap Rock 3/4" - Spread to a depth of 6 Inches (Furnish) - SS Gravel</t>
  </si>
  <si>
    <t>Surfacing, Trap Rock 3/4" - Spread to a depth of 6 Inches (Install) - SS Gravel</t>
  </si>
  <si>
    <t>Fencing, Chain Link Fencing, (Furnish)</t>
  </si>
  <si>
    <t>Fencing, Chain Link Fencing, (Install)</t>
  </si>
  <si>
    <t>Fencing, Gate, manual, (Furnish)</t>
  </si>
  <si>
    <t>Fencing, Gate, manual, (Install)</t>
  </si>
  <si>
    <t>Retaining wall, Formed and poured walls - 14' Tall (Furnish)</t>
  </si>
  <si>
    <t>Retaining wall, Formed and poured walls - 14' Tall (Install)</t>
  </si>
  <si>
    <t>Foundation, 3 MVA Transformer 6.6 CY (Furnish) - GSU</t>
  </si>
  <si>
    <t>Foundation, 3 MVA Transformer 6.6 CY (Install) - GSU</t>
  </si>
  <si>
    <t>Foundation, D station, 251"x108" Pads for Nomad Batteries,  (Furnish)</t>
  </si>
  <si>
    <t>Foundation, D station, 251"x108" Pads for Nomad Batteries,  (Install)</t>
  </si>
  <si>
    <t>Foundation, D station, Conrol/SCADA Outdoor Cabinets.,  (Install)</t>
  </si>
  <si>
    <t>Foundation, D station, Control/SCADA Oudoor Cabinets  (Furnish)</t>
  </si>
  <si>
    <t>Foundation, D station, Transclosure,  (Furnish)</t>
  </si>
  <si>
    <t>Foundation, D station, Transclosure,  (Install)</t>
  </si>
  <si>
    <t>Foundation,15 KV Outdoor 6.81 CY C.B. (Install)</t>
  </si>
  <si>
    <t>Foundation,15 KV Outdoor C.B. 6.81 CY (Furnish)</t>
  </si>
  <si>
    <t>Foundation,15 KV SSVT Pad 4.67 CY (Furnish)</t>
  </si>
  <si>
    <t>Foundation,15 KV SSVT Pad 4.67 CY (Install)</t>
  </si>
  <si>
    <t>S.S., 15kV, SSVT, Riser .92 tons (Install)</t>
  </si>
  <si>
    <t>38kV Circuit Breakers SIEMENS SD7-1200 Amps, 15kV, (Install)</t>
  </si>
  <si>
    <t>Station Service Transformers Automatic Transfer Switch, 100A, 120/240V, 1 Phase, waterproof enclosure, (Install)</t>
  </si>
  <si>
    <t>Switch, Disconnect, 14.4kV, 3 pole/single throw, 1200 amp (includes Insulators and Manual Operating Mechanism), (Install)</t>
  </si>
  <si>
    <t>Station Service Transformers, Three-Phase, 1,500 kVA, 13.8kV-480V, Pad Mount, (Install)</t>
  </si>
  <si>
    <t>Station Service Transformers, Three-Phase, 125 kVA, 13.8kV-480V, Pad Mount, (Install)</t>
  </si>
  <si>
    <t>Transformer, 13.8kV - 480V, Generator Step-Up (GSU), 3 MVA, Pad Mount, (Install)</t>
  </si>
  <si>
    <t>(1) 4" PVC Conduit Conc. Enc, (Furnish) - Length per Estimator</t>
  </si>
  <si>
    <t>(1) 4" PVC Conduit Conc. Enc, (Install) - Length per Estimator</t>
  </si>
  <si>
    <t>Ductbank 2x2 Duct - w/excav &amp; backfill, w/o cable, (Furnish)</t>
  </si>
  <si>
    <t>Ductbank 2x2 Duct - w/excav &amp; backfill, w/o cable, (Furnish) - Length per Estimator</t>
  </si>
  <si>
    <t>Ductbank 2x2 Duct - w/excav &amp; backfill, w/o cable, (Install)</t>
  </si>
  <si>
    <t>Ductbank 2x2 Duct - w/excav &amp; backfill, w/o cable, (Install) - Length per Estimator</t>
  </si>
  <si>
    <t>4" Galvanized Rigid Conduit (Install)</t>
  </si>
  <si>
    <t>4" GRC 90 Degree Elbow - 36" Sweep (Install)</t>
  </si>
  <si>
    <t>Batteries, Nomad Batteries Voyager Eagle LFP BESS System , (Install)</t>
  </si>
  <si>
    <t>Cable Single Phase/Bare Cable 556 mcm ACSR, (26/7) Dove, (Install)</t>
  </si>
  <si>
    <t>Grounding Systems, Cable, UG, 4/0 copper, bare, (Install)</t>
  </si>
  <si>
    <t>Grounding Systems, Grounding, Conn, Compression, Ground 2-4/0, (Install)</t>
  </si>
  <si>
    <t>Grounding Systems, Grounding, Connector, Compression, Ground, C-Tap. , (Install)</t>
  </si>
  <si>
    <t>Grounding Systems, Grounding, Connector, Compression, Ground, L-Tap. 4/0 cable to 5/8" Rod, (Install)</t>
  </si>
  <si>
    <t>Grounding Systems, Grounding, Ground Rods "5/8 X 8 FT, (Install)</t>
  </si>
  <si>
    <t>Grounding Systems, Transformers and Grid, (Install)</t>
  </si>
  <si>
    <t>Insulated Control Cable Cable, Control, User Defined, (Install)</t>
  </si>
  <si>
    <t>Power Cable, 15 kV Elbow Connectors (Install)</t>
  </si>
  <si>
    <t>Power Cable, 250 MCM, 15 kV, Terminations (Install)</t>
  </si>
  <si>
    <t>Power Cable, 600V, 4/O Cable, Insulated, (Install) Length per Estimator 4 cond. AL</t>
  </si>
  <si>
    <t>Power Cable, 600V, 4/O, Cable, 1-Conductor,  Insulated, (Install) - CU</t>
  </si>
  <si>
    <t>AC/ DC Distribution Panels, Aux. Power Systesms,  (Install)</t>
  </si>
  <si>
    <t>Automatic Transfer Switch, 400 amps, 3 Phase, (Install)</t>
  </si>
  <si>
    <t>Fuse Cutouts, 15 KV, 1 Phase, (Install)</t>
  </si>
  <si>
    <t>Insulators - 15kV, Dead-End Insulators, (Install)</t>
  </si>
  <si>
    <t>Switchyard Lighting (Freestanding pole Mnt), Area Light 100 HPS Yard Luminare Complete DTR21.361.0A (Furnish)</t>
  </si>
  <si>
    <t>Switchyard Lighting (Freestanding pole Mnt), Area Light 100 HPS Yard Luminare Complete DTR21.361.0A (Install)</t>
  </si>
  <si>
    <t>Switchyard Lighting (Freestanding pole Mnt), Elect Hook Up - Assume 100 ft direct bury XLP Cable between lights and  to CB Panel (Install)</t>
  </si>
  <si>
    <t>Switchyard Lighting (Freestanding pole Mnt), Elect Hook Up - Assume 100 ft direct bury XLP Cable between lights and to CB Panel (Furnish)</t>
  </si>
  <si>
    <t>Outdoor Metering Transclosure , (Install)</t>
  </si>
  <si>
    <t>Communications, User Defined, (Install)</t>
  </si>
  <si>
    <t>Traffic Control, substation constr., (Furnish)</t>
  </si>
  <si>
    <t>Lead Commissioning Engr. (LCE), Contractor</t>
  </si>
  <si>
    <t>Field Test Engr., Contractor</t>
  </si>
  <si>
    <t>Field Communications (SCADA), Eversource</t>
  </si>
  <si>
    <t>Field Telecom, Contractor</t>
  </si>
  <si>
    <t>Project Manager - Eversource</t>
  </si>
  <si>
    <t>Project Manager, Contractor</t>
  </si>
  <si>
    <t>Project Controls, IP, Eversource</t>
  </si>
  <si>
    <t>Contracts, Eversource</t>
  </si>
  <si>
    <t>Purchasing, Eversource</t>
  </si>
  <si>
    <t>System Planning, Eversource</t>
  </si>
  <si>
    <t>Estimating, Eversource</t>
  </si>
  <si>
    <t>Estimating, Contractor</t>
  </si>
  <si>
    <t>Project Controls, Project Performance, Eversource</t>
  </si>
  <si>
    <t>Project Controls, Scheduling, Eversource</t>
  </si>
  <si>
    <t>Asset Management, Eversource</t>
  </si>
  <si>
    <t>Construction Manager (CR), Eversource</t>
  </si>
  <si>
    <t>Vegetation Mgmt., Eversource</t>
  </si>
  <si>
    <t>Indirect - SUT-Material-External</t>
  </si>
  <si>
    <t>Tax - Property</t>
  </si>
  <si>
    <t>CWIPDistribution</t>
  </si>
  <si>
    <t>BAR Insurance</t>
  </si>
  <si>
    <t>Risk - Additional Outreach</t>
  </si>
  <si>
    <t>Risk - Engineering - Elec. - P&amp;C</t>
  </si>
  <si>
    <t>Risk - Engineering - Elec. - Station</t>
  </si>
  <si>
    <t>Risk - Construction - Bar Insurance</t>
  </si>
  <si>
    <t>Risk - Construction - Design / Scope changes</t>
  </si>
  <si>
    <t>Risk - Construction - Labor costs impact</t>
  </si>
  <si>
    <t>Risk - Construction - Mat'l costs impact</t>
  </si>
  <si>
    <t>Risk - Construction - Potential UG Obstructions</t>
  </si>
  <si>
    <t>Risk - Construction - Siting / Permiting Impacts</t>
  </si>
  <si>
    <t>Risk - Construction - Soil contamination impact</t>
  </si>
  <si>
    <t>Risk - Construction - Weather delays imact</t>
  </si>
  <si>
    <t>Indirect - Non-Productive Basis</t>
  </si>
  <si>
    <t>Indirects - Non-Productive Time (ZNP)</t>
  </si>
  <si>
    <t>Indirect - Payroll Benefit Basis</t>
  </si>
  <si>
    <t>Indirects - Payroll Benefits (ZPB)</t>
  </si>
  <si>
    <t>Indirect - Gen Svc Co OH Basis</t>
  </si>
  <si>
    <t>Indirects - General Services OH (ZGS)</t>
  </si>
  <si>
    <t>Indirect - E&amp;S Station Basis</t>
  </si>
  <si>
    <t>Indirects - E&amp;S Stations</t>
  </si>
  <si>
    <t>Indirect - AS &amp; E Basis</t>
  </si>
  <si>
    <t>Indirects - AS&amp;E (ZAS)</t>
  </si>
  <si>
    <t>Indirect - Lobby Stock Basis</t>
  </si>
  <si>
    <t>Indirects - Lobby Stock</t>
  </si>
  <si>
    <t>Indirect - MDEC Basis</t>
  </si>
  <si>
    <t>Indirects - MDEC (ZMI)</t>
  </si>
  <si>
    <t>Indirect - Vehicles OH Basis</t>
  </si>
  <si>
    <t>Indirects - Vehicles</t>
  </si>
  <si>
    <t>Contingency - General</t>
  </si>
  <si>
    <t>Miscellaneous Cabinet/ Devices Panel Plate Repacments, (Furnish)</t>
  </si>
  <si>
    <t>Relays AAB FT-1 9R Test Device, (Furnish)</t>
  </si>
  <si>
    <t>Relays SEL-351S (Transformer and Feeder Protection), (Furnish)</t>
  </si>
  <si>
    <t>Relays SEL-735 (Transformer Protection), (Furnish)</t>
  </si>
  <si>
    <t>Relays SEL-751 (Transformer and Feeder Protection), (Furnish)</t>
  </si>
  <si>
    <t>Insulated Control Cable Cable, Control, #12 SIS Switchbourd cable , (Furnish)</t>
  </si>
  <si>
    <t>Insulated Control Cable Cable, Control, #14 SIS Switchbourd cable , (Furnish)</t>
  </si>
  <si>
    <t>Insulated Control Cable Cable, Control, Lug, Termination #12-10 AWG , (Furnish)</t>
  </si>
  <si>
    <t>Insulated Control Cable Cable, Control, Lug, Termination #18-14 AWG, (Furnish)</t>
  </si>
  <si>
    <t>Insulated Control Cable Cable, Control, #12 SIS Switchbourd cable , (Install)</t>
  </si>
  <si>
    <t>Insulated Control Cable Cable, Control, #14 SIS Switchbourd cable , (Install)</t>
  </si>
  <si>
    <t>Insulated Control Cable Cable, Control, Lug, Termination #12-10 AWG , (Install)</t>
  </si>
  <si>
    <t>Insulated Control Cable Cable, Control, Lug, Termination #18-14 AWG, (Install)</t>
  </si>
  <si>
    <t>Miscellaneous Cabinet/ Devices Panel Plate Repacments, (Install)</t>
  </si>
  <si>
    <t>Relays AAB FT-1 9R Test Device, (Install)</t>
  </si>
  <si>
    <t>Relays SEL-351S (Transformer and Feeder Protection), (Install)</t>
  </si>
  <si>
    <t>Relays SEL-735 (Transformer Protection), (Install)</t>
  </si>
  <si>
    <t>Relays SEL-751 (Transformer and Feeder Protection), (Install)</t>
  </si>
  <si>
    <t>Removals - Station - ABB-REF610 Relays (Labor)</t>
  </si>
  <si>
    <t>Removals - Station - SEL-551 Relays (Labor)</t>
  </si>
  <si>
    <t>Removals - Station - Test Switches (Labor)</t>
  </si>
  <si>
    <t>Removals - Station - Wiring (Labor)</t>
  </si>
  <si>
    <t>ls</t>
  </si>
  <si>
    <t>mh</t>
  </si>
  <si>
    <t>ea</t>
  </si>
  <si>
    <t>lf</t>
  </si>
  <si>
    <t>cy</t>
  </si>
  <si>
    <t>ac</t>
  </si>
  <si>
    <t>sy</t>
  </si>
  <si>
    <t>2026</t>
  </si>
  <si>
    <t>2027</t>
  </si>
  <si>
    <t>2028</t>
  </si>
  <si>
    <t xml:space="preserve">Cost $68,640 Bidder lists dated 7/28/23.
Add 3% per year inflation = $75,004.78
</t>
  </si>
  <si>
    <t xml:space="preserve">Cost $123,768 Bidder lists dated 7/28/23.
Add 3% per year inflation = $135,244
Minus material only $30,244 of 200'x200' grid
total $105,800
</t>
  </si>
  <si>
    <t xml:space="preserve">Cost $217,733, Bidder lists dated 7/28/23.
Add 3% per year inflation = $237,922
</t>
  </si>
  <si>
    <t xml:space="preserve">Cost $1,278,225, Bidder lists dated 7/28/23.
Add 3% per year inflation = $1,396,750
</t>
  </si>
  <si>
    <t xml:space="preserve">Cost $56,030, Bidder lists dated 7/28/23.
Add 3% per year inflation = $61,225
</t>
  </si>
  <si>
    <t xml:space="preserve">Cost $882,302 Bidder lists dated 7/28/23.
Add 3% per year inflation = $964,116/4 es = $241,029
</t>
  </si>
  <si>
    <t>Mhrs from E-23-373 estimate Review Hours
Evaluation and review of P&amp;C</t>
  </si>
  <si>
    <t>1.00 Station</t>
  </si>
  <si>
    <t>20.00 Relays</t>
  </si>
  <si>
    <t>56,387,200 $/Station</t>
  </si>
  <si>
    <t>362,700 $/Relays</t>
  </si>
  <si>
    <t>And on years</t>
  </si>
  <si>
    <t>££££££¢¢¢¢¢¢</t>
  </si>
  <si>
    <t>¢£££££££££££</t>
  </si>
  <si>
    <t>££¢¢¢¢¢¢¢¢¢¢</t>
  </si>
  <si>
    <t>¢¢¢¢¢¢¢£££££</t>
  </si>
  <si>
    <t>£££££¢¢¢¢¢¢¢</t>
  </si>
  <si>
    <t>¢¢¢¢¢£££££££</t>
  </si>
  <si>
    <t>£¢¢¢¢¢¢¢¢¢¢¢</t>
  </si>
  <si>
    <t xml:space="preserve">Current Project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</si>
</sst>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
    <numFmt numFmtId="167" formatCode="\+0%"/>
    <numFmt numFmtId="168" formatCode="@\ &quot;Amount&quot;"/>
    <numFmt numFmtId="170" formatCode="_(&quot;$&quot;* #,##0_);_(&quot;$&quot;* \(#,##0\);_(&quot;$&quot;* &quot;-&quot;??_);_(@_)"/>
    <numFmt numFmtId="171" formatCode="_(* #,##0.0_);_(* \(#,##0.0\);_(* &quot;-&quot;??_);_(@_)"/>
    <numFmt numFmtId="172" formatCode="&quot;$/&quot;@"/>
    <numFmt numFmtId="173" formatCode="m/d/yy;@"/>
  </numFmts>
  <fonts count="86"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2"/>
      <color theme="1" tint="0.249977111117893"/>
      <name val="Calibri"/>
      <family val="2"/>
      <scheme val="minor"/>
    </font>
    <font>
      <u/>
      <sz val="11"/>
      <color theme="10"/>
      <name val="Calibri"/>
      <family val="2"/>
      <scheme val="minor"/>
    </font>
    <font>
      <sz val="11"/>
      <color theme="1"/>
      <name val="Calibri"/>
      <family val="2"/>
      <scheme val="minor"/>
    </font>
    <font>
      <sz val="10"/>
      <name val="Arial"/>
      <family val="2"/>
    </font>
    <font>
      <sz val="11"/>
      <color theme="1"/>
      <name val="Calibri"/>
      <family val="2"/>
    </font>
    <font>
      <sz val="11"/>
      <color indexed="8"/>
      <name val="Calibri"/>
      <family val="2"/>
    </font>
    <font>
      <sz val="8"/>
      <name val="Verdana"/>
      <family val="2"/>
    </font>
    <font>
      <b/>
      <sz val="10.5"/>
      <color theme="1" tint="0.24994659260841701"/>
      <name val="Calibri"/>
      <family val="2"/>
    </font>
    <font>
      <sz val="10"/>
      <color theme="1"/>
      <name val="Arial"/>
      <family val="2"/>
    </font>
    <font>
      <b/>
      <sz val="10.5"/>
      <color rgb="FF165D8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b/>
      <sz val="11"/>
      <color theme="0"/>
      <name val="Calibri"/>
      <family val="2"/>
      <scheme val="minor"/>
    </font>
    <font>
      <sz val="11"/>
      <color rgb="FFFF0000"/>
      <name val="Calibri"/>
      <family val="2"/>
      <scheme val="minor"/>
    </font>
    <font>
      <sz val="11"/>
      <color theme="0" tint="-0.499984740745262"/>
      <name val="Calibri"/>
      <family val="2"/>
      <scheme val="minor"/>
    </font>
    <font>
      <b/>
      <sz val="11"/>
      <color theme="0" tint="-0.499984740745262"/>
      <name val="Calibri"/>
      <family val="2"/>
      <scheme val="minor"/>
    </font>
    <font>
      <sz val="11"/>
      <color theme="9"/>
      <name val="Calibri"/>
      <family val="2"/>
      <scheme val="minor"/>
    </font>
    <font>
      <sz val="8"/>
      <color theme="0" tint="-0.499984740745262"/>
      <name val="Calibri"/>
      <family val="2"/>
      <scheme val="minor"/>
    </font>
    <font>
      <b/>
      <sz val="8"/>
      <color theme="0" tint="-0.499984740745262"/>
      <name val="Calibri"/>
      <family val="2"/>
      <scheme val="minor"/>
    </font>
    <font>
      <sz val="10"/>
      <color theme="1"/>
      <name val="Calibri"/>
      <family val="2"/>
      <scheme val="minor"/>
    </font>
    <font>
      <sz val="8"/>
      <color theme="1"/>
      <name val="Calibri"/>
      <family val="2"/>
      <scheme val="minor"/>
    </font>
    <font>
      <sz val="11"/>
      <color rgb="FF006100"/>
      <name val="Calibri"/>
      <family val="2"/>
      <scheme val="minor"/>
    </font>
    <font>
      <b/>
      <sz val="10"/>
      <name val="Calibri"/>
      <family val="2"/>
      <scheme val="minor"/>
    </font>
    <font>
      <sz val="10"/>
      <name val="Calibri"/>
      <family val="2"/>
      <scheme val="minor"/>
    </font>
    <font>
      <b/>
      <sz val="1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i/>
      <sz val="11"/>
      <color theme="0" tint="-0.249977111117893"/>
      <name val="Calibri"/>
      <family val="2"/>
      <scheme val="minor"/>
    </font>
    <font>
      <sz val="10"/>
      <name val="Courier New"/>
      <family val="3"/>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8"/>
      <color theme="3"/>
      <name val="Calibri Light"/>
      <family val="2"/>
      <scheme val="major"/>
    </font>
    <font>
      <sz val="10"/>
      <name val="Arial Narrow"/>
      <family val="2"/>
    </font>
    <font>
      <i/>
      <sz val="11"/>
      <color theme="0" tint="-0.499984740745262"/>
      <name val="Calibri"/>
      <family val="2"/>
      <scheme val="minor"/>
    </font>
    <font>
      <sz val="11"/>
      <name val="Calibri"/>
      <family val="2"/>
      <scheme val="minor"/>
    </font>
    <font>
      <b/>
      <sz val="11"/>
      <color rgb="FF008080"/>
      <name val="Calibri"/>
      <family val="2"/>
      <scheme val="minor"/>
    </font>
    <font>
      <b/>
      <sz val="8"/>
      <color rgb="FF008080"/>
      <name val="Calibri"/>
      <family val="2"/>
      <scheme val="minor"/>
    </font>
    <font>
      <sz val="11"/>
      <color rgb="FF008080"/>
      <name val="Calibri"/>
      <family val="2"/>
      <scheme val="minor"/>
    </font>
    <font>
      <b/>
      <u/>
      <sz val="11"/>
      <color rgb="FF008080"/>
      <name val="Calibri"/>
      <family val="2"/>
      <scheme val="minor"/>
    </font>
    <font>
      <sz val="11"/>
      <color indexed="8"/>
      <name val="Arial"/>
      <family val="2"/>
    </font>
    <font>
      <b/>
      <sz val="14"/>
      <color indexed="8"/>
      <name val="Arial"/>
      <family val="2"/>
    </font>
    <font>
      <sz val="11"/>
      <color indexed="8"/>
      <name val="Calibri"/>
      <family val="2"/>
      <scheme val="minor"/>
    </font>
    <font>
      <b/>
      <sz val="11"/>
      <color indexed="9"/>
      <name val="Arial"/>
      <family val="2"/>
    </font>
    <font>
      <sz val="6"/>
      <color rgb="FFFF0000"/>
      <name val="Wingdings 2"/>
      <family val="1"/>
      <charset val="2"/>
    </font>
    <font>
      <sz val="11"/>
      <color theme="9"/>
      <name val="Wingdings 2"/>
      <family val="1"/>
      <charset val="2"/>
    </font>
    <font>
      <sz val="11"/>
      <color theme="3"/>
      <name val="Wingdings 2"/>
      <family val="1"/>
      <charset val="2"/>
    </font>
    <font>
      <sz val="11"/>
      <color theme="4"/>
      <name val="Wingdings 2"/>
      <family val="1"/>
      <charset val="2"/>
    </font>
    <font>
      <sz val="11"/>
      <color theme="8"/>
      <name val="Wingdings 2"/>
      <family val="1"/>
      <charset val="2"/>
    </font>
    <font>
      <sz val="11"/>
      <color theme="6"/>
      <name val="Wingdings 2"/>
      <family val="1"/>
      <charset val="2"/>
    </font>
    <font>
      <sz val="11"/>
      <color theme="7"/>
      <name val="Wingdings 2"/>
      <family val="1"/>
      <charset val="2"/>
    </font>
    <font>
      <sz val="11"/>
      <color theme="5"/>
      <name val="Wingdings 2"/>
      <family val="1"/>
      <charset val="2"/>
    </font>
    <font>
      <sz val="6"/>
      <color theme="1"/>
      <name val="Calibri"/>
      <family val="2"/>
      <scheme val="minor"/>
    </font>
    <font>
      <sz val="11"/>
      <color theme="1"/>
      <name val="Calibri"/>
      <family val="2"/>
      <scheme val="minor"/>
    </font>
    <font>
      <i/>
      <sz val="11"/>
      <color theme="1"/>
      <name val="Calibri"/>
      <family val="2"/>
      <scheme val="minor"/>
    </font>
    <font>
      <sz val="8"/>
      <color rgb="FF000000"/>
      <name val="Calibri"/>
      <family val="2"/>
      <scheme val="minor"/>
    </font>
  </fonts>
  <fills count="7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BED7A5"/>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C6EFCE"/>
      </patternFill>
    </fill>
    <fill>
      <patternFill patternType="solid">
        <fgColor rgb="FFFFFFCC"/>
      </patternFill>
    </fill>
    <fill>
      <patternFill patternType="solid">
        <fgColor theme="0" tint="-0.34998626667073579"/>
        <bgColor indexed="64"/>
      </patternFill>
    </fill>
    <fill>
      <patternFill patternType="solid">
        <fgColor theme="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AEEF3"/>
        <bgColor indexed="64"/>
      </patternFill>
    </fill>
    <fill>
      <patternFill patternType="solid">
        <fgColor rgb="FFF2F2F2"/>
        <bgColor indexed="64"/>
      </patternFill>
    </fill>
    <fill>
      <patternFill patternType="solid">
        <fgColor indexed="8"/>
        <bgColor indexed="64"/>
      </patternFill>
    </fill>
    <fill>
      <patternFill patternType="solid">
        <fgColor rgb="FFA6006F"/>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107C10"/>
        <bgColor indexed="64"/>
      </patternFill>
    </fill>
  </fills>
  <borders count="57">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medium">
        <color indexed="64"/>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medium">
        <color theme="0" tint="-0.24994659260841701"/>
      </left>
      <right/>
      <top style="medium">
        <color auto="1"/>
      </top>
      <bottom/>
      <diagonal/>
    </border>
    <border>
      <left/>
      <right style="medium">
        <color theme="0" tint="-0.24994659260841701"/>
      </right>
      <top style="medium">
        <color auto="1"/>
      </top>
      <bottom/>
      <diagonal/>
    </border>
    <border>
      <left style="medium">
        <color theme="0" tint="-0.24994659260841701"/>
      </left>
      <right/>
      <top/>
      <bottom style="medium">
        <color auto="1"/>
      </bottom>
      <diagonal/>
    </border>
    <border>
      <left/>
      <right style="medium">
        <color theme="0" tint="-0.24994659260841701"/>
      </right>
      <top/>
      <bottom style="medium">
        <color auto="1"/>
      </bottom>
      <diagonal/>
    </border>
    <border>
      <left style="thin">
        <color theme="0" tint="-0.24994659260841701"/>
      </left>
      <right style="thin">
        <color theme="0" tint="-0.24994659260841701"/>
      </right>
      <top style="thin">
        <color indexed="64"/>
      </top>
      <bottom/>
      <diagonal/>
    </border>
  </borders>
  <cellStyleXfs count="358">
    <xf numFmtId="0" fontId="0" fillId="0" borderId="0"/>
    <xf numFmtId="0" fontId="3" fillId="0" borderId="0"/>
    <xf numFmtId="0" fontId="5" fillId="0" borderId="0" applyNumberForma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8" fillId="0" borderId="0"/>
    <xf numFmtId="0" fontId="6" fillId="0" borderId="0"/>
    <xf numFmtId="0" fontId="7" fillId="0" borderId="0"/>
    <xf numFmtId="0" fontId="6" fillId="0" borderId="0"/>
    <xf numFmtId="44" fontId="9" fillId="0" borderId="0" applyFont="0" applyFill="0" applyBorder="0" applyAlignment="0" applyProtection="0"/>
    <xf numFmtId="0" fontId="6" fillId="0" borderId="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0" fillId="0" borderId="0"/>
    <xf numFmtId="44" fontId="10" fillId="0" borderId="0" applyFont="0" applyFill="0" applyBorder="0" applyAlignment="0" applyProtection="0"/>
    <xf numFmtId="0" fontId="6" fillId="0" borderId="0"/>
    <xf numFmtId="0" fontId="6" fillId="0" borderId="0"/>
    <xf numFmtId="0" fontId="11" fillId="6" borderId="3"/>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12" fillId="0" borderId="0"/>
    <xf numFmtId="44" fontId="6"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13" fillId="0" borderId="4" applyNumberFormat="0" applyFill="0" applyProtection="0">
      <alignment horizontal="center" vertical="center"/>
    </xf>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3" fillId="0" borderId="4" applyNumberFormat="0" applyFill="0" applyAlignment="0" applyProtection="0"/>
    <xf numFmtId="0" fontId="13" fillId="0" borderId="4" applyNumberFormat="0" applyFill="0" applyAlignment="0" applyProtection="0"/>
    <xf numFmtId="3"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0" fontId="11" fillId="0" borderId="5" applyNumberFormat="0" applyFill="0" applyAlignment="0" applyProtection="0"/>
    <xf numFmtId="0" fontId="11" fillId="0" borderId="5" applyNumberFormat="0" applyFill="0" applyAlignment="0" applyProtection="0"/>
    <xf numFmtId="0" fontId="11" fillId="0" borderId="5">
      <alignment horizontal="right" vertical="center"/>
    </xf>
    <xf numFmtId="3" fontId="11" fillId="6" borderId="5">
      <alignment horizontal="center" vertical="center"/>
    </xf>
    <xf numFmtId="0" fontId="11" fillId="6" borderId="5">
      <alignment horizontal="right" vertical="center"/>
    </xf>
    <xf numFmtId="0" fontId="13" fillId="0" borderId="6">
      <alignment horizontal="left" vertical="center"/>
    </xf>
    <xf numFmtId="0" fontId="13" fillId="0" borderId="7">
      <alignment horizontal="center" vertical="center"/>
    </xf>
    <xf numFmtId="0" fontId="14" fillId="0" borderId="2">
      <alignment horizontal="center" vertical="center"/>
    </xf>
    <xf numFmtId="0" fontId="11" fillId="5" borderId="5"/>
    <xf numFmtId="3" fontId="15" fillId="0" borderId="5"/>
    <xf numFmtId="3" fontId="16" fillId="0" borderId="5"/>
    <xf numFmtId="0" fontId="13" fillId="0" borderId="7">
      <alignment horizontal="left" vertical="top"/>
    </xf>
    <xf numFmtId="0" fontId="17" fillId="0" borderId="5"/>
    <xf numFmtId="0" fontId="13" fillId="0" borderId="7">
      <alignment horizontal="left" vertical="center"/>
    </xf>
    <xf numFmtId="3" fontId="11" fillId="0" borderId="5">
      <alignment horizontal="right" vertical="center"/>
    </xf>
    <xf numFmtId="0" fontId="13" fillId="0" borderId="7">
      <alignment horizontal="right" vertical="center"/>
    </xf>
    <xf numFmtId="0" fontId="11" fillId="0" borderId="2">
      <alignment horizontal="center" vertical="center"/>
    </xf>
    <xf numFmtId="3" fontId="11" fillId="0" borderId="5"/>
    <xf numFmtId="3" fontId="11" fillId="0" borderId="5"/>
    <xf numFmtId="0" fontId="11" fillId="0" borderId="2">
      <alignment horizontal="center" vertical="center" wrapText="1"/>
    </xf>
    <xf numFmtId="0" fontId="18" fillId="0" borderId="2">
      <alignment horizontal="left" vertical="center" indent="1"/>
    </xf>
    <xf numFmtId="0" fontId="19" fillId="0" borderId="5"/>
    <xf numFmtId="0" fontId="13" fillId="0" borderId="6">
      <alignment horizontal="left" vertical="center"/>
    </xf>
    <xf numFmtId="3" fontId="11" fillId="0" borderId="5">
      <alignment horizontal="center" vertical="center"/>
    </xf>
    <xf numFmtId="0" fontId="13" fillId="0" borderId="7">
      <alignment horizontal="center" vertical="center"/>
    </xf>
    <xf numFmtId="0" fontId="13" fillId="0" borderId="7">
      <alignment horizontal="center" vertical="center"/>
    </xf>
    <xf numFmtId="0" fontId="13" fillId="0" borderId="6">
      <alignment horizontal="left" vertical="center"/>
    </xf>
    <xf numFmtId="0" fontId="13" fillId="0" borderId="6">
      <alignment horizontal="left" vertical="center"/>
    </xf>
    <xf numFmtId="0" fontId="20" fillId="0" borderId="5"/>
    <xf numFmtId="43" fontId="6" fillId="0" borderId="0" applyFont="0" applyFill="0" applyBorder="0" applyAlignment="0" applyProtection="0"/>
    <xf numFmtId="0" fontId="7"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0" fontId="6"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0" fontId="6" fillId="0" borderId="0"/>
    <xf numFmtId="0" fontId="43" fillId="18" borderId="20" applyNumberFormat="0" applyAlignment="0" applyProtection="0"/>
    <xf numFmtId="0" fontId="43" fillId="18" borderId="20" applyNumberFormat="0" applyAlignment="0" applyProtection="0"/>
    <xf numFmtId="0" fontId="36" fillId="31" borderId="11" applyNumberFormat="0" applyAlignment="0" applyProtection="0"/>
    <xf numFmtId="0" fontId="30" fillId="9" borderId="0" applyNumberFormat="0" applyBorder="0" applyAlignment="0" applyProtection="0"/>
    <xf numFmtId="0" fontId="43" fillId="18" borderId="11"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5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7" fillId="0" borderId="0"/>
    <xf numFmtId="0" fontId="6" fillId="0" borderId="0"/>
    <xf numFmtId="0" fontId="51" fillId="0" borderId="0"/>
    <xf numFmtId="0" fontId="51"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9" fillId="10" borderId="9" applyNumberFormat="0" applyFon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36" fillId="31"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11" applyNumberForma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43" fillId="18" borderId="20" applyNumberFormat="0" applyAlignment="0" applyProtection="0"/>
    <xf numFmtId="0" fontId="7"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7" fillId="34" borderId="21" applyNumberFormat="0" applyFont="0" applyAlignment="0" applyProtection="0"/>
    <xf numFmtId="0" fontId="43" fillId="18" borderId="20" applyNumberFormat="0" applyAlignment="0" applyProtection="0"/>
    <xf numFmtId="0" fontId="36" fillId="31" borderId="20" applyNumberFormat="0" applyAlignment="0" applyProtection="0"/>
    <xf numFmtId="0" fontId="43" fillId="18"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36" fillId="31" borderId="20" applyNumberFormat="0" applyAlignment="0" applyProtection="0"/>
    <xf numFmtId="0" fontId="43" fillId="18" borderId="20" applyNumberFormat="0" applyAlignment="0" applyProtection="0"/>
    <xf numFmtId="0" fontId="43" fillId="18" borderId="20" applyNumberFormat="0" applyAlignment="0" applyProtection="0"/>
    <xf numFmtId="0" fontId="36" fillId="31"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2" fillId="0" borderId="26" applyNumberFormat="0" applyFill="0" applyAlignment="0" applyProtection="0"/>
    <xf numFmtId="0" fontId="53" fillId="0" borderId="27" applyNumberFormat="0" applyFill="0" applyAlignment="0" applyProtection="0"/>
    <xf numFmtId="0" fontId="54" fillId="0" borderId="28" applyNumberFormat="0" applyFill="0" applyAlignment="0" applyProtection="0"/>
    <xf numFmtId="0" fontId="54" fillId="0" borderId="0" applyNumberFormat="0" applyFill="0" applyBorder="0" applyAlignment="0" applyProtection="0"/>
    <xf numFmtId="0" fontId="30" fillId="9" borderId="0" applyNumberFormat="0" applyBorder="0" applyAlignment="0" applyProtection="0"/>
    <xf numFmtId="0" fontId="55" fillId="36" borderId="0" applyNumberFormat="0" applyBorder="0" applyAlignment="0" applyProtection="0"/>
    <xf numFmtId="0" fontId="56" fillId="37" borderId="0" applyNumberFormat="0" applyBorder="0" applyAlignment="0" applyProtection="0"/>
    <xf numFmtId="0" fontId="57" fillId="38" borderId="29" applyNumberFormat="0" applyAlignment="0" applyProtection="0"/>
    <xf numFmtId="0" fontId="58" fillId="39" borderId="30" applyNumberFormat="0" applyAlignment="0" applyProtection="0"/>
    <xf numFmtId="0" fontId="59" fillId="39" borderId="29" applyNumberFormat="0" applyAlignment="0" applyProtection="0"/>
    <xf numFmtId="0" fontId="60" fillId="0" borderId="31" applyNumberFormat="0" applyFill="0" applyAlignment="0" applyProtection="0"/>
    <xf numFmtId="0" fontId="21" fillId="40" borderId="32" applyNumberFormat="0" applyAlignment="0" applyProtection="0"/>
    <xf numFmtId="0" fontId="22" fillId="0" borderId="0" applyNumberFormat="0" applyFill="0" applyBorder="0" applyAlignment="0" applyProtection="0"/>
    <xf numFmtId="0" fontId="6" fillId="10" borderId="9" applyNumberFormat="0" applyFont="0" applyAlignment="0" applyProtection="0"/>
    <xf numFmtId="0" fontId="61" fillId="0" borderId="0" applyNumberFormat="0" applyFill="0" applyBorder="0" applyAlignment="0" applyProtection="0"/>
    <xf numFmtId="0" fontId="1" fillId="0" borderId="33" applyNumberFormat="0" applyFill="0" applyAlignment="0" applyProtection="0"/>
    <xf numFmtId="0" fontId="2"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6" fillId="62" borderId="0" applyNumberFormat="0" applyBorder="0" applyAlignment="0" applyProtection="0"/>
    <xf numFmtId="0" fontId="6" fillId="63" borderId="0" applyNumberFormat="0" applyBorder="0" applyAlignment="0" applyProtection="0"/>
    <xf numFmtId="0" fontId="2" fillId="64" borderId="0" applyNumberFormat="0" applyBorder="0" applyAlignment="0" applyProtection="0"/>
    <xf numFmtId="0" fontId="62" fillId="0" borderId="0" applyNumberFormat="0" applyFill="0" applyBorder="0" applyAlignment="0" applyProtection="0"/>
    <xf numFmtId="0" fontId="63" fillId="0" borderId="0">
      <alignment vertical="top" wrapText="1"/>
    </xf>
    <xf numFmtId="0" fontId="28" fillId="0" borderId="0"/>
    <xf numFmtId="0" fontId="6" fillId="0" borderId="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0" fontId="83" fillId="0" borderId="0"/>
    <xf numFmtId="0" fontId="6" fillId="0" borderId="0"/>
    <xf numFmtId="0" fontId="3"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56" fillId="37" borderId="0" applyNumberFormat="0" applyBorder="0" applyAlignment="0" applyProtection="0"/>
    <xf numFmtId="0" fontId="6" fillId="10" borderId="9" applyNumberFormat="0" applyFont="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6" fillId="0" borderId="0"/>
  </cellStyleXfs>
  <cellXfs count="254">
    <xf numFmtId="0" fontId="0" fillId="0" borderId="0" xfId="0"/>
    <xf numFmtId="0" fontId="0" fillId="0" borderId="0" xfId="0" applyAlignment="1">
      <alignment horizontal="left" indent="1"/>
    </xf>
    <xf numFmtId="0" fontId="23" fillId="0" borderId="0" xfId="0" applyFont="1" applyAlignment="1">
      <alignment horizontal="right"/>
    </xf>
    <xf numFmtId="0" fontId="1" fillId="0" borderId="0" xfId="0" applyFont="1" applyAlignment="1">
      <alignment horizontal="left" indent="1"/>
    </xf>
    <xf numFmtId="49" fontId="0" fillId="0" borderId="0" xfId="0" applyNumberFormat="1"/>
    <xf numFmtId="0" fontId="0" fillId="0" borderId="0" xfId="0" applyAlignment="1">
      <alignment vertical="top"/>
    </xf>
    <xf numFmtId="0" fontId="0" fillId="0" borderId="0" xfId="0" applyAlignment="1">
      <alignment horizontal="left" vertical="top"/>
    </xf>
    <xf numFmtId="0" fontId="0" fillId="0" borderId="0" xfId="0" applyAlignment="1">
      <alignment wrapText="1"/>
    </xf>
    <xf numFmtId="0" fontId="0" fillId="0" borderId="0" xfId="0" applyAlignment="1">
      <alignment vertical="center"/>
    </xf>
    <xf numFmtId="0" fontId="0" fillId="0" borderId="0" xfId="0" applyAlignment="1">
      <alignment vertical="top" wrapText="1"/>
    </xf>
    <xf numFmtId="0" fontId="0" fillId="11" borderId="1" xfId="0" quotePrefix="1" applyFill="1" applyBorder="1" applyAlignment="1">
      <alignment horizontal="center" vertical="top" wrapText="1"/>
    </xf>
    <xf numFmtId="165" fontId="6" fillId="4" borderId="1" xfId="3" applyNumberFormat="1" applyFont="1" applyFill="1" applyBorder="1" applyAlignment="1">
      <alignment horizontal="center" vertical="top"/>
    </xf>
    <xf numFmtId="165" fontId="0" fillId="7" borderId="1" xfId="3" quotePrefix="1" applyNumberFormat="1" applyFont="1" applyFill="1" applyBorder="1" applyAlignment="1">
      <alignment horizontal="center" vertical="top" wrapText="1"/>
    </xf>
    <xf numFmtId="165" fontId="66" fillId="66" borderId="2" xfId="0" applyNumberFormat="1" applyFont="1" applyFill="1" applyBorder="1" applyAlignment="1">
      <alignment horizontal="right" vertical="top" wrapText="1"/>
    </xf>
    <xf numFmtId="171" fontId="66" fillId="35" borderId="0" xfId="30" applyNumberFormat="1" applyFont="1" applyFill="1" applyBorder="1" applyAlignment="1" applyProtection="1">
      <alignment horizontal="center" vertical="top" wrapText="1"/>
      <protection locked="0"/>
    </xf>
    <xf numFmtId="42" fontId="3" fillId="35" borderId="2" xfId="29" applyNumberFormat="1" applyFont="1" applyFill="1" applyBorder="1" applyAlignment="1" applyProtection="1">
      <alignment horizontal="left" vertical="top" wrapText="1"/>
      <protection locked="0"/>
    </xf>
    <xf numFmtId="0" fontId="0" fillId="35" borderId="2" xfId="28" applyFont="1" applyFill="1" applyBorder="1" applyAlignment="1" applyProtection="1">
      <alignment vertical="top"/>
      <protection locked="0"/>
    </xf>
    <xf numFmtId="0" fontId="0" fillId="35" borderId="2" xfId="28" applyFont="1" applyFill="1" applyBorder="1" applyAlignment="1" applyProtection="1">
      <alignment vertical="top" wrapText="1"/>
      <protection locked="0"/>
    </xf>
    <xf numFmtId="42" fontId="32" fillId="0" borderId="37" xfId="29" applyNumberFormat="1" applyFont="1" applyBorder="1" applyAlignment="1" applyProtection="1">
      <alignment vertical="top"/>
      <protection locked="0"/>
    </xf>
    <xf numFmtId="165" fontId="3" fillId="35" borderId="2" xfId="29" applyNumberFormat="1" applyFont="1" applyFill="1" applyBorder="1" applyAlignment="1" applyProtection="1">
      <alignment horizontal="left" vertical="top" wrapText="1"/>
      <protection locked="0"/>
    </xf>
    <xf numFmtId="165" fontId="32" fillId="0" borderId="37" xfId="29" applyNumberFormat="1" applyFont="1" applyBorder="1" applyAlignment="1" applyProtection="1">
      <alignment vertical="top"/>
      <protection locked="0"/>
    </xf>
    <xf numFmtId="0" fontId="72" fillId="0" borderId="39" xfId="21" applyFont="1" applyBorder="1" applyAlignment="1">
      <alignment horizontal="center" wrapText="1"/>
    </xf>
    <xf numFmtId="0" fontId="71" fillId="0" borderId="0" xfId="21" applyFont="1" applyAlignment="1">
      <alignment horizontal="center" vertical="center"/>
    </xf>
    <xf numFmtId="0" fontId="72" fillId="0" borderId="39" xfId="21" applyFont="1" applyBorder="1" applyAlignment="1">
      <alignment horizontal="right" wrapText="1"/>
    </xf>
    <xf numFmtId="0" fontId="71" fillId="0" borderId="0" xfId="21" applyFont="1" applyAlignment="1">
      <alignment vertical="center"/>
    </xf>
    <xf numFmtId="0" fontId="71" fillId="0" borderId="0" xfId="21" applyFont="1" applyAlignment="1">
      <alignment horizontal="right" vertical="center"/>
    </xf>
    <xf numFmtId="0" fontId="73" fillId="67" borderId="38" xfId="21" applyFont="1" applyFill="1" applyBorder="1" applyAlignment="1">
      <alignment horizontal="centerContinuous" vertical="center"/>
    </xf>
    <xf numFmtId="0" fontId="73" fillId="67" borderId="0" xfId="21" applyFont="1" applyFill="1" applyAlignment="1">
      <alignment horizontal="centerContinuous" vertical="center"/>
    </xf>
    <xf numFmtId="0" fontId="72" fillId="0" borderId="41" xfId="21" applyFont="1" applyBorder="1" applyAlignment="1">
      <alignment horizontal="center" wrapText="1"/>
    </xf>
    <xf numFmtId="0" fontId="26" fillId="0" borderId="0" xfId="28" applyFont="1" applyAlignment="1">
      <alignment horizontal="left" vertical="top" wrapText="1" indent="1"/>
    </xf>
    <xf numFmtId="0" fontId="26" fillId="0" borderId="0" xfId="0" applyFont="1" applyAlignment="1">
      <alignment horizontal="center" vertical="top"/>
    </xf>
    <xf numFmtId="0" fontId="26" fillId="0" borderId="0" xfId="0" applyFont="1" applyAlignment="1">
      <alignment vertical="top"/>
    </xf>
    <xf numFmtId="0" fontId="26" fillId="0" borderId="0" xfId="0" applyFont="1" applyAlignment="1">
      <alignment horizontal="left" vertical="top" indent="1"/>
    </xf>
    <xf numFmtId="0" fontId="26" fillId="0" borderId="0" xfId="28" applyFont="1" applyAlignment="1">
      <alignment horizontal="left" vertical="top" wrapText="1" indent="2"/>
    </xf>
    <xf numFmtId="0" fontId="26" fillId="0" borderId="0" xfId="0" applyFont="1" applyAlignment="1">
      <alignment horizontal="left" vertical="top" indent="2"/>
    </xf>
    <xf numFmtId="173" fontId="68" fillId="0" borderId="2" xfId="29" quotePrefix="1" applyNumberFormat="1" applyFont="1" applyBorder="1" applyAlignment="1">
      <alignment horizontal="center" vertical="center" wrapText="1"/>
    </xf>
    <xf numFmtId="173" fontId="26" fillId="0" borderId="0" xfId="29" quotePrefix="1" applyNumberFormat="1" applyFont="1" applyBorder="1" applyAlignment="1">
      <alignment horizontal="center" vertical="top" wrapText="1"/>
    </xf>
    <xf numFmtId="173" fontId="26" fillId="0" borderId="0" xfId="0" applyNumberFormat="1" applyFont="1" applyAlignment="1">
      <alignment vertical="top"/>
    </xf>
    <xf numFmtId="0" fontId="70" fillId="0" borderId="44" xfId="21" applyFont="1" applyBorder="1" applyAlignment="1">
      <alignment wrapText="1"/>
    </xf>
    <xf numFmtId="0" fontId="70" fillId="0" borderId="45" xfId="21" applyFont="1" applyBorder="1" applyAlignment="1">
      <alignment wrapText="1"/>
    </xf>
    <xf numFmtId="0" fontId="66" fillId="66" borderId="43" xfId="0" applyFont="1" applyFill="1" applyBorder="1" applyAlignment="1">
      <alignment vertical="top" wrapText="1"/>
    </xf>
    <xf numFmtId="0" fontId="3" fillId="0" borderId="46" xfId="28" applyFont="1" applyBorder="1" applyAlignment="1">
      <alignment horizontal="left" vertical="center" wrapText="1" indent="1"/>
    </xf>
    <xf numFmtId="0" fontId="3" fillId="0" borderId="42" xfId="28" applyFont="1" applyBorder="1" applyAlignment="1">
      <alignment horizontal="left" vertical="center" wrapText="1" indent="1"/>
    </xf>
    <xf numFmtId="0" fontId="66" fillId="66" borderId="42" xfId="0" applyFont="1" applyFill="1" applyBorder="1" applyAlignment="1">
      <alignment vertical="top"/>
    </xf>
    <xf numFmtId="0" fontId="75" fillId="0" borderId="48" xfId="28" applyFont="1" applyBorder="1" applyAlignment="1">
      <alignment horizontal="left" vertical="top" wrapText="1"/>
    </xf>
    <xf numFmtId="0" fontId="78" fillId="0" borderId="42" xfId="28" applyFont="1" applyBorder="1" applyAlignment="1">
      <alignment horizontal="left" vertical="top" wrapText="1"/>
    </xf>
    <xf numFmtId="0" fontId="80" fillId="0" borderId="42" xfId="28" applyFont="1" applyBorder="1" applyAlignment="1">
      <alignment horizontal="left" vertical="top" wrapText="1"/>
    </xf>
    <xf numFmtId="0" fontId="79" fillId="0" borderId="42" xfId="28" applyFont="1" applyBorder="1" applyAlignment="1">
      <alignment horizontal="left" vertical="top" wrapText="1"/>
    </xf>
    <xf numFmtId="0" fontId="81" fillId="0" borderId="42" xfId="28" applyFont="1" applyBorder="1" applyAlignment="1">
      <alignment horizontal="left" vertical="top" wrapText="1"/>
    </xf>
    <xf numFmtId="0" fontId="77" fillId="0" borderId="42" xfId="28" applyFont="1" applyBorder="1" applyAlignment="1">
      <alignment horizontal="left" vertical="top" wrapText="1"/>
    </xf>
    <xf numFmtId="0" fontId="76" fillId="0" borderId="42" xfId="28" applyFont="1" applyBorder="1" applyAlignment="1">
      <alignment horizontal="left" vertical="top" wrapText="1"/>
    </xf>
    <xf numFmtId="0" fontId="3" fillId="0" borderId="43" xfId="28" applyFont="1" applyBorder="1" applyAlignment="1">
      <alignment horizontal="left" vertical="top" wrapText="1"/>
    </xf>
    <xf numFmtId="0" fontId="3" fillId="0" borderId="49" xfId="28" applyFont="1" applyBorder="1" applyAlignment="1">
      <alignment horizontal="left" vertical="top" wrapText="1"/>
    </xf>
    <xf numFmtId="0" fontId="3" fillId="0" borderId="47" xfId="28" applyFont="1" applyBorder="1" applyAlignment="1">
      <alignment horizontal="left" vertical="center" wrapText="1"/>
    </xf>
    <xf numFmtId="0" fontId="3" fillId="0" borderId="43" xfId="28" applyFont="1" applyBorder="1" applyAlignment="1">
      <alignment horizontal="left" vertical="center" wrapText="1"/>
    </xf>
    <xf numFmtId="14" fontId="1" fillId="0" borderId="0" xfId="0" applyNumberFormat="1" applyFont="1" applyAlignment="1">
      <alignment horizontal="left" indent="1"/>
    </xf>
    <xf numFmtId="0" fontId="0" fillId="0" borderId="0" xfId="0" applyAlignment="1">
      <alignment horizontal="right"/>
    </xf>
    <xf numFmtId="165" fontId="64" fillId="4" borderId="1" xfId="3" applyNumberFormat="1" applyFont="1" applyFill="1" applyBorder="1" applyAlignment="1">
      <alignment horizontal="center" vertical="top"/>
    </xf>
    <xf numFmtId="0" fontId="0" fillId="3" borderId="1" xfId="0" applyFill="1" applyBorder="1" applyAlignment="1">
      <alignment horizontal="left" vertical="top" indent="1"/>
    </xf>
    <xf numFmtId="43" fontId="1" fillId="35" borderId="25" xfId="3" applyFont="1" applyFill="1" applyBorder="1" applyAlignment="1" applyProtection="1">
      <alignment horizontal="right" wrapText="1"/>
      <protection locked="0"/>
    </xf>
    <xf numFmtId="165" fontId="6" fillId="35" borderId="0" xfId="3" applyNumberFormat="1" applyFont="1" applyFill="1" applyBorder="1" applyAlignment="1" applyProtection="1">
      <alignment horizontal="left" shrinkToFit="1"/>
      <protection locked="0"/>
    </xf>
    <xf numFmtId="0" fontId="6" fillId="35" borderId="0" xfId="3" applyNumberFormat="1" applyFont="1" applyFill="1" applyBorder="1" applyAlignment="1" applyProtection="1">
      <alignment horizontal="left" vertical="top" wrapText="1" shrinkToFit="1"/>
      <protection locked="0"/>
    </xf>
    <xf numFmtId="165" fontId="6" fillId="0" borderId="0" xfId="3" applyNumberFormat="1" applyFont="1" applyFill="1" applyBorder="1" applyAlignment="1" applyProtection="1">
      <alignment horizontal="left" vertical="top" shrinkToFit="1"/>
    </xf>
    <xf numFmtId="165" fontId="6" fillId="35" borderId="50" xfId="3" applyNumberFormat="1" applyFont="1" applyFill="1" applyBorder="1" applyAlignment="1" applyProtection="1">
      <alignment horizontal="left" shrinkToFit="1"/>
      <protection locked="0"/>
    </xf>
    <xf numFmtId="165" fontId="6" fillId="35" borderId="51" xfId="3" applyNumberFormat="1" applyFont="1" applyFill="1" applyBorder="1" applyAlignment="1" applyProtection="1">
      <alignment horizontal="left" shrinkToFit="1"/>
      <protection locked="0"/>
    </xf>
    <xf numFmtId="43" fontId="1" fillId="35" borderId="54" xfId="3" applyFont="1" applyFill="1" applyBorder="1" applyAlignment="1" applyProtection="1">
      <alignment horizontal="right" wrapText="1"/>
      <protection locked="0"/>
    </xf>
    <xf numFmtId="43" fontId="1" fillId="35" borderId="55" xfId="3" applyFont="1" applyFill="1" applyBorder="1" applyAlignment="1" applyProtection="1">
      <alignment horizontal="right" wrapText="1"/>
      <protection locked="0"/>
    </xf>
    <xf numFmtId="0" fontId="0" fillId="0" borderId="0" xfId="0" applyAlignment="1">
      <alignment horizontal="left" vertical="top" indent="1"/>
    </xf>
    <xf numFmtId="165" fontId="0" fillId="4" borderId="1" xfId="3" applyNumberFormat="1" applyFont="1" applyFill="1" applyBorder="1" applyAlignment="1">
      <alignment horizontal="center" vertical="top"/>
    </xf>
    <xf numFmtId="0" fontId="84" fillId="0" borderId="0" xfId="0" applyFont="1" applyAlignment="1">
      <alignment vertical="top"/>
    </xf>
    <xf numFmtId="43" fontId="5" fillId="0" borderId="0" xfId="2" applyNumberFormat="1" applyAlignment="1" applyProtection="1">
      <alignment horizontal="right" vertical="top"/>
    </xf>
    <xf numFmtId="0" fontId="1" fillId="0" borderId="0" xfId="0" applyFont="1" applyAlignment="1">
      <alignment horizontal="left" vertical="top"/>
    </xf>
    <xf numFmtId="0" fontId="23" fillId="0" borderId="0" xfId="0" applyFont="1" applyAlignment="1">
      <alignment horizontal="right" vertical="top"/>
    </xf>
    <xf numFmtId="165" fontId="1" fillId="12" borderId="0" xfId="3" applyNumberFormat="1" applyFont="1" applyFill="1" applyBorder="1" applyAlignment="1" applyProtection="1">
      <alignment vertical="top"/>
    </xf>
    <xf numFmtId="14" fontId="1" fillId="0" borderId="0" xfId="0" applyNumberFormat="1" applyFont="1" applyAlignment="1">
      <alignment horizontal="left" vertical="top"/>
    </xf>
    <xf numFmtId="0" fontId="1" fillId="0" borderId="0" xfId="0" applyFont="1" applyAlignment="1">
      <alignment horizontal="left" vertical="top" wrapText="1"/>
    </xf>
    <xf numFmtId="0" fontId="0" fillId="0" borderId="0" xfId="0" applyAlignment="1">
      <alignment horizontal="centerContinuous" vertical="top" wrapText="1"/>
    </xf>
    <xf numFmtId="49" fontId="2" fillId="0" borderId="0" xfId="0" applyNumberFormat="1" applyFont="1" applyAlignment="1">
      <alignment horizontal="center"/>
    </xf>
    <xf numFmtId="0" fontId="23" fillId="68" borderId="0" xfId="0" applyFont="1" applyFill="1"/>
    <xf numFmtId="0" fontId="33" fillId="0" borderId="5" xfId="0" applyFont="1" applyBorder="1" applyAlignment="1">
      <alignment horizontal="right" wrapText="1"/>
    </xf>
    <xf numFmtId="0" fontId="1" fillId="0" borderId="0" xfId="0" applyFont="1"/>
    <xf numFmtId="0" fontId="1" fillId="0" borderId="0" xfId="0" applyFont="1" applyAlignment="1">
      <alignment horizontal="right" wrapText="1"/>
    </xf>
    <xf numFmtId="0" fontId="24" fillId="0" borderId="0" xfId="0" applyFont="1" applyAlignment="1">
      <alignment horizontal="center" wrapText="1"/>
    </xf>
    <xf numFmtId="165" fontId="65" fillId="0" borderId="5" xfId="3" applyNumberFormat="1" applyFont="1" applyBorder="1" applyProtection="1"/>
    <xf numFmtId="49" fontId="2" fillId="7" borderId="0" xfId="0" applyNumberFormat="1" applyFont="1" applyFill="1" applyAlignment="1">
      <alignment horizontal="center"/>
    </xf>
    <xf numFmtId="165" fontId="0" fillId="0" borderId="0" xfId="3" applyNumberFormat="1" applyFont="1" applyFill="1" applyProtection="1"/>
    <xf numFmtId="164" fontId="23" fillId="0" borderId="0" xfId="4" applyNumberFormat="1" applyFont="1" applyFill="1" applyAlignment="1" applyProtection="1">
      <alignment horizontal="center"/>
    </xf>
    <xf numFmtId="165" fontId="33" fillId="0" borderId="56" xfId="3" applyNumberFormat="1" applyFont="1" applyBorder="1" applyAlignment="1" applyProtection="1">
      <alignment vertical="top"/>
    </xf>
    <xf numFmtId="49" fontId="21" fillId="0" borderId="0" xfId="0" applyNumberFormat="1" applyFont="1" applyAlignment="1">
      <alignment horizontal="center" vertical="top"/>
    </xf>
    <xf numFmtId="0" fontId="1" fillId="0" borderId="8" xfId="0" applyFont="1" applyBorder="1" applyAlignment="1">
      <alignment vertical="top"/>
    </xf>
    <xf numFmtId="165" fontId="1" fillId="0" borderId="8" xfId="3" applyNumberFormat="1" applyFont="1" applyFill="1" applyBorder="1" applyAlignment="1" applyProtection="1">
      <alignment vertical="top"/>
    </xf>
    <xf numFmtId="164" fontId="24" fillId="0" borderId="8" xfId="4" applyNumberFormat="1" applyFont="1" applyFill="1" applyBorder="1" applyAlignment="1" applyProtection="1">
      <alignment horizontal="center" vertical="top"/>
    </xf>
    <xf numFmtId="0" fontId="1" fillId="0" borderId="0" xfId="0" applyFont="1" applyAlignment="1">
      <alignment vertical="top"/>
    </xf>
    <xf numFmtId="0" fontId="0" fillId="0" borderId="5" xfId="0" applyBorder="1"/>
    <xf numFmtId="165" fontId="0" fillId="0" borderId="0" xfId="3" applyNumberFormat="1" applyFont="1" applyProtection="1"/>
    <xf numFmtId="165" fontId="1" fillId="0" borderId="0" xfId="3" applyNumberFormat="1" applyFont="1" applyBorder="1" applyProtection="1"/>
    <xf numFmtId="165" fontId="24" fillId="0" borderId="0" xfId="3" applyNumberFormat="1" applyFont="1" applyBorder="1" applyProtection="1"/>
    <xf numFmtId="10" fontId="0" fillId="0" borderId="5" xfId="4" applyNumberFormat="1" applyFont="1" applyFill="1" applyBorder="1" applyAlignment="1" applyProtection="1">
      <alignment horizontal="right"/>
    </xf>
    <xf numFmtId="10" fontId="0" fillId="0" borderId="0" xfId="4" applyNumberFormat="1" applyFont="1" applyFill="1" applyAlignment="1" applyProtection="1">
      <alignment horizontal="right"/>
    </xf>
    <xf numFmtId="165" fontId="22" fillId="0" borderId="5" xfId="0" applyNumberFormat="1" applyFont="1" applyBorder="1"/>
    <xf numFmtId="0" fontId="22" fillId="0" borderId="0" xfId="0" applyFont="1" applyAlignment="1">
      <alignment horizontal="left" indent="1"/>
    </xf>
    <xf numFmtId="165" fontId="22" fillId="0" borderId="0" xfId="0" applyNumberFormat="1" applyFont="1"/>
    <xf numFmtId="165" fontId="0" fillId="0" borderId="5" xfId="0" applyNumberFormat="1" applyBorder="1"/>
    <xf numFmtId="165" fontId="0" fillId="0" borderId="0" xfId="0" applyNumberFormat="1"/>
    <xf numFmtId="165" fontId="25" fillId="0" borderId="5" xfId="0" applyNumberFormat="1" applyFont="1" applyBorder="1"/>
    <xf numFmtId="0" fontId="25" fillId="0" borderId="0" xfId="0" applyFont="1" applyAlignment="1">
      <alignment horizontal="left" indent="1"/>
    </xf>
    <xf numFmtId="165" fontId="68" fillId="0" borderId="2" xfId="29" applyNumberFormat="1" applyFont="1" applyBorder="1" applyAlignment="1" applyProtection="1">
      <alignment vertical="top" wrapText="1"/>
    </xf>
    <xf numFmtId="165" fontId="66" fillId="0" borderId="2" xfId="29" applyNumberFormat="1" applyFont="1" applyBorder="1" applyAlignment="1" applyProtection="1">
      <alignment vertical="top" wrapText="1"/>
    </xf>
    <xf numFmtId="0" fontId="72" fillId="0" borderId="39" xfId="21" applyFont="1" applyBorder="1" applyAlignment="1">
      <alignment horizontal="right" shrinkToFit="1"/>
    </xf>
    <xf numFmtId="0" fontId="3" fillId="0" borderId="46" xfId="28" applyFont="1" applyBorder="1" applyAlignment="1">
      <alignment horizontal="left" vertical="top" wrapText="1" indent="1"/>
    </xf>
    <xf numFmtId="0" fontId="3" fillId="0" borderId="47" xfId="28" applyFont="1" applyBorder="1" applyAlignment="1">
      <alignment horizontal="left" vertical="top" wrapText="1"/>
    </xf>
    <xf numFmtId="165" fontId="68" fillId="0" borderId="2" xfId="29" applyNumberFormat="1" applyFont="1" applyFill="1" applyBorder="1" applyAlignment="1" applyProtection="1">
      <alignment vertical="top" wrapText="1"/>
    </xf>
    <xf numFmtId="165" fontId="66" fillId="0" borderId="36" xfId="29" applyNumberFormat="1" applyFont="1" applyBorder="1" applyAlignment="1" applyProtection="1">
      <alignment vertical="top" wrapText="1"/>
    </xf>
    <xf numFmtId="0" fontId="3" fillId="0" borderId="42" xfId="28" applyFont="1" applyBorder="1" applyAlignment="1">
      <alignment horizontal="left" vertical="top" wrapText="1" indent="1"/>
    </xf>
    <xf numFmtId="0" fontId="66" fillId="66" borderId="43" xfId="0" applyFont="1" applyFill="1" applyBorder="1" applyAlignment="1">
      <alignment vertical="top"/>
    </xf>
    <xf numFmtId="0" fontId="74" fillId="0" borderId="2" xfId="29" applyNumberFormat="1" applyFont="1" applyBorder="1" applyAlignment="1" applyProtection="1">
      <alignment vertical="center" wrapText="1"/>
    </xf>
    <xf numFmtId="14" fontId="26" fillId="0" borderId="0" xfId="29" quotePrefix="1" applyNumberFormat="1" applyFont="1" applyBorder="1" applyAlignment="1" applyProtection="1">
      <alignment horizontal="center" vertical="top" wrapText="1"/>
    </xf>
    <xf numFmtId="0" fontId="66" fillId="65" borderId="0" xfId="28" applyFont="1" applyFill="1" applyAlignment="1">
      <alignment horizontal="center" vertical="top" wrapText="1"/>
    </xf>
    <xf numFmtId="0" fontId="68" fillId="65" borderId="0" xfId="28" applyFont="1" applyFill="1" applyAlignment="1">
      <alignment horizontal="centerContinuous" vertical="top"/>
    </xf>
    <xf numFmtId="0" fontId="69" fillId="65" borderId="0" xfId="28" applyFont="1" applyFill="1" applyAlignment="1">
      <alignment horizontal="centerContinuous" vertical="top" wrapText="1"/>
    </xf>
    <xf numFmtId="0" fontId="0" fillId="0" borderId="0" xfId="28" applyFont="1" applyAlignment="1">
      <alignment vertical="top"/>
    </xf>
    <xf numFmtId="0" fontId="69" fillId="65" borderId="0" xfId="28" applyFont="1" applyFill="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10" xfId="28" applyFont="1" applyFill="1" applyBorder="1" applyAlignment="1">
      <alignment horizontal="center" vertical="top" wrapText="1"/>
    </xf>
    <xf numFmtId="170" fontId="66" fillId="35" borderId="10" xfId="29" applyNumberFormat="1" applyFont="1" applyFill="1" applyBorder="1" applyAlignment="1" applyProtection="1">
      <alignment horizontal="center" vertical="top" wrapText="1"/>
    </xf>
    <xf numFmtId="49" fontId="66" fillId="35" borderId="10" xfId="29" applyNumberFormat="1" applyFont="1" applyFill="1" applyBorder="1" applyAlignment="1" applyProtection="1">
      <alignment horizontal="center" vertical="top" wrapText="1"/>
    </xf>
    <xf numFmtId="0" fontId="0" fillId="0" borderId="10" xfId="28" applyFont="1" applyBorder="1" applyAlignment="1">
      <alignment vertical="top"/>
    </xf>
    <xf numFmtId="170" fontId="66" fillId="65" borderId="10" xfId="29" applyNumberFormat="1" applyFont="1" applyFill="1" applyBorder="1" applyAlignment="1" applyProtection="1">
      <alignment horizontal="center" vertical="top" wrapText="1"/>
    </xf>
    <xf numFmtId="0" fontId="66" fillId="65" borderId="0" xfId="28" applyFont="1" applyFill="1" applyAlignment="1">
      <alignment horizontal="right" vertical="top" wrapText="1"/>
    </xf>
    <xf numFmtId="171" fontId="66" fillId="65" borderId="0" xfId="30" applyNumberFormat="1" applyFont="1" applyFill="1" applyBorder="1" applyAlignment="1" applyProtection="1">
      <alignment horizontal="center" vertical="top" wrapText="1"/>
    </xf>
    <xf numFmtId="0" fontId="3" fillId="0" borderId="2" xfId="28" applyFont="1" applyBorder="1" applyAlignment="1">
      <alignment horizontal="left" vertical="top" wrapText="1" indent="1"/>
    </xf>
    <xf numFmtId="165" fontId="0" fillId="0" borderId="35" xfId="28" applyNumberFormat="1" applyFont="1" applyBorder="1" applyAlignment="1">
      <alignment vertical="top"/>
    </xf>
    <xf numFmtId="165" fontId="3" fillId="0" borderId="2" xfId="29" applyNumberFormat="1" applyFont="1" applyBorder="1" applyAlignment="1" applyProtection="1">
      <alignment horizontal="left" vertical="top" wrapText="1"/>
    </xf>
    <xf numFmtId="165" fontId="0" fillId="0" borderId="5" xfId="28" applyNumberFormat="1" applyFont="1" applyBorder="1" applyAlignment="1">
      <alignment vertical="top"/>
    </xf>
    <xf numFmtId="0" fontId="66" fillId="66" borderId="2" xfId="28" applyFont="1" applyFill="1" applyBorder="1" applyAlignment="1">
      <alignment vertical="top" wrapText="1"/>
    </xf>
    <xf numFmtId="0" fontId="32" fillId="0" borderId="37" xfId="10" applyFont="1" applyBorder="1" applyAlignment="1">
      <alignment vertical="top"/>
    </xf>
    <xf numFmtId="165" fontId="0" fillId="0" borderId="0" xfId="28" applyNumberFormat="1" applyFont="1" applyAlignment="1">
      <alignment vertical="top"/>
    </xf>
    <xf numFmtId="0" fontId="32" fillId="0" borderId="0" xfId="0" applyFont="1" applyAlignment="1">
      <alignment vertical="top"/>
    </xf>
    <xf numFmtId="165" fontId="68" fillId="0" borderId="2" xfId="0" applyNumberFormat="1" applyFont="1" applyBorder="1" applyAlignment="1">
      <alignment horizontal="right" vertical="top" wrapText="1"/>
    </xf>
    <xf numFmtId="165" fontId="68" fillId="69" borderId="2" xfId="0" applyNumberFormat="1" applyFont="1" applyFill="1" applyBorder="1" applyAlignment="1">
      <alignment horizontal="right" vertical="top" wrapText="1"/>
    </xf>
    <xf numFmtId="0" fontId="3" fillId="0" borderId="2" xfId="0" applyFont="1" applyBorder="1" applyAlignment="1">
      <alignment horizontal="left" vertical="top" wrapText="1" indent="1"/>
    </xf>
    <xf numFmtId="0" fontId="66" fillId="66" borderId="2" xfId="0" applyFont="1" applyFill="1" applyBorder="1" applyAlignment="1">
      <alignment vertical="top" wrapText="1"/>
    </xf>
    <xf numFmtId="0" fontId="32" fillId="0" borderId="0" xfId="10" applyFont="1" applyAlignment="1">
      <alignment vertical="top"/>
    </xf>
    <xf numFmtId="0" fontId="31" fillId="0" borderId="0" xfId="0" applyFont="1" applyAlignment="1">
      <alignment vertical="top"/>
    </xf>
    <xf numFmtId="0" fontId="66" fillId="65" borderId="35" xfId="0" applyFont="1" applyFill="1" applyBorder="1" applyAlignment="1">
      <alignment horizontal="center" vertical="top" wrapText="1"/>
    </xf>
    <xf numFmtId="0" fontId="66" fillId="65" borderId="36" xfId="0" applyFont="1" applyFill="1" applyBorder="1" applyAlignment="1">
      <alignment horizontal="center" vertical="top" wrapText="1"/>
    </xf>
    <xf numFmtId="0" fontId="67" fillId="65" borderId="36" xfId="0" applyFont="1" applyFill="1" applyBorder="1" applyAlignment="1">
      <alignment horizontal="center" vertical="top" wrapText="1"/>
    </xf>
    <xf numFmtId="0" fontId="0" fillId="7" borderId="0" xfId="0" applyFill="1" applyAlignment="1">
      <alignment horizontal="center" vertical="top"/>
    </xf>
    <xf numFmtId="43" fontId="22" fillId="0" borderId="0" xfId="3" applyFont="1" applyAlignment="1" applyProtection="1">
      <alignment vertical="top"/>
    </xf>
    <xf numFmtId="49" fontId="0" fillId="0" borderId="0" xfId="0" applyNumberFormat="1" applyAlignment="1">
      <alignment horizontal="center" vertical="top"/>
    </xf>
    <xf numFmtId="0" fontId="0" fillId="0" borderId="0" xfId="0" applyAlignment="1">
      <alignment horizontal="left" vertical="top" wrapText="1"/>
    </xf>
    <xf numFmtId="165" fontId="6" fillId="0" borderId="0" xfId="3" applyNumberFormat="1" applyFont="1" applyFill="1" applyBorder="1" applyAlignment="1" applyProtection="1">
      <alignment horizontal="right" vertical="top" wrapText="1" shrinkToFit="1"/>
    </xf>
    <xf numFmtId="0" fontId="6" fillId="0" borderId="0" xfId="3" applyNumberFormat="1" applyFont="1" applyFill="1" applyBorder="1" applyAlignment="1" applyProtection="1">
      <alignment horizontal="left" vertical="top" wrapText="1" shrinkToFit="1"/>
    </xf>
    <xf numFmtId="166" fontId="0" fillId="0" borderId="0" xfId="0" applyNumberFormat="1" applyAlignment="1">
      <alignment vertical="top"/>
    </xf>
    <xf numFmtId="43" fontId="5" fillId="0" borderId="0" xfId="2" applyNumberFormat="1" applyAlignment="1" applyProtection="1">
      <alignment horizontal="center" vertical="top"/>
    </xf>
    <xf numFmtId="43" fontId="0" fillId="0" borderId="0" xfId="3" applyFont="1" applyAlignment="1" applyProtection="1">
      <alignment vertical="top"/>
    </xf>
    <xf numFmtId="0" fontId="1" fillId="0" borderId="25" xfId="0" applyFont="1" applyBorder="1" applyAlignment="1">
      <alignment horizontal="center"/>
    </xf>
    <xf numFmtId="0" fontId="1" fillId="0" borderId="25" xfId="0" applyFont="1" applyBorder="1" applyAlignment="1">
      <alignment horizontal="left"/>
    </xf>
    <xf numFmtId="43" fontId="1" fillId="0" borderId="25" xfId="3" applyFont="1" applyBorder="1" applyAlignment="1" applyProtection="1">
      <alignment horizontal="right" wrapText="1"/>
    </xf>
    <xf numFmtId="43" fontId="1" fillId="0" borderId="25" xfId="3" applyFont="1" applyBorder="1" applyAlignment="1" applyProtection="1">
      <alignment horizontal="left" wrapText="1"/>
    </xf>
    <xf numFmtId="0" fontId="1" fillId="0" borderId="0" xfId="0" applyFont="1" applyAlignment="1">
      <alignment horizontal="center" vertical="top"/>
    </xf>
    <xf numFmtId="0" fontId="1" fillId="0" borderId="24" xfId="0" applyFont="1" applyBorder="1" applyAlignment="1">
      <alignment vertical="top"/>
    </xf>
    <xf numFmtId="0" fontId="1" fillId="0" borderId="24" xfId="0" applyFont="1" applyBorder="1" applyAlignment="1">
      <alignment horizontal="left" vertical="top"/>
    </xf>
    <xf numFmtId="165" fontId="1" fillId="0" borderId="24" xfId="3" applyNumberFormat="1" applyFont="1" applyBorder="1" applyAlignment="1" applyProtection="1">
      <alignment vertical="top" shrinkToFit="1"/>
    </xf>
    <xf numFmtId="0" fontId="0" fillId="0" borderId="0" xfId="0" applyAlignment="1">
      <alignment horizontal="center" vertical="top"/>
    </xf>
    <xf numFmtId="165" fontId="6" fillId="0" borderId="0" xfId="3" applyNumberFormat="1" applyFont="1" applyFill="1" applyBorder="1" applyAlignment="1" applyProtection="1">
      <alignment horizontal="right" vertical="top" shrinkToFit="1"/>
    </xf>
    <xf numFmtId="49" fontId="33" fillId="0" borderId="0" xfId="0" applyNumberFormat="1" applyFont="1"/>
    <xf numFmtId="0" fontId="33" fillId="0" borderId="0" xfId="0" applyFont="1" applyAlignment="1">
      <alignment horizontal="left" indent="1"/>
    </xf>
    <xf numFmtId="165" fontId="33" fillId="0" borderId="0" xfId="3" applyNumberFormat="1" applyFont="1" applyFill="1" applyBorder="1" applyAlignment="1" applyProtection="1">
      <alignment horizontal="left" shrinkToFit="1"/>
    </xf>
    <xf numFmtId="165" fontId="33" fillId="0" borderId="50" xfId="3" applyNumberFormat="1" applyFont="1" applyFill="1" applyBorder="1" applyAlignment="1" applyProtection="1">
      <alignment horizontal="left" shrinkToFit="1"/>
    </xf>
    <xf numFmtId="165" fontId="33" fillId="0" borderId="51" xfId="3" applyNumberFormat="1" applyFont="1" applyFill="1" applyBorder="1" applyAlignment="1" applyProtection="1">
      <alignment horizontal="left" shrinkToFit="1"/>
    </xf>
    <xf numFmtId="0" fontId="0" fillId="7" borderId="0" xfId="0" applyFill="1" applyAlignment="1">
      <alignment horizontal="center"/>
    </xf>
    <xf numFmtId="0" fontId="0" fillId="0" borderId="0" xfId="0" applyAlignment="1">
      <alignment horizontal="left" indent="2"/>
    </xf>
    <xf numFmtId="165" fontId="6" fillId="0" borderId="0" xfId="3" applyNumberFormat="1" applyFont="1" applyFill="1" applyBorder="1" applyAlignment="1" applyProtection="1">
      <alignment horizontal="left" shrinkToFit="1"/>
    </xf>
    <xf numFmtId="43" fontId="22" fillId="0" borderId="0" xfId="3" applyFont="1" applyAlignment="1" applyProtection="1"/>
    <xf numFmtId="43" fontId="5" fillId="0" borderId="0" xfId="2" applyNumberFormat="1" applyAlignment="1" applyProtection="1">
      <alignment horizontal="left" vertical="top"/>
    </xf>
    <xf numFmtId="0" fontId="1" fillId="0" borderId="25" xfId="0" applyFont="1" applyBorder="1"/>
    <xf numFmtId="165" fontId="1" fillId="0" borderId="52" xfId="3" applyNumberFormat="1" applyFont="1" applyBorder="1" applyAlignment="1" applyProtection="1">
      <alignment vertical="top" shrinkToFit="1"/>
    </xf>
    <xf numFmtId="165" fontId="1" fillId="0" borderId="53" xfId="3" applyNumberFormat="1" applyFont="1" applyBorder="1" applyAlignment="1" applyProtection="1">
      <alignment vertical="top" shrinkToFit="1"/>
    </xf>
    <xf numFmtId="165" fontId="33" fillId="8" borderId="10" xfId="3" applyNumberFormat="1" applyFont="1" applyFill="1" applyBorder="1" applyAlignment="1" applyProtection="1">
      <alignment horizontal="left"/>
    </xf>
    <xf numFmtId="49" fontId="33" fillId="8" borderId="10" xfId="0" applyNumberFormat="1" applyFont="1" applyFill="1" applyBorder="1" applyAlignment="1">
      <alignment horizontal="left" indent="1"/>
    </xf>
    <xf numFmtId="165" fontId="1" fillId="0" borderId="0" xfId="0" applyNumberFormat="1" applyFont="1" applyAlignment="1">
      <alignment horizontal="left" indent="1"/>
    </xf>
    <xf numFmtId="49" fontId="65" fillId="0" borderId="0" xfId="0" applyNumberFormat="1" applyFont="1" applyAlignment="1">
      <alignment horizontal="left" indent="1"/>
    </xf>
    <xf numFmtId="165" fontId="1" fillId="0" borderId="0" xfId="3" applyNumberFormat="1" applyFont="1" applyFill="1" applyBorder="1" applyAlignment="1" applyProtection="1">
      <alignment horizontal="left"/>
    </xf>
    <xf numFmtId="165" fontId="0" fillId="0" borderId="0" xfId="0" applyNumberFormat="1" applyAlignment="1">
      <alignment horizontal="left" indent="1"/>
    </xf>
    <xf numFmtId="165" fontId="0" fillId="0" borderId="0" xfId="3" applyNumberFormat="1" applyFont="1" applyFill="1" applyBorder="1" applyAlignment="1" applyProtection="1">
      <alignment horizontal="left"/>
    </xf>
    <xf numFmtId="165" fontId="50" fillId="0" borderId="0" xfId="0" applyNumberFormat="1" applyFont="1" applyAlignment="1">
      <alignment horizontal="left"/>
    </xf>
    <xf numFmtId="49" fontId="23" fillId="0" borderId="0" xfId="0" applyNumberFormat="1" applyFont="1" applyAlignment="1">
      <alignment horizontal="left" indent="1"/>
    </xf>
    <xf numFmtId="165" fontId="50" fillId="0" borderId="0" xfId="3" applyNumberFormat="1" applyFont="1" applyAlignment="1" applyProtection="1">
      <alignment horizontal="left"/>
    </xf>
    <xf numFmtId="168" fontId="1" fillId="0" borderId="25" xfId="3" applyNumberFormat="1" applyFont="1" applyBorder="1" applyAlignment="1" applyProtection="1">
      <alignment horizontal="right" wrapText="1"/>
    </xf>
    <xf numFmtId="0" fontId="1" fillId="0" borderId="25" xfId="0" applyFont="1" applyBorder="1" applyAlignment="1">
      <alignment shrinkToFit="1"/>
    </xf>
    <xf numFmtId="165" fontId="1" fillId="0" borderId="24" xfId="3" applyNumberFormat="1" applyFont="1" applyBorder="1" applyAlignment="1" applyProtection="1">
      <alignment vertical="top"/>
    </xf>
    <xf numFmtId="0" fontId="33" fillId="8" borderId="10" xfId="0" applyFont="1" applyFill="1" applyBorder="1" applyAlignment="1">
      <alignment horizontal="left" indent="1"/>
    </xf>
    <xf numFmtId="165" fontId="33" fillId="8" borderId="10" xfId="3" applyNumberFormat="1" applyFont="1" applyFill="1" applyBorder="1" applyAlignment="1" applyProtection="1">
      <alignment horizontal="left" shrinkToFit="1"/>
    </xf>
    <xf numFmtId="49" fontId="1" fillId="0" borderId="0" xfId="0" applyNumberFormat="1" applyFont="1" applyAlignment="1">
      <alignment horizontal="left" indent="1"/>
    </xf>
    <xf numFmtId="0" fontId="1" fillId="0" borderId="0" xfId="0" applyFont="1" applyAlignment="1">
      <alignment horizontal="left" indent="2"/>
    </xf>
    <xf numFmtId="165" fontId="1" fillId="0" borderId="0" xfId="3" applyNumberFormat="1" applyFont="1" applyFill="1" applyBorder="1" applyAlignment="1" applyProtection="1">
      <alignment horizontal="left" shrinkToFit="1"/>
    </xf>
    <xf numFmtId="49" fontId="0" fillId="0" borderId="0" xfId="0" applyNumberFormat="1" applyAlignment="1">
      <alignment horizontal="left" indent="1"/>
    </xf>
    <xf numFmtId="0" fontId="0" fillId="0" borderId="0" xfId="0" applyAlignment="1">
      <alignment horizontal="left" indent="3"/>
    </xf>
    <xf numFmtId="165" fontId="0" fillId="0" borderId="0" xfId="3" applyNumberFormat="1" applyFont="1" applyFill="1" applyBorder="1" applyAlignment="1" applyProtection="1">
      <alignment horizontal="left" shrinkToFit="1"/>
    </xf>
    <xf numFmtId="49" fontId="50" fillId="0" borderId="0" xfId="0" applyNumberFormat="1" applyFont="1" applyAlignment="1">
      <alignment horizontal="left" indent="1"/>
    </xf>
    <xf numFmtId="0" fontId="50" fillId="0" borderId="0" xfId="0" applyFont="1" applyAlignment="1">
      <alignment horizontal="left" indent="4"/>
    </xf>
    <xf numFmtId="165" fontId="50" fillId="0" borderId="0" xfId="3" applyNumberFormat="1" applyFont="1" applyAlignment="1" applyProtection="1">
      <alignment horizontal="left" shrinkToFit="1"/>
    </xf>
    <xf numFmtId="0" fontId="0" fillId="0" borderId="0" xfId="0" applyAlignment="1">
      <alignment horizontal="right" indent="9"/>
    </xf>
    <xf numFmtId="0" fontId="4" fillId="2" borderId="0" xfId="0" applyFont="1" applyFill="1" applyAlignment="1">
      <alignment vertical="center"/>
    </xf>
    <xf numFmtId="0" fontId="5" fillId="0" borderId="0" xfId="2" applyAlignment="1" applyProtection="1">
      <alignment vertical="top"/>
    </xf>
    <xf numFmtId="0" fontId="5" fillId="0" borderId="0" xfId="2" applyAlignment="1" applyProtection="1">
      <alignment horizontal="left" vertical="top" indent="1"/>
    </xf>
    <xf numFmtId="0" fontId="5" fillId="0" borderId="0" xfId="2" applyAlignment="1" applyProtection="1">
      <alignment horizontal="left" indent="1"/>
    </xf>
    <xf numFmtId="0" fontId="5" fillId="0" borderId="0" xfId="2" applyAlignment="1" applyProtection="1">
      <alignment horizontal="left" vertical="top"/>
    </xf>
    <xf numFmtId="0" fontId="5" fillId="0" borderId="0" xfId="2" applyAlignment="1" applyProtection="1">
      <alignment horizontal="left"/>
    </xf>
    <xf numFmtId="9" fontId="22" fillId="0" borderId="0" xfId="0" applyNumberFormat="1" applyFont="1" applyAlignment="1">
      <alignment horizontal="right"/>
    </xf>
    <xf numFmtId="167" fontId="25" fillId="0" borderId="0" xfId="0" applyNumberFormat="1" applyFont="1" applyAlignment="1">
      <alignment horizontal="right"/>
    </xf>
    <xf numFmtId="49" fontId="21" fillId="71" borderId="10" xfId="0" applyNumberFormat="1" applyFont="1" applyFill="1" applyBorder="1" applyAlignment="1">
      <alignment horizontal="left" indent="1"/>
    </xf>
    <xf numFmtId="0" fontId="21" fillId="71" borderId="10" xfId="0" applyFont="1" applyFill="1" applyBorder="1" applyAlignment="1">
      <alignment horizontal="left" indent="1"/>
    </xf>
    <xf numFmtId="165" fontId="21" fillId="71" borderId="10" xfId="3" applyNumberFormat="1" applyFont="1" applyFill="1" applyBorder="1" applyAlignment="1" applyProtection="1">
      <alignment horizontal="left" shrinkToFit="1"/>
    </xf>
    <xf numFmtId="165" fontId="21" fillId="71" borderId="10" xfId="3" applyNumberFormat="1" applyFont="1" applyFill="1" applyBorder="1" applyAlignment="1" applyProtection="1">
      <alignment horizontal="left"/>
    </xf>
    <xf numFmtId="49" fontId="21" fillId="71" borderId="0" xfId="0" applyNumberFormat="1" applyFont="1" applyFill="1"/>
    <xf numFmtId="0" fontId="21" fillId="71" borderId="0" xfId="0" applyFont="1" applyFill="1" applyAlignment="1">
      <alignment horizontal="left" indent="1"/>
    </xf>
    <xf numFmtId="165" fontId="21" fillId="71" borderId="0" xfId="3" applyNumberFormat="1" applyFont="1" applyFill="1" applyBorder="1" applyAlignment="1" applyProtection="1">
      <alignment horizontal="left" shrinkToFit="1"/>
    </xf>
    <xf numFmtId="14" fontId="1" fillId="0" borderId="0" xfId="0" applyNumberFormat="1" applyFont="1" applyAlignment="1">
      <alignment horizontal="left"/>
    </xf>
    <xf numFmtId="0" fontId="23" fillId="0" borderId="0" xfId="0" applyFont="1" applyAlignment="1">
      <alignment horizontal="right" vertical="top" indent="1"/>
    </xf>
    <xf numFmtId="0" fontId="0" fillId="0" borderId="0" xfId="0" applyAlignment="1">
      <alignment horizontal="right" indent="1"/>
    </xf>
    <xf numFmtId="0" fontId="23" fillId="68" borderId="0" xfId="0" applyFont="1" applyFill="1" applyAlignment="1">
      <alignment horizontal="right" indent="1"/>
    </xf>
    <xf numFmtId="0" fontId="23" fillId="0" borderId="0" xfId="0" applyFont="1" applyAlignment="1">
      <alignment horizontal="right" indent="1"/>
    </xf>
    <xf numFmtId="0" fontId="29" fillId="0" borderId="0" xfId="0" applyFont="1" applyAlignment="1">
      <alignment horizontal="left" indent="1"/>
    </xf>
    <xf numFmtId="0" fontId="0" fillId="0" borderId="5" xfId="3" applyNumberFormat="1" applyFont="1" applyBorder="1" applyAlignment="1" applyProtection="1">
      <alignment horizontal="right" shrinkToFit="1"/>
    </xf>
    <xf numFmtId="0" fontId="0" fillId="0" borderId="0" xfId="0" applyAlignment="1">
      <alignment shrinkToFit="1"/>
    </xf>
    <xf numFmtId="0" fontId="0" fillId="0" borderId="0" xfId="3" applyNumberFormat="1" applyFont="1" applyAlignment="1" applyProtection="1">
      <alignment horizontal="right" shrinkToFit="1"/>
    </xf>
    <xf numFmtId="0" fontId="0" fillId="0" borderId="0" xfId="0" applyAlignment="1">
      <alignment horizontal="left" shrinkToFit="1"/>
    </xf>
    <xf numFmtId="172" fontId="0" fillId="0" borderId="0" xfId="0" applyNumberFormat="1" applyAlignment="1">
      <alignment shrinkToFit="1"/>
    </xf>
    <xf numFmtId="165" fontId="6" fillId="0" borderId="5" xfId="3" applyNumberFormat="1" applyFont="1" applyBorder="1" applyProtection="1"/>
    <xf numFmtId="165" fontId="6" fillId="0" borderId="0" xfId="3" applyNumberFormat="1" applyFont="1" applyBorder="1" applyProtection="1"/>
    <xf numFmtId="165" fontId="84" fillId="0" borderId="0" xfId="3" applyNumberFormat="1" applyFont="1" applyBorder="1" applyAlignment="1" applyProtection="1">
      <alignment horizontal="right" wrapText="1"/>
    </xf>
    <xf numFmtId="165" fontId="84" fillId="0" borderId="5" xfId="3" applyNumberFormat="1" applyFont="1" applyBorder="1" applyAlignment="1" applyProtection="1">
      <alignment horizontal="right" wrapText="1"/>
    </xf>
    <xf numFmtId="49" fontId="21" fillId="68" borderId="10" xfId="0" applyNumberFormat="1" applyFont="1" applyFill="1" applyBorder="1" applyAlignment="1">
      <alignment horizontal="left" indent="1"/>
    </xf>
    <xf numFmtId="0" fontId="21" fillId="68" borderId="10" xfId="0" applyFont="1" applyFill="1" applyBorder="1" applyAlignment="1">
      <alignment horizontal="left" indent="1"/>
    </xf>
    <xf numFmtId="165" fontId="21" fillId="68" borderId="10" xfId="3" applyNumberFormat="1" applyFont="1" applyFill="1" applyBorder="1" applyAlignment="1" applyProtection="1">
      <alignment horizontal="left" shrinkToFit="1"/>
    </xf>
    <xf numFmtId="165" fontId="21" fillId="68" borderId="10" xfId="3" applyNumberFormat="1" applyFont="1" applyFill="1" applyBorder="1" applyAlignment="1" applyProtection="1">
      <alignment horizontal="left"/>
    </xf>
    <xf numFmtId="49" fontId="21" fillId="68" borderId="0" xfId="0" applyNumberFormat="1" applyFont="1" applyFill="1"/>
    <xf numFmtId="0" fontId="21" fillId="68" borderId="0" xfId="0" applyFont="1" applyFill="1" applyAlignment="1">
      <alignment horizontal="left" indent="1"/>
    </xf>
    <xf numFmtId="165" fontId="21" fillId="68" borderId="0" xfId="3" applyNumberFormat="1" applyFont="1" applyFill="1" applyBorder="1" applyAlignment="1" applyProtection="1">
      <alignment horizontal="left" shrinkToFit="1"/>
    </xf>
    <xf numFmtId="0" fontId="1" fillId="0" borderId="40" xfId="0" applyFont="1" applyBorder="1" applyAlignment="1">
      <alignment vertical="top"/>
    </xf>
    <xf numFmtId="0" fontId="64" fillId="0" borderId="0" xfId="0" applyFont="1" applyAlignment="1">
      <alignment horizontal="left" indent="4"/>
    </xf>
    <xf numFmtId="0" fontId="0" fillId="0" borderId="0" xfId="0" applyAlignment="1">
      <alignment horizontal="left" vertical="top" wrapText="1" indent="1"/>
    </xf>
    <xf numFmtId="0" fontId="1" fillId="0" borderId="0" xfId="0" applyFont="1" applyAlignment="1">
      <alignment horizontal="left" vertical="top" wrapText="1"/>
    </xf>
    <xf numFmtId="0" fontId="0" fillId="35" borderId="0" xfId="3" applyNumberFormat="1" applyFont="1" applyFill="1" applyBorder="1" applyAlignment="1" applyProtection="1">
      <alignment horizontal="left" vertical="top" wrapText="1" shrinkToFit="1"/>
      <protection locked="0"/>
    </xf>
    <xf numFmtId="0" fontId="1" fillId="0" borderId="0" xfId="0" applyFont="1" applyAlignment="1">
      <alignment horizontal="left" vertical="top" wrapText="1"/>
    </xf>
    <xf numFmtId="0" fontId="66" fillId="65" borderId="2" xfId="0" applyFont="1" applyFill="1" applyBorder="1" applyAlignment="1">
      <alignment horizontal="center" vertical="top" wrapText="1"/>
    </xf>
    <xf numFmtId="0" fontId="66" fillId="70" borderId="2" xfId="0" applyFont="1" applyFill="1" applyBorder="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0" xfId="28" applyFont="1" applyFill="1" applyAlignment="1">
      <alignment horizontal="center" vertical="top" wrapText="1"/>
    </xf>
    <xf numFmtId="170" fontId="66" fillId="5" borderId="0" xfId="29" applyNumberFormat="1" applyFont="1" applyFill="1" applyBorder="1" applyAlignment="1" applyProtection="1">
      <alignment horizontal="center" vertical="top" wrapText="1"/>
    </xf>
    <xf numFmtId="0" fontId="1" fillId="4" borderId="34" xfId="4" applyNumberFormat="1" applyFont="1" applyFill="1" applyBorder="1" applyAlignment="1">
      <alignment horizontal="left" vertical="top"/>
    </xf>
    <xf numFmtId="0" fontId="0" fillId="0" borderId="0" xfId="0" quotePrefix="1" applyAlignment="1">
      <alignment horizontal="left" vertical="top" wrapText="1"/>
    </xf>
  </cellXfs>
  <cellStyles count="358">
    <cellStyle name="20% - Accent1" xfId="309" builtinId="30" customBuiltin="1"/>
    <cellStyle name="20% - Accent1 2" xfId="136" xr:uid="{00000000-0005-0000-0000-000001000000}"/>
    <cellStyle name="20% - Accent1 3" xfId="93" xr:uid="{00000000-0005-0000-0000-000002000000}"/>
    <cellStyle name="20% - Accent2" xfId="313" builtinId="34" customBuiltin="1"/>
    <cellStyle name="20% - Accent2 2" xfId="137" xr:uid="{00000000-0005-0000-0000-000004000000}"/>
    <cellStyle name="20% - Accent2 3" xfId="94" xr:uid="{00000000-0005-0000-0000-000005000000}"/>
    <cellStyle name="20% - Accent3" xfId="317" builtinId="38" customBuiltin="1"/>
    <cellStyle name="20% - Accent3 2" xfId="138" xr:uid="{00000000-0005-0000-0000-000007000000}"/>
    <cellStyle name="20% - Accent3 3" xfId="95" xr:uid="{00000000-0005-0000-0000-000008000000}"/>
    <cellStyle name="20% - Accent4" xfId="321" builtinId="42" customBuiltin="1"/>
    <cellStyle name="20% - Accent4 2" xfId="139" xr:uid="{00000000-0005-0000-0000-00000A000000}"/>
    <cellStyle name="20% - Accent4 3" xfId="96" xr:uid="{00000000-0005-0000-0000-00000B000000}"/>
    <cellStyle name="20% - Accent5" xfId="325" builtinId="46" customBuiltin="1"/>
    <cellStyle name="20% - Accent5 2" xfId="140" xr:uid="{00000000-0005-0000-0000-00000D000000}"/>
    <cellStyle name="20% - Accent5 3" xfId="97" xr:uid="{00000000-0005-0000-0000-00000E000000}"/>
    <cellStyle name="20% - Accent6" xfId="329" builtinId="50" customBuiltin="1"/>
    <cellStyle name="20% - Accent6 2" xfId="141" xr:uid="{00000000-0005-0000-0000-000010000000}"/>
    <cellStyle name="20% - Accent6 3" xfId="98" xr:uid="{00000000-0005-0000-0000-000011000000}"/>
    <cellStyle name="40% - Accent1" xfId="310" builtinId="31" customBuiltin="1"/>
    <cellStyle name="40% - Accent1 2" xfId="142" xr:uid="{00000000-0005-0000-0000-000013000000}"/>
    <cellStyle name="40% - Accent1 3" xfId="99" xr:uid="{00000000-0005-0000-0000-000014000000}"/>
    <cellStyle name="40% - Accent2" xfId="314" builtinId="35" customBuiltin="1"/>
    <cellStyle name="40% - Accent2 2" xfId="143" xr:uid="{00000000-0005-0000-0000-000016000000}"/>
    <cellStyle name="40% - Accent2 3" xfId="100" xr:uid="{00000000-0005-0000-0000-000017000000}"/>
    <cellStyle name="40% - Accent3" xfId="318" builtinId="39" customBuiltin="1"/>
    <cellStyle name="40% - Accent3 2" xfId="144" xr:uid="{00000000-0005-0000-0000-000019000000}"/>
    <cellStyle name="40% - Accent3 3" xfId="101" xr:uid="{00000000-0005-0000-0000-00001A000000}"/>
    <cellStyle name="40% - Accent4" xfId="322" builtinId="43" customBuiltin="1"/>
    <cellStyle name="40% - Accent4 2" xfId="145" xr:uid="{00000000-0005-0000-0000-00001C000000}"/>
    <cellStyle name="40% - Accent4 3" xfId="102" xr:uid="{00000000-0005-0000-0000-00001D000000}"/>
    <cellStyle name="40% - Accent5" xfId="326" builtinId="47" customBuiltin="1"/>
    <cellStyle name="40% - Accent5 2" xfId="146" xr:uid="{00000000-0005-0000-0000-00001F000000}"/>
    <cellStyle name="40% - Accent5 3" xfId="103" xr:uid="{00000000-0005-0000-0000-000020000000}"/>
    <cellStyle name="40% - Accent6" xfId="330" builtinId="51" customBuiltin="1"/>
    <cellStyle name="40% - Accent6 2" xfId="147" xr:uid="{00000000-0005-0000-0000-000022000000}"/>
    <cellStyle name="40% - Accent6 3" xfId="104" xr:uid="{00000000-0005-0000-0000-000023000000}"/>
    <cellStyle name="60% - Accent1" xfId="311" builtinId="32" customBuiltin="1"/>
    <cellStyle name="60% - Accent1 2" xfId="148" xr:uid="{00000000-0005-0000-0000-000025000000}"/>
    <cellStyle name="60% - Accent1 3" xfId="105" xr:uid="{00000000-0005-0000-0000-000026000000}"/>
    <cellStyle name="60% - Accent1 4" xfId="351" xr:uid="{00000000-0005-0000-0000-000027000000}"/>
    <cellStyle name="60% - Accent2" xfId="315" builtinId="36" customBuiltin="1"/>
    <cellStyle name="60% - Accent2 2" xfId="149" xr:uid="{00000000-0005-0000-0000-000029000000}"/>
    <cellStyle name="60% - Accent2 3" xfId="106" xr:uid="{00000000-0005-0000-0000-00002A000000}"/>
    <cellStyle name="60% - Accent2 4" xfId="352" xr:uid="{00000000-0005-0000-0000-00002B000000}"/>
    <cellStyle name="60% - Accent3" xfId="319" builtinId="40" customBuiltin="1"/>
    <cellStyle name="60% - Accent3 2" xfId="150" xr:uid="{00000000-0005-0000-0000-00002D000000}"/>
    <cellStyle name="60% - Accent3 3" xfId="107" xr:uid="{00000000-0005-0000-0000-00002E000000}"/>
    <cellStyle name="60% - Accent3 4" xfId="353" xr:uid="{00000000-0005-0000-0000-00002F000000}"/>
    <cellStyle name="60% - Accent4" xfId="323" builtinId="44" customBuiltin="1"/>
    <cellStyle name="60% - Accent4 2" xfId="151" xr:uid="{00000000-0005-0000-0000-000031000000}"/>
    <cellStyle name="60% - Accent4 3" xfId="108" xr:uid="{00000000-0005-0000-0000-000032000000}"/>
    <cellStyle name="60% - Accent4 4" xfId="354" xr:uid="{00000000-0005-0000-0000-000033000000}"/>
    <cellStyle name="60% - Accent5" xfId="327" builtinId="48" customBuiltin="1"/>
    <cellStyle name="60% - Accent5 2" xfId="152" xr:uid="{00000000-0005-0000-0000-000035000000}"/>
    <cellStyle name="60% - Accent5 3" xfId="109" xr:uid="{00000000-0005-0000-0000-000036000000}"/>
    <cellStyle name="60% - Accent5 4" xfId="355" xr:uid="{00000000-0005-0000-0000-000037000000}"/>
    <cellStyle name="60% - Accent6" xfId="331" builtinId="52" customBuiltin="1"/>
    <cellStyle name="60% - Accent6 2" xfId="153" xr:uid="{00000000-0005-0000-0000-000039000000}"/>
    <cellStyle name="60% - Accent6 3" xfId="110" xr:uid="{00000000-0005-0000-0000-00003A000000}"/>
    <cellStyle name="60% - Accent6 4" xfId="356" xr:uid="{00000000-0005-0000-0000-00003B000000}"/>
    <cellStyle name="Accent1" xfId="308" builtinId="29" customBuiltin="1"/>
    <cellStyle name="Accent1 2" xfId="154" xr:uid="{00000000-0005-0000-0000-00003D000000}"/>
    <cellStyle name="Accent1 3" xfId="111" xr:uid="{00000000-0005-0000-0000-00003E000000}"/>
    <cellStyle name="Accent2" xfId="312" builtinId="33" customBuiltin="1"/>
    <cellStyle name="Accent2 2" xfId="155" xr:uid="{00000000-0005-0000-0000-000040000000}"/>
    <cellStyle name="Accent2 3" xfId="112" xr:uid="{00000000-0005-0000-0000-000041000000}"/>
    <cellStyle name="Accent3" xfId="316" builtinId="37" customBuiltin="1"/>
    <cellStyle name="Accent3 2" xfId="156" xr:uid="{00000000-0005-0000-0000-000043000000}"/>
    <cellStyle name="Accent3 3" xfId="113" xr:uid="{00000000-0005-0000-0000-000044000000}"/>
    <cellStyle name="Accent4" xfId="320" builtinId="41" customBuiltin="1"/>
    <cellStyle name="Accent4 2" xfId="157" xr:uid="{00000000-0005-0000-0000-000046000000}"/>
    <cellStyle name="Accent4 3" xfId="114" xr:uid="{00000000-0005-0000-0000-000047000000}"/>
    <cellStyle name="Accent5" xfId="324" builtinId="45" customBuiltin="1"/>
    <cellStyle name="Accent5 2" xfId="158" xr:uid="{00000000-0005-0000-0000-000049000000}"/>
    <cellStyle name="Accent5 3" xfId="115" xr:uid="{00000000-0005-0000-0000-00004A000000}"/>
    <cellStyle name="Accent6" xfId="328" builtinId="49" customBuiltin="1"/>
    <cellStyle name="Accent6 2" xfId="159" xr:uid="{00000000-0005-0000-0000-00004C000000}"/>
    <cellStyle name="Accent6 3" xfId="116" xr:uid="{00000000-0005-0000-0000-00004D000000}"/>
    <cellStyle name="AF Column - IBM Cognos" xfId="37" xr:uid="{00000000-0005-0000-0000-00004E000000}"/>
    <cellStyle name="AF Data - IBM Cognos" xfId="38" xr:uid="{00000000-0005-0000-0000-00004F000000}"/>
    <cellStyle name="AF Data 0 - IBM Cognos" xfId="39" xr:uid="{00000000-0005-0000-0000-000050000000}"/>
    <cellStyle name="AF Data 1 - IBM Cognos" xfId="40" xr:uid="{00000000-0005-0000-0000-000051000000}"/>
    <cellStyle name="AF Data 2 - IBM Cognos" xfId="41" xr:uid="{00000000-0005-0000-0000-000052000000}"/>
    <cellStyle name="AF Data 3 - IBM Cognos" xfId="42" xr:uid="{00000000-0005-0000-0000-000053000000}"/>
    <cellStyle name="AF Data 4 - IBM Cognos" xfId="43" xr:uid="{00000000-0005-0000-0000-000054000000}"/>
    <cellStyle name="AF Data 5 - IBM Cognos" xfId="44" xr:uid="{00000000-0005-0000-0000-000055000000}"/>
    <cellStyle name="AF Data Leaf - IBM Cognos" xfId="45" xr:uid="{00000000-0005-0000-0000-000056000000}"/>
    <cellStyle name="AF Header - IBM Cognos" xfId="46" xr:uid="{00000000-0005-0000-0000-000057000000}"/>
    <cellStyle name="AF Header 0 - IBM Cognos" xfId="47" xr:uid="{00000000-0005-0000-0000-000058000000}"/>
    <cellStyle name="AF Header 1 - IBM Cognos" xfId="48" xr:uid="{00000000-0005-0000-0000-000059000000}"/>
    <cellStyle name="AF Header 2 - IBM Cognos" xfId="49" xr:uid="{00000000-0005-0000-0000-00005A000000}"/>
    <cellStyle name="AF Header 3 - IBM Cognos" xfId="50" xr:uid="{00000000-0005-0000-0000-00005B000000}"/>
    <cellStyle name="AF Header 4 - IBM Cognos" xfId="51" xr:uid="{00000000-0005-0000-0000-00005C000000}"/>
    <cellStyle name="AF Header 5 - IBM Cognos" xfId="52" xr:uid="{00000000-0005-0000-0000-00005D000000}"/>
    <cellStyle name="AF Header Leaf - IBM Cognos" xfId="53" xr:uid="{00000000-0005-0000-0000-00005E000000}"/>
    <cellStyle name="AF Row - IBM Cognos" xfId="54" xr:uid="{00000000-0005-0000-0000-00005F000000}"/>
    <cellStyle name="AF Row 0 - IBM Cognos" xfId="55" xr:uid="{00000000-0005-0000-0000-000060000000}"/>
    <cellStyle name="AF Row 1 - IBM Cognos" xfId="56" xr:uid="{00000000-0005-0000-0000-000061000000}"/>
    <cellStyle name="AF Row 2 - IBM Cognos" xfId="57" xr:uid="{00000000-0005-0000-0000-000062000000}"/>
    <cellStyle name="AF Row 3 - IBM Cognos" xfId="58" xr:uid="{00000000-0005-0000-0000-000063000000}"/>
    <cellStyle name="AF Row 4 - IBM Cognos" xfId="59" xr:uid="{00000000-0005-0000-0000-000064000000}"/>
    <cellStyle name="AF Row 5 - IBM Cognos" xfId="60" xr:uid="{00000000-0005-0000-0000-000065000000}"/>
    <cellStyle name="AF Row Leaf - IBM Cognos" xfId="61" xr:uid="{00000000-0005-0000-0000-000066000000}"/>
    <cellStyle name="AF Subnm - IBM Cognos" xfId="62" xr:uid="{00000000-0005-0000-0000-000067000000}"/>
    <cellStyle name="AF Title - IBM Cognos" xfId="63" xr:uid="{00000000-0005-0000-0000-000068000000}"/>
    <cellStyle name="Bad" xfId="297" builtinId="27" customBuiltin="1"/>
    <cellStyle name="Bad 2" xfId="160" xr:uid="{00000000-0005-0000-0000-00006A000000}"/>
    <cellStyle name="Bad 3" xfId="117" xr:uid="{00000000-0005-0000-0000-00006B000000}"/>
    <cellStyle name="Calculated Column - IBM Cognos" xfId="64" xr:uid="{00000000-0005-0000-0000-00006C000000}"/>
    <cellStyle name="Calculated Column Name - IBM Cognos" xfId="65" xr:uid="{00000000-0005-0000-0000-00006D000000}"/>
    <cellStyle name="Calculated Row - IBM Cognos" xfId="66" xr:uid="{00000000-0005-0000-0000-00006E000000}"/>
    <cellStyle name="Calculated Row Name - IBM Cognos" xfId="67" xr:uid="{00000000-0005-0000-0000-00006F000000}"/>
    <cellStyle name="Calculation" xfId="301" builtinId="22" customBuiltin="1"/>
    <cellStyle name="Calculation 2" xfId="161" xr:uid="{00000000-0005-0000-0000-000071000000}"/>
    <cellStyle name="Calculation 2 2" xfId="184" xr:uid="{00000000-0005-0000-0000-000072000000}"/>
    <cellStyle name="Calculation 2 2 2" xfId="273" xr:uid="{00000000-0005-0000-0000-000073000000}"/>
    <cellStyle name="Calculation 2 3" xfId="248" xr:uid="{00000000-0005-0000-0000-000074000000}"/>
    <cellStyle name="Calculation 2 3 2" xfId="278" xr:uid="{00000000-0005-0000-0000-000075000000}"/>
    <cellStyle name="Calculation 2 4" xfId="253" xr:uid="{00000000-0005-0000-0000-000076000000}"/>
    <cellStyle name="Calculation 2 4 2" xfId="282" xr:uid="{00000000-0005-0000-0000-000077000000}"/>
    <cellStyle name="Calculation 2 5" xfId="249" xr:uid="{00000000-0005-0000-0000-000078000000}"/>
    <cellStyle name="Calculation 2 5 2" xfId="279" xr:uid="{00000000-0005-0000-0000-000079000000}"/>
    <cellStyle name="Calculation 2 6" xfId="251" xr:uid="{00000000-0005-0000-0000-00007A000000}"/>
    <cellStyle name="Calculation 3" xfId="118" xr:uid="{00000000-0005-0000-0000-00007B000000}"/>
    <cellStyle name="Calculation 3 2" xfId="266" xr:uid="{00000000-0005-0000-0000-00007C000000}"/>
    <cellStyle name="Check Cell" xfId="303" builtinId="23" customBuiltin="1"/>
    <cellStyle name="Check Cell 2" xfId="162" xr:uid="{00000000-0005-0000-0000-00007E000000}"/>
    <cellStyle name="Check Cell 3" xfId="119" xr:uid="{00000000-0005-0000-0000-00007F000000}"/>
    <cellStyle name="Column Name - IBM Cognos" xfId="68" xr:uid="{00000000-0005-0000-0000-000080000000}"/>
    <cellStyle name="Column Template - IBM Cognos" xfId="69" xr:uid="{00000000-0005-0000-0000-000081000000}"/>
    <cellStyle name="Comma" xfId="3" builtinId="3"/>
    <cellStyle name="Comma 2" xfId="15" xr:uid="{00000000-0005-0000-0000-000083000000}"/>
    <cellStyle name="Comma 3" xfId="17" xr:uid="{00000000-0005-0000-0000-000084000000}"/>
    <cellStyle name="Comma 3 2" xfId="179" xr:uid="{00000000-0005-0000-0000-000085000000}"/>
    <cellStyle name="Comma 4" xfId="26" xr:uid="{00000000-0005-0000-0000-000086000000}"/>
    <cellStyle name="Comma 4 2" xfId="339" xr:uid="{00000000-0005-0000-0000-000087000000}"/>
    <cellStyle name="Comma 5" xfId="30" xr:uid="{00000000-0005-0000-0000-000088000000}"/>
    <cellStyle name="Comma 5 2" xfId="341" xr:uid="{00000000-0005-0000-0000-000089000000}"/>
    <cellStyle name="Comma 6" xfId="91" xr:uid="{00000000-0005-0000-0000-00008A000000}"/>
    <cellStyle name="Comma 7" xfId="5" xr:uid="{00000000-0005-0000-0000-00008B000000}"/>
    <cellStyle name="Comma 8" xfId="346" xr:uid="{00000000-0005-0000-0000-00008C000000}"/>
    <cellStyle name="Currency 2" xfId="14" xr:uid="{00000000-0005-0000-0000-00008D000000}"/>
    <cellStyle name="Currency 2 2" xfId="12" xr:uid="{00000000-0005-0000-0000-00008E000000}"/>
    <cellStyle name="Currency 2 2 2" xfId="34" xr:uid="{00000000-0005-0000-0000-00008F000000}"/>
    <cellStyle name="Currency 3" xfId="20" xr:uid="{00000000-0005-0000-0000-000090000000}"/>
    <cellStyle name="Currency 3 2" xfId="178" xr:uid="{00000000-0005-0000-0000-000091000000}"/>
    <cellStyle name="Currency 4" xfId="25" xr:uid="{00000000-0005-0000-0000-000092000000}"/>
    <cellStyle name="Currency 4 2" xfId="338" xr:uid="{00000000-0005-0000-0000-000093000000}"/>
    <cellStyle name="Currency 5" xfId="29" xr:uid="{00000000-0005-0000-0000-000094000000}"/>
    <cellStyle name="Currency 5 2" xfId="340" xr:uid="{00000000-0005-0000-0000-000095000000}"/>
    <cellStyle name="Currency 6" xfId="33" xr:uid="{00000000-0005-0000-0000-000096000000}"/>
    <cellStyle name="Currency 6 2" xfId="342" xr:uid="{00000000-0005-0000-0000-000097000000}"/>
    <cellStyle name="Currency 7" xfId="6" xr:uid="{00000000-0005-0000-0000-000098000000}"/>
    <cellStyle name="Differs From Base - IBM Cognos" xfId="70" xr:uid="{00000000-0005-0000-0000-000099000000}"/>
    <cellStyle name="Edit - IBM Cognos" xfId="71" xr:uid="{00000000-0005-0000-0000-00009A000000}"/>
    <cellStyle name="Explanatory Text" xfId="306" builtinId="53" customBuiltin="1"/>
    <cellStyle name="Explanatory Text 2" xfId="163" xr:uid="{00000000-0005-0000-0000-00009C000000}"/>
    <cellStyle name="Explanatory Text 3" xfId="120" xr:uid="{00000000-0005-0000-0000-00009D000000}"/>
    <cellStyle name="Formula - IBM Cognos" xfId="72" xr:uid="{00000000-0005-0000-0000-00009E000000}"/>
    <cellStyle name="Good" xfId="296" builtinId="26" customBuiltin="1"/>
    <cellStyle name="Good 2" xfId="164" xr:uid="{00000000-0005-0000-0000-0000A0000000}"/>
    <cellStyle name="Good 2 2" xfId="185" xr:uid="{00000000-0005-0000-0000-0000A1000000}"/>
    <cellStyle name="Good 3" xfId="121" xr:uid="{00000000-0005-0000-0000-0000A2000000}"/>
    <cellStyle name="Group Name - IBM Cognos" xfId="73" xr:uid="{00000000-0005-0000-0000-0000A3000000}"/>
    <cellStyle name="Heading 1" xfId="292" builtinId="16" customBuiltin="1"/>
    <cellStyle name="Heading 1 2" xfId="165" xr:uid="{00000000-0005-0000-0000-0000A5000000}"/>
    <cellStyle name="Heading 1 3" xfId="122" xr:uid="{00000000-0005-0000-0000-0000A6000000}"/>
    <cellStyle name="Heading 2" xfId="293" builtinId="17" customBuiltin="1"/>
    <cellStyle name="Heading 2 2" xfId="166" xr:uid="{00000000-0005-0000-0000-0000A8000000}"/>
    <cellStyle name="Heading 2 3" xfId="123" xr:uid="{00000000-0005-0000-0000-0000A9000000}"/>
    <cellStyle name="Heading 3" xfId="294" builtinId="18" customBuiltin="1"/>
    <cellStyle name="Heading 3 2" xfId="167" xr:uid="{00000000-0005-0000-0000-0000AB000000}"/>
    <cellStyle name="Heading 3 3" xfId="124" xr:uid="{00000000-0005-0000-0000-0000AC000000}"/>
    <cellStyle name="Heading 4" xfId="295" builtinId="19" customBuiltin="1"/>
    <cellStyle name="Heading 4 2" xfId="168" xr:uid="{00000000-0005-0000-0000-0000AE000000}"/>
    <cellStyle name="Heading 4 3" xfId="125" xr:uid="{00000000-0005-0000-0000-0000AF000000}"/>
    <cellStyle name="Hold Values - IBM Cognos" xfId="74" xr:uid="{00000000-0005-0000-0000-0000B0000000}"/>
    <cellStyle name="Hyperlink" xfId="2" builtinId="8"/>
    <cellStyle name="Input" xfId="299" builtinId="20" customBuiltin="1"/>
    <cellStyle name="Input 2" xfId="169" xr:uid="{00000000-0005-0000-0000-0000B3000000}"/>
    <cellStyle name="Input 2 2" xfId="186" xr:uid="{00000000-0005-0000-0000-0000B4000000}"/>
    <cellStyle name="Input 2 2 2" xfId="274" xr:uid="{00000000-0005-0000-0000-0000B5000000}"/>
    <cellStyle name="Input 2 3" xfId="250" xr:uid="{00000000-0005-0000-0000-0000B6000000}"/>
    <cellStyle name="Input 2 3 2" xfId="280" xr:uid="{00000000-0005-0000-0000-0000B7000000}"/>
    <cellStyle name="Input 2 4" xfId="252" xr:uid="{00000000-0005-0000-0000-0000B8000000}"/>
    <cellStyle name="Input 2 4 2" xfId="281" xr:uid="{00000000-0005-0000-0000-0000B9000000}"/>
    <cellStyle name="Input 2 5" xfId="182" xr:uid="{00000000-0005-0000-0000-0000BA000000}"/>
    <cellStyle name="Input 2 5 2" xfId="272" xr:uid="{00000000-0005-0000-0000-0000BB000000}"/>
    <cellStyle name="Input 2 6" xfId="183" xr:uid="{00000000-0005-0000-0000-0000BC000000}"/>
    <cellStyle name="Input 3" xfId="126" xr:uid="{00000000-0005-0000-0000-0000BD000000}"/>
    <cellStyle name="Input 3 2" xfId="267" xr:uid="{00000000-0005-0000-0000-0000BE000000}"/>
    <cellStyle name="Linked Cell" xfId="302" builtinId="24" customBuiltin="1"/>
    <cellStyle name="Linked Cell 2" xfId="170" xr:uid="{00000000-0005-0000-0000-0000C0000000}"/>
    <cellStyle name="Linked Cell 3" xfId="127" xr:uid="{00000000-0005-0000-0000-0000C1000000}"/>
    <cellStyle name="List Name - IBM Cognos" xfId="75" xr:uid="{00000000-0005-0000-0000-0000C2000000}"/>
    <cellStyle name="Locked - IBM Cognos" xfId="23" xr:uid="{00000000-0005-0000-0000-0000C3000000}"/>
    <cellStyle name="Measure - IBM Cognos" xfId="76" xr:uid="{00000000-0005-0000-0000-0000C4000000}"/>
    <cellStyle name="Measure Header - IBM Cognos" xfId="77" xr:uid="{00000000-0005-0000-0000-0000C5000000}"/>
    <cellStyle name="Measure Name - IBM Cognos" xfId="78" xr:uid="{00000000-0005-0000-0000-0000C6000000}"/>
    <cellStyle name="Measure Summary - IBM Cognos" xfId="79" xr:uid="{00000000-0005-0000-0000-0000C7000000}"/>
    <cellStyle name="Measure Summary TM1 - IBM Cognos" xfId="80" xr:uid="{00000000-0005-0000-0000-0000C8000000}"/>
    <cellStyle name="Measure Template - IBM Cognos" xfId="81" xr:uid="{00000000-0005-0000-0000-0000C9000000}"/>
    <cellStyle name="More - IBM Cognos" xfId="82" xr:uid="{00000000-0005-0000-0000-0000CA000000}"/>
    <cellStyle name="Neutral" xfId="298" builtinId="28" customBuiltin="1"/>
    <cellStyle name="Neutral 2" xfId="171" xr:uid="{00000000-0005-0000-0000-0000CC000000}"/>
    <cellStyle name="Neutral 3" xfId="128" xr:uid="{00000000-0005-0000-0000-0000CD000000}"/>
    <cellStyle name="Neutral 4" xfId="349" xr:uid="{00000000-0005-0000-0000-0000CE000000}"/>
    <cellStyle name="Normal" xfId="0" builtinId="0" customBuiltin="1"/>
    <cellStyle name="Normal 10" xfId="27" xr:uid="{00000000-0005-0000-0000-0000D0000000}"/>
    <cellStyle name="Normal 10 2" xfId="187" xr:uid="{00000000-0005-0000-0000-0000D1000000}"/>
    <cellStyle name="Normal 10 2 2" xfId="188" xr:uid="{00000000-0005-0000-0000-0000D2000000}"/>
    <cellStyle name="Normal 10 2 2 2" xfId="189" xr:uid="{00000000-0005-0000-0000-0000D3000000}"/>
    <cellStyle name="Normal 10 3" xfId="190" xr:uid="{00000000-0005-0000-0000-0000D4000000}"/>
    <cellStyle name="Normal 11" xfId="31" xr:uid="{00000000-0005-0000-0000-0000D5000000}"/>
    <cellStyle name="Normal 11 2" xfId="191" xr:uid="{00000000-0005-0000-0000-0000D6000000}"/>
    <cellStyle name="Normal 11 2 2" xfId="192" xr:uid="{00000000-0005-0000-0000-0000D7000000}"/>
    <cellStyle name="Normal 11 3" xfId="193" xr:uid="{00000000-0005-0000-0000-0000D8000000}"/>
    <cellStyle name="Normal 12" xfId="36" xr:uid="{00000000-0005-0000-0000-0000D9000000}"/>
    <cellStyle name="Normal 12 2" xfId="194" xr:uid="{00000000-0005-0000-0000-0000DA000000}"/>
    <cellStyle name="Normal 12 2 2" xfId="195" xr:uid="{00000000-0005-0000-0000-0000DB000000}"/>
    <cellStyle name="Normal 12 3" xfId="196" xr:uid="{00000000-0005-0000-0000-0000DC000000}"/>
    <cellStyle name="Normal 13" xfId="197" xr:uid="{00000000-0005-0000-0000-0000DD000000}"/>
    <cellStyle name="Normal 13 2" xfId="198" xr:uid="{00000000-0005-0000-0000-0000DE000000}"/>
    <cellStyle name="Normal 13 2 2" xfId="199" xr:uid="{00000000-0005-0000-0000-0000DF000000}"/>
    <cellStyle name="Normal 13 3" xfId="200" xr:uid="{00000000-0005-0000-0000-0000E0000000}"/>
    <cellStyle name="Normal 14" xfId="201" xr:uid="{00000000-0005-0000-0000-0000E1000000}"/>
    <cellStyle name="Normal 14 2" xfId="202" xr:uid="{00000000-0005-0000-0000-0000E2000000}"/>
    <cellStyle name="Normal 14 2 2" xfId="203" xr:uid="{00000000-0005-0000-0000-0000E3000000}"/>
    <cellStyle name="Normal 14 3" xfId="204" xr:uid="{00000000-0005-0000-0000-0000E4000000}"/>
    <cellStyle name="Normal 15" xfId="205" xr:uid="{00000000-0005-0000-0000-0000E5000000}"/>
    <cellStyle name="Normal 15 2" xfId="206" xr:uid="{00000000-0005-0000-0000-0000E6000000}"/>
    <cellStyle name="Normal 15 2 2" xfId="207" xr:uid="{00000000-0005-0000-0000-0000E7000000}"/>
    <cellStyle name="Normal 15 3" xfId="208" xr:uid="{00000000-0005-0000-0000-0000E8000000}"/>
    <cellStyle name="Normal 16" xfId="209" xr:uid="{00000000-0005-0000-0000-0000E9000000}"/>
    <cellStyle name="Normal 16 2" xfId="210" xr:uid="{00000000-0005-0000-0000-0000EA000000}"/>
    <cellStyle name="Normal 17" xfId="211" xr:uid="{00000000-0005-0000-0000-0000EB000000}"/>
    <cellStyle name="Normal 17 2" xfId="212" xr:uid="{00000000-0005-0000-0000-0000EC000000}"/>
    <cellStyle name="Normal 18" xfId="213" xr:uid="{00000000-0005-0000-0000-0000ED000000}"/>
    <cellStyle name="Normal 19" xfId="214" xr:uid="{00000000-0005-0000-0000-0000EE000000}"/>
    <cellStyle name="Normal 2" xfId="1" xr:uid="{00000000-0005-0000-0000-0000EF000000}"/>
    <cellStyle name="Normal 2 2" xfId="8" xr:uid="{00000000-0005-0000-0000-0000F0000000}"/>
    <cellStyle name="Normal 2 2 2" xfId="216" xr:uid="{00000000-0005-0000-0000-0000F1000000}"/>
    <cellStyle name="Normal 2 2 2 2" xfId="217" xr:uid="{00000000-0005-0000-0000-0000F2000000}"/>
    <cellStyle name="Normal 2 2 2 2 2" xfId="218" xr:uid="{00000000-0005-0000-0000-0000F3000000}"/>
    <cellStyle name="Normal 2 2 2 2 2 2" xfId="219" xr:uid="{00000000-0005-0000-0000-0000F4000000}"/>
    <cellStyle name="Normal 2 2 2 2 3" xfId="220" xr:uid="{00000000-0005-0000-0000-0000F5000000}"/>
    <cellStyle name="Normal 2 2 2 3" xfId="221" xr:uid="{00000000-0005-0000-0000-0000F6000000}"/>
    <cellStyle name="Normal 2 2 2 3 2" xfId="222" xr:uid="{00000000-0005-0000-0000-0000F7000000}"/>
    <cellStyle name="Normal 2 2 2 4" xfId="223" xr:uid="{00000000-0005-0000-0000-0000F8000000}"/>
    <cellStyle name="Normal 2 2 3" xfId="224" xr:uid="{00000000-0005-0000-0000-0000F9000000}"/>
    <cellStyle name="Normal 2 2 3 2" xfId="225" xr:uid="{00000000-0005-0000-0000-0000FA000000}"/>
    <cellStyle name="Normal 2 2 4" xfId="226" xr:uid="{00000000-0005-0000-0000-0000FB000000}"/>
    <cellStyle name="Normal 2 2 5" xfId="215" xr:uid="{00000000-0005-0000-0000-0000FC000000}"/>
    <cellStyle name="Normal 2 2 6" xfId="172" xr:uid="{00000000-0005-0000-0000-0000FD000000}"/>
    <cellStyle name="Normal 2 3" xfId="21" xr:uid="{00000000-0005-0000-0000-0000FE000000}"/>
    <cellStyle name="Normal 2 3 2" xfId="129" xr:uid="{00000000-0005-0000-0000-0000FF000000}"/>
    <cellStyle name="Normal 2 3 2 2" xfId="337" xr:uid="{00000000-0005-0000-0000-000000010000}"/>
    <cellStyle name="Normal 2 4" xfId="32" xr:uid="{00000000-0005-0000-0000-000001010000}"/>
    <cellStyle name="Normal 2 4 2" xfId="227" xr:uid="{00000000-0005-0000-0000-000002010000}"/>
    <cellStyle name="Normal 2 5" xfId="11" xr:uid="{00000000-0005-0000-0000-000003010000}"/>
    <cellStyle name="Normal 2 6" xfId="333" xr:uid="{00000000-0005-0000-0000-000004010000}"/>
    <cellStyle name="Normal 2 7" xfId="345" xr:uid="{00000000-0005-0000-0000-000005010000}"/>
    <cellStyle name="Normal 20" xfId="228" xr:uid="{00000000-0005-0000-0000-000006010000}"/>
    <cellStyle name="Normal 21" xfId="334" xr:uid="{00000000-0005-0000-0000-000007010000}"/>
    <cellStyle name="Normal 22" xfId="343" xr:uid="{00000000-0005-0000-0000-000008010000}"/>
    <cellStyle name="Normal 22 2" xfId="357" xr:uid="{00000000-0005-0000-0000-000009010000}"/>
    <cellStyle name="Normal 23" xfId="344" xr:uid="{00000000-0005-0000-0000-00000A010000}"/>
    <cellStyle name="Normal 3" xfId="19" xr:uid="{00000000-0005-0000-0000-00000B010000}"/>
    <cellStyle name="Normal 3 2" xfId="35" xr:uid="{00000000-0005-0000-0000-00000C010000}"/>
    <cellStyle name="Normal 3 2 2" xfId="230" xr:uid="{00000000-0005-0000-0000-00000D010000}"/>
    <cellStyle name="Normal 3 3" xfId="231" xr:uid="{00000000-0005-0000-0000-00000E010000}"/>
    <cellStyle name="Normal 3 4" xfId="229" xr:uid="{00000000-0005-0000-0000-00000F010000}"/>
    <cellStyle name="Normal 4" xfId="10" xr:uid="{00000000-0005-0000-0000-000010010000}"/>
    <cellStyle name="Normal 4 2" xfId="181" xr:uid="{00000000-0005-0000-0000-000011010000}"/>
    <cellStyle name="Normal 4 3" xfId="232" xr:uid="{00000000-0005-0000-0000-000012010000}"/>
    <cellStyle name="Normal 4 4" xfId="135" xr:uid="{00000000-0005-0000-0000-000013010000}"/>
    <cellStyle name="Normal 5" xfId="13" xr:uid="{00000000-0005-0000-0000-000014010000}"/>
    <cellStyle name="Normal 5 2" xfId="233" xr:uid="{00000000-0005-0000-0000-000015010000}"/>
    <cellStyle name="Normal 5 2 2" xfId="336" xr:uid="{00000000-0005-0000-0000-000016010000}"/>
    <cellStyle name="Normal 5 3" xfId="348" xr:uid="{00000000-0005-0000-0000-000017010000}"/>
    <cellStyle name="Normal 6" xfId="9" xr:uid="{00000000-0005-0000-0000-000018010000}"/>
    <cellStyle name="Normal 6 2" xfId="92" xr:uid="{00000000-0005-0000-0000-000019010000}"/>
    <cellStyle name="Normal 6 2 2" xfId="335" xr:uid="{00000000-0005-0000-0000-00001A010000}"/>
    <cellStyle name="Normal 7" xfId="22" xr:uid="{00000000-0005-0000-0000-00001B010000}"/>
    <cellStyle name="Normal 7 2" xfId="234" xr:uid="{00000000-0005-0000-0000-00001C010000}"/>
    <cellStyle name="Normal 7 2 2" xfId="235" xr:uid="{00000000-0005-0000-0000-00001D010000}"/>
    <cellStyle name="Normal 7 3" xfId="236" xr:uid="{00000000-0005-0000-0000-00001E010000}"/>
    <cellStyle name="Normal 8" xfId="24" xr:uid="{00000000-0005-0000-0000-00001F010000}"/>
    <cellStyle name="Normal 8 2" xfId="237" xr:uid="{00000000-0005-0000-0000-000020010000}"/>
    <cellStyle name="Normal 8 2 2" xfId="238" xr:uid="{00000000-0005-0000-0000-000021010000}"/>
    <cellStyle name="Normal 8 3" xfId="239" xr:uid="{00000000-0005-0000-0000-000022010000}"/>
    <cellStyle name="Normal 9" xfId="28" xr:uid="{00000000-0005-0000-0000-000023010000}"/>
    <cellStyle name="Normal 9 2" xfId="240" xr:uid="{00000000-0005-0000-0000-000024010000}"/>
    <cellStyle name="Normal 9 2 2" xfId="241" xr:uid="{00000000-0005-0000-0000-000025010000}"/>
    <cellStyle name="Normal 9 3" xfId="242" xr:uid="{00000000-0005-0000-0000-000026010000}"/>
    <cellStyle name="Normal 9 4" xfId="243" xr:uid="{00000000-0005-0000-0000-000027010000}"/>
    <cellStyle name="Note" xfId="305" builtinId="10" customBuiltin="1"/>
    <cellStyle name="Note 2" xfId="173" xr:uid="{00000000-0005-0000-0000-000029010000}"/>
    <cellStyle name="Note 2 2" xfId="244" xr:uid="{00000000-0005-0000-0000-00002A010000}"/>
    <cellStyle name="Note 2 3" xfId="271" xr:uid="{00000000-0005-0000-0000-00002B010000}"/>
    <cellStyle name="Note 3" xfId="130" xr:uid="{00000000-0005-0000-0000-00002C010000}"/>
    <cellStyle name="Note 3 2" xfId="245" xr:uid="{00000000-0005-0000-0000-00002D010000}"/>
    <cellStyle name="Note 3 2 2" xfId="275" xr:uid="{00000000-0005-0000-0000-00002E010000}"/>
    <cellStyle name="Note 3 3" xfId="254" xr:uid="{00000000-0005-0000-0000-00002F010000}"/>
    <cellStyle name="Note 3 3 2" xfId="283" xr:uid="{00000000-0005-0000-0000-000030010000}"/>
    <cellStyle name="Note 3 4" xfId="257" xr:uid="{00000000-0005-0000-0000-000031010000}"/>
    <cellStyle name="Note 3 4 2" xfId="286" xr:uid="{00000000-0005-0000-0000-000032010000}"/>
    <cellStyle name="Note 3 5" xfId="260" xr:uid="{00000000-0005-0000-0000-000033010000}"/>
    <cellStyle name="Note 3 5 2" xfId="289" xr:uid="{00000000-0005-0000-0000-000034010000}"/>
    <cellStyle name="Note 3 6" xfId="263" xr:uid="{00000000-0005-0000-0000-000035010000}"/>
    <cellStyle name="Note 3 7" xfId="268" xr:uid="{00000000-0005-0000-0000-000036010000}"/>
    <cellStyle name="Note 4" xfId="350" xr:uid="{00000000-0005-0000-0000-000037010000}"/>
    <cellStyle name="Output" xfId="300" builtinId="21" customBuiltin="1"/>
    <cellStyle name="Output 2" xfId="174" xr:uid="{00000000-0005-0000-0000-000039010000}"/>
    <cellStyle name="Output 2 2" xfId="246" xr:uid="{00000000-0005-0000-0000-00003A010000}"/>
    <cellStyle name="Output 2 2 2" xfId="276" xr:uid="{00000000-0005-0000-0000-00003B010000}"/>
    <cellStyle name="Output 2 3" xfId="255" xr:uid="{00000000-0005-0000-0000-00003C010000}"/>
    <cellStyle name="Output 2 3 2" xfId="284" xr:uid="{00000000-0005-0000-0000-00003D010000}"/>
    <cellStyle name="Output 2 4" xfId="258" xr:uid="{00000000-0005-0000-0000-00003E010000}"/>
    <cellStyle name="Output 2 4 2" xfId="287" xr:uid="{00000000-0005-0000-0000-00003F010000}"/>
    <cellStyle name="Output 2 5" xfId="261" xr:uid="{00000000-0005-0000-0000-000040010000}"/>
    <cellStyle name="Output 2 5 2" xfId="290" xr:uid="{00000000-0005-0000-0000-000041010000}"/>
    <cellStyle name="Output 2 6" xfId="264" xr:uid="{00000000-0005-0000-0000-000042010000}"/>
    <cellStyle name="Output 3" xfId="131" xr:uid="{00000000-0005-0000-0000-000043010000}"/>
    <cellStyle name="Output 3 2" xfId="269" xr:uid="{00000000-0005-0000-0000-000044010000}"/>
    <cellStyle name="Pending Change - IBM Cognos" xfId="83" xr:uid="{00000000-0005-0000-0000-000045010000}"/>
    <cellStyle name="Percent" xfId="4" builtinId="5"/>
    <cellStyle name="Percent 2" xfId="16" xr:uid="{00000000-0005-0000-0000-000047010000}"/>
    <cellStyle name="Percent 3" xfId="18" xr:uid="{00000000-0005-0000-0000-000048010000}"/>
    <cellStyle name="Percent 3 2" xfId="180" xr:uid="{00000000-0005-0000-0000-000049010000}"/>
    <cellStyle name="Percent 4" xfId="7" xr:uid="{00000000-0005-0000-0000-00004A010000}"/>
    <cellStyle name="Percent 5" xfId="347" xr:uid="{00000000-0005-0000-0000-00004B010000}"/>
    <cellStyle name="Row Name - IBM Cognos" xfId="84" xr:uid="{00000000-0005-0000-0000-00004C010000}"/>
    <cellStyle name="Row Template - IBM Cognos" xfId="85" xr:uid="{00000000-0005-0000-0000-00004D010000}"/>
    <cellStyle name="Summary Column Name - IBM Cognos" xfId="86" xr:uid="{00000000-0005-0000-0000-00004E010000}"/>
    <cellStyle name="Summary Column Name TM1 - IBM Cognos" xfId="87" xr:uid="{00000000-0005-0000-0000-00004F010000}"/>
    <cellStyle name="Summary Row Name - IBM Cognos" xfId="88" xr:uid="{00000000-0005-0000-0000-000050010000}"/>
    <cellStyle name="Summary Row Name TM1 - IBM Cognos" xfId="89" xr:uid="{00000000-0005-0000-0000-000051010000}"/>
    <cellStyle name="Title 2" xfId="175" xr:uid="{00000000-0005-0000-0000-000052010000}"/>
    <cellStyle name="Title 3" xfId="132" xr:uid="{00000000-0005-0000-0000-000053010000}"/>
    <cellStyle name="Title 4" xfId="332" xr:uid="{00000000-0005-0000-0000-000054010000}"/>
    <cellStyle name="Total" xfId="307" builtinId="25" customBuiltin="1"/>
    <cellStyle name="Total 2" xfId="176" xr:uid="{00000000-0005-0000-0000-000056010000}"/>
    <cellStyle name="Total 2 2" xfId="247" xr:uid="{00000000-0005-0000-0000-000057010000}"/>
    <cellStyle name="Total 2 2 2" xfId="277" xr:uid="{00000000-0005-0000-0000-000058010000}"/>
    <cellStyle name="Total 2 3" xfId="256" xr:uid="{00000000-0005-0000-0000-000059010000}"/>
    <cellStyle name="Total 2 3 2" xfId="285" xr:uid="{00000000-0005-0000-0000-00005A010000}"/>
    <cellStyle name="Total 2 4" xfId="259" xr:uid="{00000000-0005-0000-0000-00005B010000}"/>
    <cellStyle name="Total 2 4 2" xfId="288" xr:uid="{00000000-0005-0000-0000-00005C010000}"/>
    <cellStyle name="Total 2 5" xfId="262" xr:uid="{00000000-0005-0000-0000-00005D010000}"/>
    <cellStyle name="Total 2 5 2" xfId="291" xr:uid="{00000000-0005-0000-0000-00005E010000}"/>
    <cellStyle name="Total 2 6" xfId="265" xr:uid="{00000000-0005-0000-0000-00005F010000}"/>
    <cellStyle name="Total 3" xfId="133" xr:uid="{00000000-0005-0000-0000-000060010000}"/>
    <cellStyle name="Total 3 2" xfId="270" xr:uid="{00000000-0005-0000-0000-000061010000}"/>
    <cellStyle name="Unsaved Change - IBM Cognos" xfId="90" xr:uid="{00000000-0005-0000-0000-000062010000}"/>
    <cellStyle name="Warning Text" xfId="304" builtinId="11" customBuiltin="1"/>
    <cellStyle name="Warning Text 2" xfId="177" xr:uid="{00000000-0005-0000-0000-000064010000}"/>
    <cellStyle name="Warning Text 3" xfId="134" xr:uid="{00000000-0005-0000-0000-000065010000}"/>
  </cellStyles>
  <dxfs count="3">
    <dxf>
      <fill>
        <patternFill>
          <bgColor theme="4" tint="0.79998168889431442"/>
        </patternFill>
      </fill>
      <border>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ill>
        <patternFill patternType="solid">
          <fgColor theme="4" tint="0.79992065187536243"/>
          <bgColor theme="4" tint="0.59996337778862885"/>
        </patternFill>
      </fill>
      <border diagonalUp="0" diagonalDown="0">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ont>
        <strike val="0"/>
        <color theme="3"/>
      </font>
      <border diagonalUp="0" diagonalDown="0">
        <left/>
        <right/>
        <top/>
        <bottom/>
        <vertical/>
        <horizontal/>
      </border>
    </dxf>
  </dxfs>
  <tableStyles count="1" defaultTableStyle="TableStyleMedium2" defaultPivotStyle="PivotStyleLight16">
    <tableStyle name="Data Loader Table" pivot="0" count="3" xr9:uid="{00000000-0011-0000-FFFF-FFFF00000000}">
      <tableStyleElement type="headerRow" dxfId="2"/>
      <tableStyleElement type="firstRowStripe" dxfId="1"/>
      <tableStyleElement type="secondRowStripe" dxfId="0"/>
    </tableStyle>
  </tableStyles>
  <colors>
    <mruColors>
      <color rgb="FFA6006F"/>
      <color rgb="FF5C2D91"/>
      <color rgb="FF4287F5"/>
      <color rgb="FF107C1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1420454545454543"/>
          <c:w val="0.99973951868878941"/>
          <c:h val="0.83264228047443434"/>
        </c:manualLayout>
      </c:layout>
      <c:pie3DChart>
        <c:varyColors val="1"/>
        <c:ser>
          <c:idx val="0"/>
          <c:order val="0"/>
          <c:dPt>
            <c:idx val="0"/>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1-AD73-4C52-B7A8-4DF0DC3283C3}"/>
              </c:ext>
            </c:extLst>
          </c:dPt>
          <c:dPt>
            <c:idx val="1"/>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3-AD73-4C52-B7A8-4DF0DC3283C3}"/>
              </c:ext>
            </c:extLst>
          </c:dPt>
          <c:dPt>
            <c:idx val="2"/>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5-AD73-4C52-B7A8-4DF0DC3283C3}"/>
              </c:ext>
            </c:extLst>
          </c:dPt>
          <c:dPt>
            <c:idx val="3"/>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7-AD73-4C52-B7A8-4DF0DC3283C3}"/>
              </c:ext>
            </c:extLst>
          </c:dPt>
          <c:dPt>
            <c:idx val="4"/>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AD73-4C52-B7A8-4DF0DC3283C3}"/>
              </c:ext>
            </c:extLst>
          </c:dPt>
          <c:dPt>
            <c:idx val="5"/>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AD73-4C52-B7A8-4DF0DC3283C3}"/>
              </c:ext>
            </c:extLst>
          </c:dPt>
          <c:dPt>
            <c:idx val="6"/>
            <c:bubble3D val="0"/>
            <c:spPr>
              <a:solidFill>
                <a:schemeClr val="tx2"/>
              </a:solidFill>
              <a:ln w="25400">
                <a:solidFill>
                  <a:schemeClr val="lt1"/>
                </a:solidFill>
              </a:ln>
              <a:effectLst/>
              <a:sp3d contourW="25400">
                <a:contourClr>
                  <a:schemeClr val="lt1"/>
                </a:contourClr>
              </a:sp3d>
            </c:spPr>
            <c:extLst>
              <c:ext xmlns:c16="http://schemas.microsoft.com/office/drawing/2014/chart" uri="{C3380CC4-5D6E-409C-BE32-E72D297353CC}">
                <c16:uniqueId val="{0000000D-AD73-4C52-B7A8-4DF0DC3283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'PP4'!$C$7:$C$13</c:f>
              <c:strCache>
                <c:ptCount val="7"/>
                <c:pt idx="0">
                  <c:v>Material</c:v>
                </c:pt>
                <c:pt idx="1">
                  <c:v>Labor and Equipment</c:v>
                </c:pt>
                <c:pt idx="2">
                  <c:v>Right of Way</c:v>
                </c:pt>
                <c:pt idx="3">
                  <c:v>Engineering, Permit, Indirect</c:v>
                </c:pt>
                <c:pt idx="4">
                  <c:v>Escalation</c:v>
                </c:pt>
                <c:pt idx="5">
                  <c:v>AFUDC</c:v>
                </c:pt>
                <c:pt idx="6">
                  <c:v>Contingency</c:v>
                </c:pt>
              </c:strCache>
            </c:strRef>
          </c:cat>
          <c:val>
            <c:numRef>
              <c:f>'PP4'!$G$7:$G$13</c:f>
              <c:numCache>
                <c:formatCode>_(* #,##0_);_(* \(#,##0\);_(* "-"??_);_(@_)</c:formatCode>
                <c:ptCount val="7"/>
                <c:pt idx="0">
                  <c:v>19202201.040631365</c:v>
                </c:pt>
                <c:pt idx="1">
                  <c:v>16213138.879591011</c:v>
                </c:pt>
                <c:pt idx="2">
                  <c:v>3058.0747517759264</c:v>
                </c:pt>
                <c:pt idx="3">
                  <c:v>9862329.4044764601</c:v>
                </c:pt>
                <c:pt idx="4">
                  <c:v>3403979.6753960839</c:v>
                </c:pt>
                <c:pt idx="5">
                  <c:v>5274012.2690653121</c:v>
                </c:pt>
                <c:pt idx="6">
                  <c:v>9681864</c:v>
                </c:pt>
              </c:numCache>
            </c:numRef>
          </c:val>
          <c:extLst>
            <c:ext xmlns:c16="http://schemas.microsoft.com/office/drawing/2014/chart" uri="{C3380CC4-5D6E-409C-BE32-E72D297353CC}">
              <c16:uniqueId val="{0000000E-AD73-4C52-B7A8-4DF0DC3283C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1432009</xdr:colOff>
      <xdr:row>1</xdr:row>
      <xdr:rowOff>24912</xdr:rowOff>
    </xdr:from>
    <xdr:to>
      <xdr:col>3</xdr:col>
      <xdr:colOff>2089326</xdr:colOff>
      <xdr:row>2</xdr:row>
      <xdr:rowOff>177360</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stretch>
          <a:fillRect/>
        </a:stretch>
      </xdr:blipFill>
      <xdr:spPr>
        <a:xfrm>
          <a:off x="11627569" y="207792"/>
          <a:ext cx="657317" cy="335328"/>
        </a:xfrm>
        <a:prstGeom prst="rect">
          <a:avLst/>
        </a:prstGeom>
      </xdr:spPr>
    </xdr:pic>
    <xdr:clientData/>
  </xdr:twoCellAnchor>
  <xdr:twoCellAnchor>
    <xdr:from>
      <xdr:col>2</xdr:col>
      <xdr:colOff>27995</xdr:colOff>
      <xdr:row>0</xdr:row>
      <xdr:rowOff>83820</xdr:rowOff>
    </xdr:from>
    <xdr:to>
      <xdr:col>3</xdr:col>
      <xdr:colOff>7620</xdr:colOff>
      <xdr:row>3</xdr:row>
      <xdr:rowOff>100182</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68275" y="83820"/>
          <a:ext cx="3804865" cy="565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800" baseline="0">
              <a:latin typeface="Arial" pitchFamily="34" charset="0"/>
              <a:cs typeface="Arial" pitchFamily="34" charset="0"/>
            </a:rPr>
            <a:t>Estimate Summary Form</a:t>
          </a:r>
          <a:endParaRPr lang="en-US" sz="1800">
            <a:latin typeface="Arial" pitchFamily="34" charset="0"/>
            <a:cs typeface="Arial" pitchFamily="34" charset="0"/>
          </a:endParaRPr>
        </a:p>
        <a:p>
          <a:r>
            <a:rPr lang="en-US" sz="1200" b="1">
              <a:solidFill>
                <a:schemeClr val="accent1">
                  <a:lumMod val="75000"/>
                </a:schemeClr>
              </a:solidFill>
              <a:latin typeface="Arial" pitchFamily="34" charset="0"/>
              <a:cs typeface="Arial" pitchFamily="34" charset="0"/>
            </a:rPr>
            <a:t>Table</a:t>
          </a:r>
          <a:r>
            <a:rPr lang="en-US" sz="1200" b="1" baseline="0">
              <a:solidFill>
                <a:schemeClr val="accent1">
                  <a:lumMod val="75000"/>
                </a:schemeClr>
              </a:solidFill>
              <a:latin typeface="Arial" pitchFamily="34" charset="0"/>
              <a:cs typeface="Arial" pitchFamily="34" charset="0"/>
            </a:rPr>
            <a:t> of contents</a:t>
          </a:r>
        </a:p>
      </xdr:txBody>
    </xdr:sp>
    <xdr:clientData/>
  </xdr:twoCellAnchor>
  <xdr:twoCellAnchor editAs="oneCell">
    <xdr:from>
      <xdr:col>1</xdr:col>
      <xdr:colOff>7620</xdr:colOff>
      <xdr:row>1</xdr:row>
      <xdr:rowOff>131902</xdr:rowOff>
    </xdr:from>
    <xdr:to>
      <xdr:col>1</xdr:col>
      <xdr:colOff>1886524</xdr:colOff>
      <xdr:row>2</xdr:row>
      <xdr:rowOff>177622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445" y="322402"/>
          <a:ext cx="1878904" cy="2362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3</xdr:row>
      <xdr:rowOff>60960</xdr:rowOff>
    </xdr:from>
    <xdr:to>
      <xdr:col>14</xdr:col>
      <xdr:colOff>0</xdr:colOff>
      <xdr:row>14</xdr:row>
      <xdr:rowOff>15240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OC">
    <tabColor theme="0"/>
    <pageSetUpPr fitToPage="1"/>
  </sheetPr>
  <dimension ref="B3:D40"/>
  <sheetViews>
    <sheetView showGridLines="0" zoomScaleNormal="100" workbookViewId="0"/>
  </sheetViews>
  <sheetFormatPr defaultColWidth="8.85546875" defaultRowHeight="15" x14ac:dyDescent="0.25"/>
  <cols>
    <col min="1" max="1" width="1.85546875" customWidth="1"/>
    <col min="2" max="2" width="30.7109375" customWidth="1"/>
    <col min="3" max="3" width="55.7109375" customWidth="1"/>
    <col min="4" max="4" width="30.7109375" customWidth="1"/>
  </cols>
  <sheetData>
    <row r="3" spans="2:4" x14ac:dyDescent="0.25">
      <c r="B3" s="203"/>
      <c r="C3" s="203"/>
      <c r="D3" s="203" t="s">
        <v>2</v>
      </c>
    </row>
    <row r="5" spans="2:4" ht="15.75" x14ac:dyDescent="0.25">
      <c r="B5" s="204"/>
      <c r="C5" s="204"/>
      <c r="D5" s="204"/>
    </row>
    <row r="6" spans="2:4" x14ac:dyDescent="0.25">
      <c r="B6" s="205"/>
      <c r="C6" s="205"/>
      <c r="D6" s="205"/>
    </row>
    <row r="7" spans="2:4" x14ac:dyDescent="0.25">
      <c r="B7" s="206" t="s">
        <v>475</v>
      </c>
      <c r="C7" s="206"/>
      <c r="D7" s="206"/>
    </row>
    <row r="8" spans="2:4" x14ac:dyDescent="0.25">
      <c r="B8" s="206" t="s">
        <v>467</v>
      </c>
      <c r="C8" s="206"/>
      <c r="D8" s="206"/>
    </row>
    <row r="9" spans="2:4" x14ac:dyDescent="0.25">
      <c r="B9" s="207" t="s">
        <v>65</v>
      </c>
      <c r="C9" s="207"/>
      <c r="D9" s="207"/>
    </row>
    <row r="10" spans="2:4" x14ac:dyDescent="0.25">
      <c r="B10" s="207" t="s">
        <v>109</v>
      </c>
      <c r="C10" s="207"/>
      <c r="D10" s="207"/>
    </row>
    <row r="11" spans="2:4" x14ac:dyDescent="0.25">
      <c r="B11" s="207" t="s">
        <v>542</v>
      </c>
      <c r="D11" s="207"/>
    </row>
    <row r="12" spans="2:4" x14ac:dyDescent="0.25">
      <c r="B12" s="207" t="s">
        <v>170</v>
      </c>
      <c r="D12" s="206"/>
    </row>
    <row r="13" spans="2:4" x14ac:dyDescent="0.25">
      <c r="B13" s="206" t="s">
        <v>508</v>
      </c>
      <c r="C13" s="208"/>
      <c r="D13" s="207"/>
    </row>
    <row r="14" spans="2:4" x14ac:dyDescent="0.25">
      <c r="B14" s="207" t="s">
        <v>509</v>
      </c>
      <c r="C14" s="209"/>
      <c r="D14" s="206"/>
    </row>
    <row r="15" spans="2:4" x14ac:dyDescent="0.25">
      <c r="B15" s="206" t="s">
        <v>510</v>
      </c>
      <c r="C15" s="206"/>
      <c r="D15" s="5"/>
    </row>
    <row r="16" spans="2:4" x14ac:dyDescent="0.25">
      <c r="B16" s="1" t="s">
        <v>0</v>
      </c>
      <c r="C16" s="209" t="s">
        <v>466</v>
      </c>
    </row>
    <row r="17" spans="2:4" x14ac:dyDescent="0.25">
      <c r="B17" s="1" t="s">
        <v>77</v>
      </c>
      <c r="C17" s="209" t="s">
        <v>466</v>
      </c>
      <c r="D17" s="5"/>
    </row>
    <row r="18" spans="2:4" x14ac:dyDescent="0.25">
      <c r="B18" s="5"/>
      <c r="C18" s="5"/>
    </row>
    <row r="19" spans="2:4" x14ac:dyDescent="0.25">
      <c r="D19" s="5"/>
    </row>
    <row r="20" spans="2:4" x14ac:dyDescent="0.25">
      <c r="B20" s="5"/>
      <c r="C20" s="5"/>
    </row>
    <row r="21" spans="2:4" x14ac:dyDescent="0.25">
      <c r="B21" s="5"/>
      <c r="C21" s="5"/>
      <c r="D21" s="5"/>
    </row>
    <row r="22" spans="2:4" x14ac:dyDescent="0.25">
      <c r="B22" s="5"/>
      <c r="C22" s="5"/>
      <c r="D22" s="5"/>
    </row>
    <row r="23" spans="2:4" x14ac:dyDescent="0.25">
      <c r="B23" s="5"/>
      <c r="C23" s="5"/>
      <c r="D23" s="5"/>
    </row>
    <row r="24" spans="2:4" x14ac:dyDescent="0.25">
      <c r="B24" s="5"/>
      <c r="C24" s="5"/>
      <c r="D24" s="5"/>
    </row>
    <row r="25" spans="2:4" x14ac:dyDescent="0.25">
      <c r="B25" s="5"/>
      <c r="C25" s="5"/>
      <c r="D25" s="5"/>
    </row>
    <row r="26" spans="2:4" x14ac:dyDescent="0.25">
      <c r="B26" s="5"/>
      <c r="C26" s="5"/>
      <c r="D26" s="5"/>
    </row>
    <row r="27" spans="2:4" x14ac:dyDescent="0.25">
      <c r="B27" s="5"/>
      <c r="C27" s="5"/>
      <c r="D27" s="5"/>
    </row>
    <row r="28" spans="2:4" x14ac:dyDescent="0.25">
      <c r="B28" s="5"/>
      <c r="C28" s="5"/>
      <c r="D28" s="5"/>
    </row>
    <row r="29" spans="2:4" x14ac:dyDescent="0.25">
      <c r="B29" s="5"/>
      <c r="C29" s="5"/>
      <c r="D29" s="5"/>
    </row>
    <row r="30" spans="2:4" x14ac:dyDescent="0.25">
      <c r="B30" s="5"/>
      <c r="C30" s="5"/>
      <c r="D30" s="5"/>
    </row>
    <row r="31" spans="2:4" x14ac:dyDescent="0.25">
      <c r="B31" s="5"/>
      <c r="C31" s="5"/>
      <c r="D31" s="5"/>
    </row>
    <row r="32" spans="2:4" x14ac:dyDescent="0.25">
      <c r="B32" s="5"/>
      <c r="C32" s="5"/>
      <c r="D32" s="5"/>
    </row>
    <row r="33" spans="2:4" x14ac:dyDescent="0.25">
      <c r="B33" s="5"/>
      <c r="C33" s="5"/>
      <c r="D33" s="5"/>
    </row>
    <row r="34" spans="2:4" x14ac:dyDescent="0.25">
      <c r="B34" s="5"/>
      <c r="C34" s="5"/>
      <c r="D34" s="5"/>
    </row>
    <row r="35" spans="2:4" x14ac:dyDescent="0.25">
      <c r="B35" s="5"/>
      <c r="C35" s="5"/>
      <c r="D35" s="5"/>
    </row>
    <row r="36" spans="2:4" x14ac:dyDescent="0.25">
      <c r="B36" s="5"/>
      <c r="C36" s="5"/>
      <c r="D36" s="5"/>
    </row>
    <row r="37" spans="2:4" x14ac:dyDescent="0.25">
      <c r="B37" s="5"/>
      <c r="C37" s="5"/>
      <c r="D37" s="5"/>
    </row>
    <row r="38" spans="2:4" x14ac:dyDescent="0.25">
      <c r="B38" s="5"/>
      <c r="C38" s="5"/>
      <c r="D38" s="5"/>
    </row>
    <row r="39" spans="2:4" x14ac:dyDescent="0.25">
      <c r="B39" s="5"/>
      <c r="C39" s="5"/>
      <c r="D39" s="5"/>
    </row>
    <row r="40" spans="2:4" x14ac:dyDescent="0.25">
      <c r="B40" s="9"/>
      <c r="C40" s="9"/>
      <c r="D40" s="9"/>
    </row>
  </sheetData>
  <sheetProtection sheet="1" objects="1" scenarios="1"/>
  <hyperlinks>
    <hyperlink ref="B9" location="Summary!A1" display="Summary" xr:uid="{00000000-0004-0000-0100-000001000000}"/>
    <hyperlink ref="B14" location="PAF!A1" display="PAF" xr:uid="{00000000-0004-0000-0100-000002000000}"/>
    <hyperlink ref="B10" location="Schedule!R1C1" display="Schedule" xr:uid="{00000000-0004-0000-0100-000003000000}"/>
    <hyperlink ref="B15" location="'PP4'!A1" display="PP4" xr:uid="{00000000-0004-0000-0100-000004000000}"/>
    <hyperlink ref="B12" location="Risk!A1" display="Risk anaysis" xr:uid="{00000000-0004-0000-0100-000005000000}"/>
    <hyperlink ref="B13" location="Item!A1" display="Item" xr:uid="{00000000-0004-0000-0100-000006000000}"/>
    <hyperlink ref="C16" location="'Table of contents'!B16" display="Click to display sheet" xr:uid="{00000000-0004-0000-0100-000007000000}"/>
    <hyperlink ref="C17" location="'Table of contents'!B17" display="Click to display sheet" xr:uid="{00000000-0004-0000-0100-000008000000}"/>
    <hyperlink ref="B8" location="Overview!A1" display="Overview" xr:uid="{00000000-0004-0000-0100-00000A000000}"/>
    <hyperlink ref="B7" location="'Scope and Clarifications'!A1" display="Scope and Clarifications" xr:uid="{00000000-0004-0000-0100-00000B000000}"/>
    <hyperlink ref="B11" location="Bid!A1" display="Bid" xr:uid="{115C9B07-AB7A-41D2-8828-34523C4EA23F}"/>
  </hyperlinks>
  <pageMargins left="0.7" right="0.7" top="0.75" bottom="0.75" header="0.3" footer="0.3"/>
  <pageSetup scale="7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eAndClarifications">
    <tabColor theme="4" tint="-0.499984740745262"/>
    <pageSetUpPr fitToPage="1"/>
  </sheetPr>
  <dimension ref="B2:F72"/>
  <sheetViews>
    <sheetView showGridLines="0" workbookViewId="0">
      <selection activeCell="I27" sqref="I27"/>
    </sheetView>
  </sheetViews>
  <sheetFormatPr defaultColWidth="8.85546875" defaultRowHeight="15" x14ac:dyDescent="0.25"/>
  <cols>
    <col min="1" max="1" width="2.7109375" customWidth="1"/>
    <col min="2" max="2" width="16.7109375" customWidth="1"/>
    <col min="3" max="3" width="40.7109375" customWidth="1"/>
    <col min="4" max="4" width="16.7109375" customWidth="1"/>
    <col min="5" max="5" width="134.5703125" customWidth="1"/>
    <col min="6" max="6" width="4.7109375" customWidth="1"/>
  </cols>
  <sheetData>
    <row r="2" spans="2:6" s="5" customFormat="1" x14ac:dyDescent="0.25">
      <c r="B2" s="220"/>
      <c r="F2" s="70" t="s">
        <v>66</v>
      </c>
    </row>
    <row r="3" spans="2:6" s="5" customFormat="1" x14ac:dyDescent="0.25">
      <c r="B3" s="220" t="s">
        <v>29</v>
      </c>
      <c r="C3" s="92" t="s">
        <v>544</v>
      </c>
      <c r="D3" s="72" t="s">
        <v>480</v>
      </c>
      <c r="E3" s="219">
        <v>46275.147603472222</v>
      </c>
    </row>
    <row r="4" spans="2:6" s="5" customFormat="1" x14ac:dyDescent="0.25">
      <c r="B4" s="220" t="s">
        <v>26</v>
      </c>
      <c r="C4" s="75" t="s">
        <v>545</v>
      </c>
      <c r="D4" s="72" t="s">
        <v>481</v>
      </c>
      <c r="E4" s="71" t="s">
        <v>136</v>
      </c>
    </row>
    <row r="5" spans="2:6" s="5" customFormat="1" x14ac:dyDescent="0.25">
      <c r="B5" s="220" t="s">
        <v>160</v>
      </c>
      <c r="C5" s="75" t="s">
        <v>546</v>
      </c>
      <c r="D5" s="72" t="s">
        <v>483</v>
      </c>
      <c r="E5" s="71" t="s">
        <v>549</v>
      </c>
    </row>
    <row r="6" spans="2:6" s="5" customFormat="1" x14ac:dyDescent="0.25">
      <c r="B6" s="220" t="s">
        <v>159</v>
      </c>
      <c r="C6" s="75" t="s">
        <v>547</v>
      </c>
      <c r="D6" s="72" t="s">
        <v>484</v>
      </c>
      <c r="E6" s="71" t="s">
        <v>549</v>
      </c>
    </row>
    <row r="7" spans="2:6" s="5" customFormat="1" x14ac:dyDescent="0.25">
      <c r="B7" s="220" t="s">
        <v>479</v>
      </c>
      <c r="C7" s="71" t="s">
        <v>548</v>
      </c>
    </row>
    <row r="8" spans="2:6" s="5" customFormat="1" ht="5.25" customHeight="1" x14ac:dyDescent="0.25">
      <c r="B8" s="72"/>
      <c r="C8" s="71"/>
    </row>
    <row r="9" spans="2:6" s="5" customFormat="1" ht="7.5" customHeight="1" x14ac:dyDescent="0.25">
      <c r="D9" s="72"/>
      <c r="E9" s="71"/>
    </row>
    <row r="10" spans="2:6" ht="6" customHeight="1" x14ac:dyDescent="0.25">
      <c r="B10" s="223"/>
    </row>
    <row r="11" spans="2:6" ht="6" customHeight="1" x14ac:dyDescent="0.25">
      <c r="B11" s="222"/>
      <c r="C11" s="78"/>
      <c r="D11" s="78"/>
      <c r="E11" s="78"/>
    </row>
    <row r="12" spans="2:6" ht="6" customHeight="1" x14ac:dyDescent="0.25">
      <c r="B12" s="223"/>
    </row>
    <row r="13" spans="2:6" ht="68.25" customHeight="1" x14ac:dyDescent="0.25">
      <c r="B13" s="220" t="s">
        <v>478</v>
      </c>
      <c r="C13" s="245" t="s">
        <v>550</v>
      </c>
      <c r="D13" s="245"/>
      <c r="E13" s="245"/>
    </row>
    <row r="14" spans="2:6" ht="6" customHeight="1" x14ac:dyDescent="0.25">
      <c r="B14" s="220"/>
      <c r="C14" s="5"/>
      <c r="D14" s="5"/>
    </row>
    <row r="15" spans="2:6" ht="278.25" customHeight="1" x14ac:dyDescent="0.25">
      <c r="B15" s="220" t="s">
        <v>477</v>
      </c>
      <c r="C15" s="245" t="s">
        <v>551</v>
      </c>
      <c r="D15" s="245"/>
      <c r="E15" s="245"/>
    </row>
    <row r="16" spans="2:6" ht="6" customHeight="1" x14ac:dyDescent="0.25"/>
    <row r="17" spans="2:5" s="5" customFormat="1" x14ac:dyDescent="0.25">
      <c r="B17" s="220" t="s">
        <v>29</v>
      </c>
      <c r="C17" s="71" t="s">
        <v>544</v>
      </c>
      <c r="D17" s="72" t="s">
        <v>488</v>
      </c>
      <c r="E17" s="244" t="s">
        <v>557</v>
      </c>
    </row>
    <row r="18" spans="2:5" s="5" customFormat="1" x14ac:dyDescent="0.25">
      <c r="B18" s="220" t="s">
        <v>70</v>
      </c>
      <c r="C18" s="92" t="s">
        <v>552</v>
      </c>
      <c r="D18" s="72" t="s">
        <v>490</v>
      </c>
      <c r="E18" s="244">
        <v>1</v>
      </c>
    </row>
    <row r="19" spans="2:5" s="5" customFormat="1" x14ac:dyDescent="0.25">
      <c r="B19" s="220" t="s">
        <v>485</v>
      </c>
      <c r="C19" s="244" t="s">
        <v>555</v>
      </c>
      <c r="D19" s="72" t="s">
        <v>489</v>
      </c>
      <c r="E19" s="244" t="s">
        <v>547</v>
      </c>
    </row>
    <row r="20" spans="2:5" s="5" customFormat="1" x14ac:dyDescent="0.25">
      <c r="B20" s="220" t="s">
        <v>486</v>
      </c>
      <c r="C20" s="244" t="s">
        <v>465</v>
      </c>
      <c r="D20" s="72" t="s">
        <v>27</v>
      </c>
      <c r="E20" s="219">
        <v>47115.208333333336</v>
      </c>
    </row>
    <row r="21" spans="2:5" s="5" customFormat="1" x14ac:dyDescent="0.25">
      <c r="B21" s="72" t="s">
        <v>469</v>
      </c>
      <c r="C21" s="244" t="s">
        <v>554</v>
      </c>
      <c r="D21" s="72" t="s">
        <v>482</v>
      </c>
      <c r="E21" s="244" t="s">
        <v>887</v>
      </c>
    </row>
    <row r="22" spans="2:5" s="5" customFormat="1" x14ac:dyDescent="0.25">
      <c r="B22" s="72" t="s">
        <v>72</v>
      </c>
      <c r="C22" s="244" t="s">
        <v>136</v>
      </c>
    </row>
    <row r="23" spans="2:5" s="5" customFormat="1" x14ac:dyDescent="0.25">
      <c r="B23" s="72" t="s">
        <v>487</v>
      </c>
      <c r="C23" s="244" t="s">
        <v>556</v>
      </c>
    </row>
    <row r="24" spans="2:5" ht="6" customHeight="1" x14ac:dyDescent="0.25">
      <c r="B24" s="221"/>
      <c r="D24" s="72"/>
      <c r="E24" s="244"/>
    </row>
    <row r="25" spans="2:5" ht="6" customHeight="1" x14ac:dyDescent="0.25">
      <c r="B25" s="215"/>
      <c r="C25" s="215"/>
      <c r="D25" s="215"/>
      <c r="E25" s="215"/>
    </row>
    <row r="26" spans="2:5" ht="6" customHeight="1" x14ac:dyDescent="0.25"/>
    <row r="27" spans="2:5" ht="355.5" customHeight="1" x14ac:dyDescent="0.25">
      <c r="B27" s="220" t="s">
        <v>476</v>
      </c>
      <c r="C27" s="245" t="s">
        <v>558</v>
      </c>
      <c r="D27" s="245"/>
      <c r="E27" s="245"/>
    </row>
    <row r="28" spans="2:5" ht="6" customHeight="1" x14ac:dyDescent="0.25">
      <c r="B28" s="220"/>
      <c r="C28" s="5"/>
      <c r="D28" s="5"/>
    </row>
    <row r="29" spans="2:5" ht="126.75" customHeight="1" x14ac:dyDescent="0.25">
      <c r="B29" s="220" t="s">
        <v>477</v>
      </c>
      <c r="C29" s="245" t="s">
        <v>560</v>
      </c>
      <c r="D29" s="245"/>
      <c r="E29" s="245"/>
    </row>
    <row r="30" spans="2:5" ht="6" customHeight="1" x14ac:dyDescent="0.25">
      <c r="B30" s="223"/>
    </row>
    <row r="31" spans="2:5" s="5" customFormat="1" x14ac:dyDescent="0.25">
      <c r="B31" s="220" t="s">
        <v>29</v>
      </c>
      <c r="C31" s="71" t="s">
        <v>544</v>
      </c>
      <c r="D31" s="72" t="s">
        <v>488</v>
      </c>
      <c r="E31" s="244" t="s">
        <v>557</v>
      </c>
    </row>
    <row r="32" spans="2:5" s="5" customFormat="1" x14ac:dyDescent="0.25">
      <c r="B32" s="220" t="s">
        <v>70</v>
      </c>
      <c r="C32" s="92" t="s">
        <v>553</v>
      </c>
      <c r="D32" s="72" t="s">
        <v>490</v>
      </c>
      <c r="E32" s="244">
        <v>1</v>
      </c>
    </row>
    <row r="33" spans="2:5" s="5" customFormat="1" x14ac:dyDescent="0.25">
      <c r="B33" s="220" t="s">
        <v>485</v>
      </c>
      <c r="C33" s="244" t="s">
        <v>555</v>
      </c>
      <c r="D33" s="72" t="s">
        <v>489</v>
      </c>
      <c r="E33" s="244" t="s">
        <v>547</v>
      </c>
    </row>
    <row r="34" spans="2:5" s="5" customFormat="1" x14ac:dyDescent="0.25">
      <c r="B34" s="220" t="s">
        <v>486</v>
      </c>
      <c r="C34" s="244" t="s">
        <v>465</v>
      </c>
      <c r="D34" s="72" t="s">
        <v>27</v>
      </c>
      <c r="E34" s="219">
        <v>47115.208333333336</v>
      </c>
    </row>
    <row r="35" spans="2:5" s="5" customFormat="1" x14ac:dyDescent="0.25">
      <c r="B35" s="72" t="s">
        <v>469</v>
      </c>
      <c r="C35" s="244" t="s">
        <v>554</v>
      </c>
      <c r="D35" s="72" t="s">
        <v>482</v>
      </c>
      <c r="E35" s="244" t="s">
        <v>888</v>
      </c>
    </row>
    <row r="36" spans="2:5" s="5" customFormat="1" x14ac:dyDescent="0.25">
      <c r="B36" s="72" t="s">
        <v>72</v>
      </c>
      <c r="C36" s="244" t="s">
        <v>136</v>
      </c>
    </row>
    <row r="37" spans="2:5" s="5" customFormat="1" x14ac:dyDescent="0.25">
      <c r="B37" s="72" t="s">
        <v>487</v>
      </c>
      <c r="C37" s="244" t="s">
        <v>19</v>
      </c>
    </row>
    <row r="38" spans="2:5" ht="6" customHeight="1" x14ac:dyDescent="0.25">
      <c r="B38" s="221"/>
      <c r="D38" s="72"/>
      <c r="E38" s="244"/>
    </row>
    <row r="39" spans="2:5" ht="6" customHeight="1" x14ac:dyDescent="0.25">
      <c r="B39" s="215"/>
      <c r="C39" s="215"/>
      <c r="D39" s="215"/>
      <c r="E39" s="215"/>
    </row>
    <row r="40" spans="2:5" ht="6" customHeight="1" x14ac:dyDescent="0.25"/>
    <row r="41" spans="2:5" ht="201" customHeight="1" x14ac:dyDescent="0.25">
      <c r="B41" s="220" t="s">
        <v>476</v>
      </c>
      <c r="C41" s="245" t="s">
        <v>559</v>
      </c>
      <c r="D41" s="245"/>
      <c r="E41" s="245"/>
    </row>
    <row r="42" spans="2:5" ht="6" customHeight="1" x14ac:dyDescent="0.25">
      <c r="B42" s="220"/>
      <c r="C42" s="5"/>
      <c r="D42" s="5"/>
    </row>
    <row r="43" spans="2:5" ht="53.25" customHeight="1" x14ac:dyDescent="0.25">
      <c r="B43" s="220" t="s">
        <v>477</v>
      </c>
      <c r="C43" s="245" t="s">
        <v>561</v>
      </c>
      <c r="D43" s="245"/>
      <c r="E43" s="245"/>
    </row>
    <row r="44" spans="2:5" ht="6" customHeight="1" x14ac:dyDescent="0.25">
      <c r="B44" s="223"/>
    </row>
    <row r="45" spans="2:5" ht="15" customHeight="1" x14ac:dyDescent="0.25"/>
    <row r="46" spans="2:5" ht="15" customHeight="1" x14ac:dyDescent="0.25"/>
    <row r="47" spans="2:5" ht="15" customHeight="1" x14ac:dyDescent="0.25"/>
    <row r="48" spans="2:5" s="92" customFormat="1" ht="24" customHeight="1" x14ac:dyDescent="0.25"/>
    <row r="49" ht="15" customHeight="1" x14ac:dyDescent="0.25"/>
    <row r="50" ht="15" customHeight="1" x14ac:dyDescent="0.25"/>
    <row r="51" s="92" customFormat="1" ht="24" customHeight="1" x14ac:dyDescent="0.25"/>
    <row r="52" ht="15" customHeight="1" x14ac:dyDescent="0.25"/>
    <row r="53" s="92" customFormat="1" ht="24" customHeight="1" x14ac:dyDescent="0.25"/>
    <row r="54" ht="15" customHeight="1" x14ac:dyDescent="0.25"/>
    <row r="55" s="92" customFormat="1" ht="24" customHeight="1" x14ac:dyDescent="0.25"/>
    <row r="56" ht="6" customHeight="1" x14ac:dyDescent="0.25"/>
    <row r="57" ht="6" customHeight="1" x14ac:dyDescent="0.25"/>
    <row r="58" ht="21" customHeight="1" x14ac:dyDescent="0.25"/>
    <row r="59" ht="15" customHeight="1" x14ac:dyDescent="0.25"/>
    <row r="60" ht="15" customHeight="1" x14ac:dyDescent="0.25"/>
    <row r="61" ht="21" customHeight="1" x14ac:dyDescent="0.25"/>
    <row r="62" ht="6" customHeight="1" x14ac:dyDescent="0.25"/>
    <row r="63" ht="21" customHeight="1" x14ac:dyDescent="0.25"/>
    <row r="64" ht="6" customHeight="1" x14ac:dyDescent="0.25"/>
    <row r="65" ht="21" customHeight="1" x14ac:dyDescent="0.25"/>
    <row r="67" ht="21" customHeight="1" x14ac:dyDescent="0.25"/>
    <row r="71" ht="6" customHeight="1" x14ac:dyDescent="0.25"/>
    <row r="72" ht="6" customHeight="1" x14ac:dyDescent="0.25"/>
  </sheetData>
  <mergeCells count="6">
    <mergeCell ref="C29:E29"/>
    <mergeCell ref="C41:E41"/>
    <mergeCell ref="C43:E43"/>
    <mergeCell ref="C13:E13"/>
    <mergeCell ref="C15:E15"/>
    <mergeCell ref="C27:E27"/>
  </mergeCells>
  <hyperlinks>
    <hyperlink ref="F2" location="'Table of contents'!A1" display="Return to TOC" xr:uid="{00000000-0004-0000-0300-000000000000}"/>
  </hyperlinks>
  <printOptions horizontalCentered="1"/>
  <pageMargins left="0.25" right="0.25" top="0.5" bottom="0.8" header="0.25" footer="0.25"/>
  <pageSetup scale="86"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Overview">
    <tabColor theme="4" tint="-0.499984740745262"/>
    <pageSetUpPr fitToPage="1"/>
  </sheetPr>
  <dimension ref="B1:I45"/>
  <sheetViews>
    <sheetView showGridLines="0" tabSelected="1" workbookViewId="0">
      <pane ySplit="8" topLeftCell="A9" activePane="bottomLeft" state="frozen"/>
      <selection pane="bottomLeft"/>
    </sheetView>
  </sheetViews>
  <sheetFormatPr defaultColWidth="8.85546875" defaultRowHeight="15" x14ac:dyDescent="0.25"/>
  <cols>
    <col min="1" max="1" width="2.7109375" customWidth="1"/>
    <col min="2" max="2" width="14.7109375" customWidth="1"/>
    <col min="3" max="3" width="32.7109375" customWidth="1"/>
    <col min="4" max="4" width="17.7109375" customWidth="1"/>
    <col min="5" max="5" width="11.7109375" bestFit="1" customWidth="1"/>
    <col min="6" max="6" width="10.7109375" customWidth="1"/>
    <col min="7" max="8" width="17.7109375" customWidth="1"/>
    <col min="9" max="9" width="4.7109375" customWidth="1"/>
  </cols>
  <sheetData>
    <row r="1" spans="2:9" s="5" customFormat="1" x14ac:dyDescent="0.25">
      <c r="I1" s="70" t="s">
        <v>66</v>
      </c>
    </row>
    <row r="2" spans="2:9" s="5" customFormat="1" x14ac:dyDescent="0.25">
      <c r="B2" s="72" t="s">
        <v>29</v>
      </c>
      <c r="C2" s="246" t="s">
        <v>544</v>
      </c>
      <c r="D2" s="246"/>
      <c r="E2" s="72"/>
      <c r="F2" s="71"/>
      <c r="H2" s="71"/>
    </row>
    <row r="3" spans="2:9" s="5" customFormat="1" x14ac:dyDescent="0.25">
      <c r="B3" s="72" t="s">
        <v>26</v>
      </c>
      <c r="C3" s="75" t="s">
        <v>545</v>
      </c>
      <c r="D3" s="76"/>
      <c r="E3" s="72"/>
      <c r="F3" s="71"/>
      <c r="H3" s="74"/>
    </row>
    <row r="4" spans="2:9" s="5" customFormat="1" x14ac:dyDescent="0.25">
      <c r="B4" s="72" t="s">
        <v>160</v>
      </c>
      <c r="C4" s="75" t="s">
        <v>546</v>
      </c>
      <c r="D4" s="76"/>
      <c r="E4" s="72" t="s">
        <v>71</v>
      </c>
      <c r="F4" s="71" t="s">
        <v>135</v>
      </c>
      <c r="H4" s="71"/>
    </row>
    <row r="5" spans="2:9" s="5" customFormat="1" x14ac:dyDescent="0.25">
      <c r="B5" s="72" t="s">
        <v>159</v>
      </c>
      <c r="C5" s="75" t="s">
        <v>547</v>
      </c>
      <c r="D5" s="76"/>
      <c r="E5" s="72" t="s">
        <v>474</v>
      </c>
      <c r="F5" s="71" t="s">
        <v>549</v>
      </c>
      <c r="H5" s="74"/>
    </row>
    <row r="6" spans="2:9" ht="6" customHeight="1" x14ac:dyDescent="0.25"/>
    <row r="7" spans="2:9" ht="6" customHeight="1" x14ac:dyDescent="0.25">
      <c r="B7" s="78"/>
      <c r="C7" s="78"/>
      <c r="D7" s="78"/>
      <c r="E7" s="78"/>
      <c r="F7" s="78"/>
      <c r="G7" s="78"/>
      <c r="H7" s="78"/>
    </row>
    <row r="8" spans="2:9" ht="30" x14ac:dyDescent="0.25">
      <c r="B8" s="80" t="s">
        <v>3</v>
      </c>
      <c r="C8" s="80"/>
      <c r="D8" s="81" t="s">
        <v>28</v>
      </c>
      <c r="E8" s="82" t="s">
        <v>38</v>
      </c>
      <c r="F8" s="82" t="s">
        <v>39</v>
      </c>
      <c r="G8" s="79" t="s">
        <v>552</v>
      </c>
      <c r="H8" s="79" t="s">
        <v>553</v>
      </c>
    </row>
    <row r="9" spans="2:9" ht="15" customHeight="1" x14ac:dyDescent="0.25">
      <c r="B9" s="1" t="s">
        <v>12</v>
      </c>
      <c r="C9" s="1"/>
      <c r="D9" s="85">
        <v>3000</v>
      </c>
      <c r="E9" s="86">
        <v>6.7631390884641132E-5</v>
      </c>
      <c r="F9" s="86">
        <v>4.713994120078001E-5</v>
      </c>
      <c r="G9" s="83">
        <v>3000</v>
      </c>
      <c r="H9" s="83">
        <v>0</v>
      </c>
    </row>
    <row r="10" spans="2:9" ht="15" customHeight="1" x14ac:dyDescent="0.25">
      <c r="B10" s="1" t="s">
        <v>13</v>
      </c>
      <c r="C10" s="1"/>
      <c r="D10" s="85">
        <v>132500</v>
      </c>
      <c r="E10" s="86">
        <v>2.9870530974049833E-3</v>
      </c>
      <c r="F10" s="86">
        <v>2.0820140697011169E-3</v>
      </c>
      <c r="G10" s="83">
        <v>132500</v>
      </c>
      <c r="H10" s="83">
        <v>0</v>
      </c>
    </row>
    <row r="11" spans="2:9" ht="15" customHeight="1" x14ac:dyDescent="0.25">
      <c r="B11" s="1" t="s">
        <v>507</v>
      </c>
      <c r="C11" s="1"/>
      <c r="D11" s="85">
        <v>325800</v>
      </c>
      <c r="E11" s="86">
        <v>7.3447690500720274E-3</v>
      </c>
      <c r="F11" s="86">
        <v>5.1193976144047089E-3</v>
      </c>
      <c r="G11" s="83">
        <v>312200</v>
      </c>
      <c r="H11" s="83">
        <v>13600</v>
      </c>
    </row>
    <row r="12" spans="2:9" ht="15" customHeight="1" x14ac:dyDescent="0.25">
      <c r="B12" s="1" t="s">
        <v>14</v>
      </c>
      <c r="C12" s="1"/>
      <c r="D12" s="85">
        <v>1644500</v>
      </c>
      <c r="E12" s="86">
        <v>3.7073274103264116E-2</v>
      </c>
      <c r="F12" s="86">
        <v>2.5840544434894242E-2</v>
      </c>
      <c r="G12" s="83">
        <v>1470600</v>
      </c>
      <c r="H12" s="83">
        <v>173900</v>
      </c>
    </row>
    <row r="13" spans="2:9" ht="15" customHeight="1" x14ac:dyDescent="0.25">
      <c r="B13" s="1" t="s">
        <v>15</v>
      </c>
      <c r="C13" s="1"/>
      <c r="D13" s="85">
        <v>1369000</v>
      </c>
      <c r="E13" s="86">
        <v>3.0862458040357907E-2</v>
      </c>
      <c r="F13" s="86">
        <v>2.1511526501289277E-2</v>
      </c>
      <c r="G13" s="83">
        <v>1307800</v>
      </c>
      <c r="H13" s="83">
        <v>61200</v>
      </c>
    </row>
    <row r="14" spans="2:9" ht="15" customHeight="1" x14ac:dyDescent="0.25">
      <c r="B14" s="1" t="s">
        <v>36</v>
      </c>
      <c r="C14" s="1"/>
      <c r="D14" s="85">
        <v>19198900</v>
      </c>
      <c r="E14" s="86">
        <v>0.43281610348504557</v>
      </c>
      <c r="F14" s="86">
        <v>0.30167833903988511</v>
      </c>
      <c r="G14" s="83">
        <v>19052000</v>
      </c>
      <c r="H14" s="83">
        <v>146900</v>
      </c>
    </row>
    <row r="15" spans="2:9" ht="15" customHeight="1" x14ac:dyDescent="0.25">
      <c r="B15" s="1" t="s">
        <v>37</v>
      </c>
      <c r="C15" s="1"/>
      <c r="D15" s="85">
        <v>8999600</v>
      </c>
      <c r="E15" s="86">
        <v>0.2028851551351388</v>
      </c>
      <c r="F15" s="86">
        <v>0.14141353827684658</v>
      </c>
      <c r="G15" s="83">
        <v>7610200</v>
      </c>
      <c r="H15" s="83">
        <v>1389400</v>
      </c>
    </row>
    <row r="16" spans="2:9" ht="15" customHeight="1" x14ac:dyDescent="0.25">
      <c r="B16" s="1" t="s">
        <v>16</v>
      </c>
      <c r="C16" s="1"/>
      <c r="D16" s="85">
        <v>3077400</v>
      </c>
      <c r="E16" s="86">
        <v>6.9376280769464879E-2</v>
      </c>
      <c r="F16" s="86">
        <v>4.8356151683760132E-2</v>
      </c>
      <c r="G16" s="83">
        <v>1262900</v>
      </c>
      <c r="H16" s="83">
        <v>1814500</v>
      </c>
    </row>
    <row r="17" spans="2:8" ht="15" customHeight="1" x14ac:dyDescent="0.25">
      <c r="B17" s="1" t="s">
        <v>17</v>
      </c>
      <c r="C17" s="1"/>
      <c r="D17" s="85">
        <v>1728800</v>
      </c>
      <c r="E17" s="86">
        <v>3.8973716187122531E-2</v>
      </c>
      <c r="F17" s="86">
        <v>2.716517678263616E-2</v>
      </c>
      <c r="G17" s="83">
        <v>1631900</v>
      </c>
      <c r="H17" s="83">
        <v>96900</v>
      </c>
    </row>
    <row r="18" spans="2:8" ht="15" customHeight="1" x14ac:dyDescent="0.25">
      <c r="B18" s="1" t="s">
        <v>18</v>
      </c>
      <c r="C18" s="1"/>
      <c r="D18" s="85">
        <v>123500</v>
      </c>
      <c r="E18" s="86">
        <v>2.7841589247510601E-3</v>
      </c>
      <c r="F18" s="86">
        <v>1.9405942460987771E-3</v>
      </c>
      <c r="G18" s="83">
        <v>0</v>
      </c>
      <c r="H18" s="83">
        <v>123500</v>
      </c>
    </row>
    <row r="19" spans="2:8" ht="15" customHeight="1" x14ac:dyDescent="0.25">
      <c r="B19" s="1" t="s">
        <v>511</v>
      </c>
      <c r="C19" s="1"/>
      <c r="D19" s="85">
        <v>985100</v>
      </c>
      <c r="E19" s="86">
        <v>2.2207894386819995E-2</v>
      </c>
      <c r="F19" s="86">
        <v>1.5479185358962795E-2</v>
      </c>
      <c r="G19" s="83">
        <v>908700</v>
      </c>
      <c r="H19" s="83">
        <v>76400</v>
      </c>
    </row>
    <row r="20" spans="2:8" ht="15" customHeight="1" x14ac:dyDescent="0.25">
      <c r="B20" s="1" t="s">
        <v>20</v>
      </c>
      <c r="C20" s="1"/>
      <c r="D20" s="85">
        <v>6770000</v>
      </c>
      <c r="E20" s="86">
        <v>0.15262150542967351</v>
      </c>
      <c r="F20" s="86">
        <v>0.10637913397642688</v>
      </c>
      <c r="G20" s="83">
        <v>6000000</v>
      </c>
      <c r="H20" s="83">
        <v>770000</v>
      </c>
    </row>
    <row r="21" spans="2:8" s="92" customFormat="1" ht="24" customHeight="1" x14ac:dyDescent="0.25">
      <c r="B21" s="241" t="s">
        <v>40</v>
      </c>
      <c r="C21" s="241"/>
      <c r="D21" s="90">
        <v>44358100</v>
      </c>
      <c r="E21" s="91">
        <v>1</v>
      </c>
      <c r="F21" s="91">
        <v>0.69701274192610663</v>
      </c>
      <c r="G21" s="87">
        <v>39691800</v>
      </c>
      <c r="H21" s="87">
        <v>4666300</v>
      </c>
    </row>
    <row r="22" spans="2:8" ht="15" customHeight="1" x14ac:dyDescent="0.25">
      <c r="B22" s="1" t="s">
        <v>21</v>
      </c>
      <c r="C22" s="1"/>
      <c r="D22" s="85">
        <v>10788500</v>
      </c>
      <c r="E22" s="86"/>
      <c r="F22" s="86">
        <v>0.16952308521487172</v>
      </c>
      <c r="G22" s="83">
        <v>8866500</v>
      </c>
      <c r="H22" s="83">
        <v>1922000</v>
      </c>
    </row>
    <row r="23" spans="2:8" ht="15" customHeight="1" x14ac:dyDescent="0.25">
      <c r="B23" s="1" t="s">
        <v>22</v>
      </c>
      <c r="C23" s="1"/>
      <c r="D23" s="85">
        <v>5581900</v>
      </c>
      <c r="E23" s="86"/>
      <c r="F23" s="86">
        <v>8.7710145929544639E-2</v>
      </c>
      <c r="G23" s="83">
        <v>5248800</v>
      </c>
      <c r="H23" s="83">
        <v>333100</v>
      </c>
    </row>
    <row r="24" spans="2:8" s="92" customFormat="1" ht="24" customHeight="1" x14ac:dyDescent="0.25">
      <c r="B24" s="241" t="s">
        <v>23</v>
      </c>
      <c r="C24" s="241"/>
      <c r="D24" s="90">
        <v>60728500</v>
      </c>
      <c r="E24" s="91"/>
      <c r="F24" s="91">
        <v>0.95424597307052295</v>
      </c>
      <c r="G24" s="87">
        <v>53807100</v>
      </c>
      <c r="H24" s="87">
        <v>6921400</v>
      </c>
    </row>
    <row r="25" spans="2:8" ht="15" customHeight="1" x14ac:dyDescent="0.25">
      <c r="B25" s="1" t="s">
        <v>1</v>
      </c>
      <c r="C25" s="1"/>
      <c r="D25" s="85">
        <v>2911800</v>
      </c>
      <c r="E25" s="86"/>
      <c r="F25" s="86">
        <v>4.5754026929477075E-2</v>
      </c>
      <c r="G25" s="83">
        <v>2580100</v>
      </c>
      <c r="H25" s="83">
        <v>331700</v>
      </c>
    </row>
    <row r="26" spans="2:8" s="92" customFormat="1" ht="24" customHeight="1" x14ac:dyDescent="0.25">
      <c r="B26" s="241" t="s">
        <v>158</v>
      </c>
      <c r="C26" s="241"/>
      <c r="D26" s="90">
        <v>63640300</v>
      </c>
      <c r="E26" s="91"/>
      <c r="F26" s="91">
        <v>1</v>
      </c>
      <c r="G26" s="87">
        <v>56387200</v>
      </c>
      <c r="H26" s="87">
        <v>7253100</v>
      </c>
    </row>
    <row r="27" spans="2:8" ht="15" customHeight="1" x14ac:dyDescent="0.25">
      <c r="B27" s="1" t="s">
        <v>24</v>
      </c>
      <c r="C27" s="1"/>
      <c r="D27" s="85">
        <v>0</v>
      </c>
      <c r="E27" s="86"/>
      <c r="F27" s="86">
        <v>0</v>
      </c>
      <c r="G27" s="83">
        <v>0</v>
      </c>
      <c r="H27" s="83">
        <v>0</v>
      </c>
    </row>
    <row r="28" spans="2:8" s="92" customFormat="1" ht="24" customHeight="1" x14ac:dyDescent="0.25">
      <c r="B28" s="89" t="s">
        <v>157</v>
      </c>
      <c r="C28" s="89"/>
      <c r="D28" s="90">
        <v>63640300</v>
      </c>
      <c r="E28" s="91"/>
      <c r="F28" s="91"/>
      <c r="G28" s="87">
        <v>56387200</v>
      </c>
      <c r="H28" s="87">
        <v>7253100</v>
      </c>
    </row>
    <row r="29" spans="2:8" ht="6" customHeight="1" x14ac:dyDescent="0.25">
      <c r="G29" s="93"/>
      <c r="H29" s="93"/>
    </row>
    <row r="30" spans="2:8" ht="6" customHeight="1" x14ac:dyDescent="0.25">
      <c r="B30" s="78"/>
      <c r="C30" s="78"/>
      <c r="D30" s="78"/>
      <c r="E30" s="78"/>
      <c r="F30" s="78"/>
      <c r="G30" s="78"/>
      <c r="H30" s="78"/>
    </row>
    <row r="31" spans="2:8" ht="21" customHeight="1" x14ac:dyDescent="0.25">
      <c r="B31" s="80" t="s">
        <v>34</v>
      </c>
      <c r="D31" s="94"/>
      <c r="G31" s="93"/>
      <c r="H31" s="93"/>
    </row>
    <row r="32" spans="2:8" s="226" customFormat="1" ht="15" customHeight="1" x14ac:dyDescent="0.25">
      <c r="B32" s="226" t="s">
        <v>4</v>
      </c>
      <c r="D32" s="227" t="s">
        <v>549</v>
      </c>
      <c r="F32" s="228"/>
      <c r="G32" s="225" t="s">
        <v>887</v>
      </c>
      <c r="H32" s="225" t="s">
        <v>888</v>
      </c>
    </row>
    <row r="33" spans="2:8" s="226" customFormat="1" ht="15" customHeight="1" x14ac:dyDescent="0.25">
      <c r="B33" s="226" t="s">
        <v>543</v>
      </c>
      <c r="D33" s="227" t="s">
        <v>549</v>
      </c>
      <c r="E33" s="229"/>
      <c r="F33" s="228"/>
      <c r="G33" s="225" t="s">
        <v>889</v>
      </c>
      <c r="H33" s="225" t="s">
        <v>890</v>
      </c>
    </row>
    <row r="34" spans="2:8" ht="21" customHeight="1" x14ac:dyDescent="0.25">
      <c r="B34" s="80" t="s">
        <v>30</v>
      </c>
      <c r="D34" s="231">
        <v>3404000</v>
      </c>
      <c r="E34" s="96"/>
      <c r="F34" s="96"/>
      <c r="G34" s="230">
        <v>3077900</v>
      </c>
      <c r="H34" s="230">
        <v>326100</v>
      </c>
    </row>
    <row r="35" spans="2:8" ht="6" hidden="1" customHeight="1" x14ac:dyDescent="0.25">
      <c r="B35" s="1"/>
      <c r="D35" s="94"/>
      <c r="G35" s="93"/>
      <c r="H35" s="93"/>
    </row>
    <row r="36" spans="2:8" ht="21" hidden="1" customHeight="1" x14ac:dyDescent="0.25">
      <c r="B36" s="80" t="s">
        <v>74</v>
      </c>
      <c r="D36" s="95">
        <v>0</v>
      </c>
      <c r="E36" s="96"/>
      <c r="F36" s="96"/>
      <c r="G36" s="93"/>
      <c r="H36" s="93"/>
    </row>
    <row r="37" spans="2:8" ht="6" customHeight="1" x14ac:dyDescent="0.25">
      <c r="B37" s="1"/>
      <c r="D37" s="94"/>
      <c r="G37" s="93"/>
      <c r="H37" s="93"/>
    </row>
    <row r="38" spans="2:8" ht="21" customHeight="1" x14ac:dyDescent="0.25">
      <c r="B38" s="80" t="s">
        <v>35</v>
      </c>
      <c r="D38" s="94"/>
      <c r="G38" s="93"/>
      <c r="H38" s="93"/>
    </row>
    <row r="39" spans="2:8" x14ac:dyDescent="0.25">
      <c r="B39" s="224" t="s">
        <v>491</v>
      </c>
      <c r="D39" s="98">
        <v>0.17943048824559615</v>
      </c>
      <c r="G39" s="97">
        <v>0.17947334182579575</v>
      </c>
      <c r="H39" s="97">
        <v>0.17909744123289006</v>
      </c>
    </row>
    <row r="40" spans="2:8" ht="31.9" customHeight="1" x14ac:dyDescent="0.25">
      <c r="B40" s="80" t="s">
        <v>25</v>
      </c>
      <c r="D40" s="232"/>
      <c r="G40" s="233" t="s">
        <v>465</v>
      </c>
      <c r="H40" s="233" t="s">
        <v>465</v>
      </c>
    </row>
    <row r="41" spans="2:8" x14ac:dyDescent="0.25">
      <c r="B41" s="100" t="s">
        <v>31</v>
      </c>
      <c r="C41" s="210"/>
      <c r="D41" s="101">
        <v>47730200</v>
      </c>
      <c r="G41" s="99">
        <v>42290400</v>
      </c>
      <c r="H41" s="99">
        <v>5439800</v>
      </c>
    </row>
    <row r="42" spans="2:8" x14ac:dyDescent="0.25">
      <c r="B42" s="1" t="s">
        <v>33</v>
      </c>
      <c r="C42" s="56"/>
      <c r="D42" s="103">
        <v>63640300</v>
      </c>
      <c r="G42" s="102">
        <v>56387200</v>
      </c>
      <c r="H42" s="102">
        <v>7253100</v>
      </c>
    </row>
    <row r="43" spans="2:8" x14ac:dyDescent="0.25">
      <c r="B43" s="105" t="s">
        <v>32</v>
      </c>
      <c r="C43" s="211"/>
      <c r="D43" s="101">
        <v>95460500</v>
      </c>
      <c r="G43" s="104">
        <v>84580800</v>
      </c>
      <c r="H43" s="104">
        <v>10879700</v>
      </c>
    </row>
    <row r="44" spans="2:8" ht="6" customHeight="1" x14ac:dyDescent="0.25">
      <c r="G44" s="93"/>
      <c r="H44" s="93"/>
    </row>
    <row r="45" spans="2:8" ht="6" customHeight="1" x14ac:dyDescent="0.25">
      <c r="B45" s="78"/>
      <c r="C45" s="78"/>
      <c r="D45" s="78"/>
      <c r="E45" s="78"/>
      <c r="F45" s="78"/>
      <c r="G45" s="78"/>
      <c r="H45" s="78"/>
    </row>
  </sheetData>
  <sheetProtection sheet="1" objects="1" scenarios="1"/>
  <mergeCells count="1">
    <mergeCell ref="C2:D2"/>
  </mergeCells>
  <hyperlinks>
    <hyperlink ref="I1" location="'Table of contents'!A1" display="Return to TOC" xr:uid="{00000000-0004-0000-0500-000000000000}"/>
  </hyperlink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ummary">
    <tabColor theme="5" tint="-0.249977111117893"/>
    <pageSetUpPr fitToPage="1"/>
  </sheetPr>
  <dimension ref="B1:L356"/>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11" width="12.7109375" style="155" customWidth="1"/>
    <col min="12" max="16384" width="8.85546875" style="5"/>
  </cols>
  <sheetData>
    <row r="1" spans="2:12" x14ac:dyDescent="0.25">
      <c r="B1" s="6"/>
      <c r="K1" s="70" t="s">
        <v>66</v>
      </c>
    </row>
    <row r="2" spans="2:12" s="80" customFormat="1" ht="36" customHeight="1" thickBot="1" x14ac:dyDescent="0.3">
      <c r="B2" s="176" t="s">
        <v>63</v>
      </c>
      <c r="C2" s="157" t="s">
        <v>3</v>
      </c>
      <c r="D2" s="158" t="s">
        <v>11</v>
      </c>
      <c r="E2" s="158" t="s">
        <v>148</v>
      </c>
      <c r="F2" s="158" t="s">
        <v>56</v>
      </c>
      <c r="G2" s="158" t="s">
        <v>6</v>
      </c>
      <c r="H2" s="158" t="s">
        <v>7</v>
      </c>
      <c r="I2" s="158" t="s">
        <v>8</v>
      </c>
      <c r="J2" s="158" t="s">
        <v>9</v>
      </c>
      <c r="K2" s="158" t="s">
        <v>10</v>
      </c>
    </row>
    <row r="3" spans="2:12" x14ac:dyDescent="0.25">
      <c r="B3" s="234" t="s">
        <v>544</v>
      </c>
      <c r="C3" s="235"/>
      <c r="D3" s="236">
        <v>63640583.343912065</v>
      </c>
      <c r="E3" s="236">
        <v>4298463.16</v>
      </c>
      <c r="F3" s="236">
        <v>72158.608999999997</v>
      </c>
      <c r="G3" s="236">
        <v>14188151.8294426</v>
      </c>
      <c r="H3" s="236">
        <v>19747141.948310334</v>
      </c>
      <c r="I3" s="236">
        <v>0</v>
      </c>
      <c r="J3" s="236">
        <v>714295.72342274396</v>
      </c>
      <c r="K3" s="236">
        <v>24692530.682736386</v>
      </c>
      <c r="L3" s="148"/>
    </row>
    <row r="4" spans="2:12" x14ac:dyDescent="0.25">
      <c r="B4" s="212" t="s">
        <v>552</v>
      </c>
      <c r="C4" s="213"/>
      <c r="D4" s="214">
        <v>56387421.598621145</v>
      </c>
      <c r="E4" s="214">
        <v>4298463.16</v>
      </c>
      <c r="F4" s="214">
        <v>55512.409</v>
      </c>
      <c r="G4" s="214">
        <v>10634611.777838161</v>
      </c>
      <c r="H4" s="214">
        <v>19600205.10159706</v>
      </c>
      <c r="I4" s="214">
        <v>0</v>
      </c>
      <c r="J4" s="214">
        <v>594768.95812674402</v>
      </c>
      <c r="K4" s="214">
        <v>21259372.601059176</v>
      </c>
      <c r="L4" s="148"/>
    </row>
    <row r="5" spans="2:12" outlineLevel="1" x14ac:dyDescent="0.25">
      <c r="B5" s="180" t="s">
        <v>41</v>
      </c>
      <c r="C5" s="192" t="s">
        <v>12</v>
      </c>
      <c r="D5" s="193">
        <v>3035.56</v>
      </c>
      <c r="E5" s="193">
        <v>3035.56</v>
      </c>
      <c r="F5" s="193">
        <v>0</v>
      </c>
      <c r="G5" s="193">
        <v>0</v>
      </c>
      <c r="H5" s="193">
        <v>0</v>
      </c>
      <c r="I5" s="193">
        <v>0</v>
      </c>
      <c r="J5" s="193">
        <v>0</v>
      </c>
      <c r="K5" s="193">
        <v>0</v>
      </c>
      <c r="L5" s="148"/>
    </row>
    <row r="6" spans="2:12" hidden="1" outlineLevel="2" x14ac:dyDescent="0.25">
      <c r="B6" s="194" t="s">
        <v>296</v>
      </c>
      <c r="C6" s="195" t="s">
        <v>297</v>
      </c>
      <c r="D6" s="196">
        <v>3035.56</v>
      </c>
      <c r="E6" s="196">
        <v>3035.56</v>
      </c>
      <c r="F6" s="196">
        <v>0</v>
      </c>
      <c r="G6" s="196">
        <v>0</v>
      </c>
      <c r="H6" s="196">
        <v>0</v>
      </c>
      <c r="I6" s="196">
        <v>0</v>
      </c>
      <c r="J6" s="196">
        <v>0</v>
      </c>
      <c r="K6" s="196">
        <v>0</v>
      </c>
      <c r="L6" s="148"/>
    </row>
    <row r="7" spans="2:12" hidden="1" outlineLevel="3" x14ac:dyDescent="0.25">
      <c r="B7" s="197" t="s">
        <v>298</v>
      </c>
      <c r="C7" s="198" t="s">
        <v>297</v>
      </c>
      <c r="D7" s="199">
        <v>3035.56</v>
      </c>
      <c r="E7" s="199">
        <v>3035.56</v>
      </c>
      <c r="F7" s="199">
        <v>0</v>
      </c>
      <c r="G7" s="199">
        <v>0</v>
      </c>
      <c r="H7" s="199">
        <v>0</v>
      </c>
      <c r="I7" s="199">
        <v>0</v>
      </c>
      <c r="J7" s="199">
        <v>0</v>
      </c>
      <c r="K7" s="199">
        <v>0</v>
      </c>
      <c r="L7" s="148"/>
    </row>
    <row r="8" spans="2:12" hidden="1" outlineLevel="4" x14ac:dyDescent="0.25">
      <c r="B8" s="200" t="s">
        <v>299</v>
      </c>
      <c r="C8" s="201" t="s">
        <v>654</v>
      </c>
      <c r="D8" s="202">
        <v>3035.56</v>
      </c>
      <c r="E8" s="202">
        <v>3035.56</v>
      </c>
      <c r="F8" s="202"/>
      <c r="G8" s="202"/>
      <c r="H8" s="202"/>
      <c r="I8" s="202"/>
      <c r="J8" s="202"/>
      <c r="K8" s="202"/>
    </row>
    <row r="9" spans="2:12" outlineLevel="1" collapsed="1" x14ac:dyDescent="0.25">
      <c r="B9" s="180" t="s">
        <v>42</v>
      </c>
      <c r="C9" s="192" t="s">
        <v>13</v>
      </c>
      <c r="D9" s="193">
        <v>132500.69736271189</v>
      </c>
      <c r="E9" s="193">
        <v>34276.230000000003</v>
      </c>
      <c r="F9" s="193">
        <v>648</v>
      </c>
      <c r="G9" s="193">
        <v>96373.571091525431</v>
      </c>
      <c r="H9" s="193">
        <v>0</v>
      </c>
      <c r="I9" s="193">
        <v>0</v>
      </c>
      <c r="J9" s="193">
        <v>1850.8962711864406</v>
      </c>
      <c r="K9" s="193">
        <v>0</v>
      </c>
      <c r="L9" s="148"/>
    </row>
    <row r="10" spans="2:12" hidden="1" outlineLevel="2" x14ac:dyDescent="0.25">
      <c r="B10" s="194" t="s">
        <v>178</v>
      </c>
      <c r="C10" s="195" t="s">
        <v>181</v>
      </c>
      <c r="D10" s="196">
        <v>9793.5143050847473</v>
      </c>
      <c r="E10" s="196">
        <v>0</v>
      </c>
      <c r="F10" s="196">
        <v>160</v>
      </c>
      <c r="G10" s="196">
        <v>9793.5143050847473</v>
      </c>
      <c r="H10" s="196">
        <v>0</v>
      </c>
      <c r="I10" s="196">
        <v>0</v>
      </c>
      <c r="J10" s="196">
        <v>0</v>
      </c>
      <c r="K10" s="196">
        <v>0</v>
      </c>
      <c r="L10" s="148"/>
    </row>
    <row r="11" spans="2:12" hidden="1" outlineLevel="3" x14ac:dyDescent="0.25">
      <c r="B11" s="197" t="s">
        <v>179</v>
      </c>
      <c r="C11" s="198" t="s">
        <v>181</v>
      </c>
      <c r="D11" s="199">
        <v>9793.5143050847473</v>
      </c>
      <c r="E11" s="199">
        <v>0</v>
      </c>
      <c r="F11" s="199">
        <v>160</v>
      </c>
      <c r="G11" s="199">
        <v>9793.5143050847473</v>
      </c>
      <c r="H11" s="199">
        <v>0</v>
      </c>
      <c r="I11" s="199">
        <v>0</v>
      </c>
      <c r="J11" s="199">
        <v>0</v>
      </c>
      <c r="K11" s="199">
        <v>0</v>
      </c>
      <c r="L11" s="148"/>
    </row>
    <row r="12" spans="2:12" hidden="1" outlineLevel="4" x14ac:dyDescent="0.25">
      <c r="B12" s="200" t="s">
        <v>180</v>
      </c>
      <c r="C12" s="201" t="s">
        <v>655</v>
      </c>
      <c r="D12" s="202">
        <v>9793.5143050847473</v>
      </c>
      <c r="E12" s="202"/>
      <c r="F12" s="202">
        <v>160</v>
      </c>
      <c r="G12" s="202">
        <v>9793.5143050847473</v>
      </c>
      <c r="H12" s="202"/>
      <c r="I12" s="202"/>
      <c r="J12" s="202"/>
      <c r="K12" s="202"/>
    </row>
    <row r="13" spans="2:12" hidden="1" outlineLevel="2" x14ac:dyDescent="0.25">
      <c r="B13" s="194" t="s">
        <v>182</v>
      </c>
      <c r="C13" s="195" t="s">
        <v>185</v>
      </c>
      <c r="D13" s="196">
        <v>88430.953057627121</v>
      </c>
      <c r="E13" s="196">
        <v>0</v>
      </c>
      <c r="F13" s="196">
        <v>488</v>
      </c>
      <c r="G13" s="196">
        <v>86580.056786440677</v>
      </c>
      <c r="H13" s="196">
        <v>0</v>
      </c>
      <c r="I13" s="196">
        <v>0</v>
      </c>
      <c r="J13" s="196">
        <v>1850.8962711864406</v>
      </c>
      <c r="K13" s="196">
        <v>0</v>
      </c>
      <c r="L13" s="148"/>
    </row>
    <row r="14" spans="2:12" hidden="1" outlineLevel="3" x14ac:dyDescent="0.25">
      <c r="B14" s="197" t="s">
        <v>183</v>
      </c>
      <c r="C14" s="198" t="s">
        <v>185</v>
      </c>
      <c r="D14" s="199">
        <v>88430.953057627121</v>
      </c>
      <c r="E14" s="199">
        <v>0</v>
      </c>
      <c r="F14" s="199">
        <v>488</v>
      </c>
      <c r="G14" s="199">
        <v>86580.056786440677</v>
      </c>
      <c r="H14" s="199">
        <v>0</v>
      </c>
      <c r="I14" s="199">
        <v>0</v>
      </c>
      <c r="J14" s="199">
        <v>1850.8962711864406</v>
      </c>
      <c r="K14" s="199">
        <v>0</v>
      </c>
      <c r="L14" s="148"/>
    </row>
    <row r="15" spans="2:12" hidden="1" outlineLevel="4" x14ac:dyDescent="0.25">
      <c r="B15" s="200" t="s">
        <v>184</v>
      </c>
      <c r="C15" s="201" t="s">
        <v>662</v>
      </c>
      <c r="D15" s="202">
        <v>88430.953057627121</v>
      </c>
      <c r="E15" s="202"/>
      <c r="F15" s="202">
        <v>488</v>
      </c>
      <c r="G15" s="202">
        <v>86580.056786440677</v>
      </c>
      <c r="H15" s="202"/>
      <c r="I15" s="202"/>
      <c r="J15" s="202">
        <v>1850.8962711864406</v>
      </c>
      <c r="K15" s="202"/>
    </row>
    <row r="16" spans="2:12" hidden="1" outlineLevel="2" x14ac:dyDescent="0.25">
      <c r="B16" s="194" t="s">
        <v>304</v>
      </c>
      <c r="C16" s="195" t="s">
        <v>303</v>
      </c>
      <c r="D16" s="196">
        <v>31692.16</v>
      </c>
      <c r="E16" s="196">
        <v>31692.16</v>
      </c>
      <c r="F16" s="196">
        <v>0</v>
      </c>
      <c r="G16" s="196">
        <v>0</v>
      </c>
      <c r="H16" s="196">
        <v>0</v>
      </c>
      <c r="I16" s="196">
        <v>0</v>
      </c>
      <c r="J16" s="196">
        <v>0</v>
      </c>
      <c r="K16" s="196">
        <v>0</v>
      </c>
      <c r="L16" s="148"/>
    </row>
    <row r="17" spans="2:12" hidden="1" outlineLevel="3" x14ac:dyDescent="0.25">
      <c r="B17" s="197" t="s">
        <v>300</v>
      </c>
      <c r="C17" s="198" t="s">
        <v>301</v>
      </c>
      <c r="D17" s="199">
        <v>31692.16</v>
      </c>
      <c r="E17" s="199">
        <v>31692.16</v>
      </c>
      <c r="F17" s="199">
        <v>0</v>
      </c>
      <c r="G17" s="199">
        <v>0</v>
      </c>
      <c r="H17" s="199">
        <v>0</v>
      </c>
      <c r="I17" s="199">
        <v>0</v>
      </c>
      <c r="J17" s="199">
        <v>0</v>
      </c>
      <c r="K17" s="199">
        <v>0</v>
      </c>
      <c r="L17" s="148"/>
    </row>
    <row r="18" spans="2:12" hidden="1" outlineLevel="4" x14ac:dyDescent="0.25">
      <c r="B18" s="200" t="s">
        <v>302</v>
      </c>
      <c r="C18" s="201" t="s">
        <v>663</v>
      </c>
      <c r="D18" s="202">
        <v>31692.16</v>
      </c>
      <c r="E18" s="202">
        <v>31692.16</v>
      </c>
      <c r="F18" s="202"/>
      <c r="G18" s="202"/>
      <c r="H18" s="202"/>
      <c r="I18" s="202"/>
      <c r="J18" s="202"/>
      <c r="K18" s="202"/>
    </row>
    <row r="19" spans="2:12" hidden="1" outlineLevel="2" x14ac:dyDescent="0.25">
      <c r="B19" s="194" t="s">
        <v>305</v>
      </c>
      <c r="C19" s="195" t="s">
        <v>306</v>
      </c>
      <c r="D19" s="196">
        <v>2584.0700000000002</v>
      </c>
      <c r="E19" s="196">
        <v>2584.0700000000002</v>
      </c>
      <c r="F19" s="196">
        <v>0</v>
      </c>
      <c r="G19" s="196">
        <v>0</v>
      </c>
      <c r="H19" s="196">
        <v>0</v>
      </c>
      <c r="I19" s="196">
        <v>0</v>
      </c>
      <c r="J19" s="196">
        <v>0</v>
      </c>
      <c r="K19" s="196">
        <v>0</v>
      </c>
      <c r="L19" s="148"/>
    </row>
    <row r="20" spans="2:12" hidden="1" outlineLevel="3" x14ac:dyDescent="0.25">
      <c r="B20" s="197" t="s">
        <v>307</v>
      </c>
      <c r="C20" s="198" t="s">
        <v>306</v>
      </c>
      <c r="D20" s="199">
        <v>2584.0700000000002</v>
      </c>
      <c r="E20" s="199">
        <v>2584.0700000000002</v>
      </c>
      <c r="F20" s="199">
        <v>0</v>
      </c>
      <c r="G20" s="199">
        <v>0</v>
      </c>
      <c r="H20" s="199">
        <v>0</v>
      </c>
      <c r="I20" s="199">
        <v>0</v>
      </c>
      <c r="J20" s="199">
        <v>0</v>
      </c>
      <c r="K20" s="199">
        <v>0</v>
      </c>
      <c r="L20" s="148"/>
    </row>
    <row r="21" spans="2:12" hidden="1" outlineLevel="4" x14ac:dyDescent="0.25">
      <c r="B21" s="200" t="s">
        <v>308</v>
      </c>
      <c r="C21" s="201" t="s">
        <v>664</v>
      </c>
      <c r="D21" s="202">
        <v>2584.0700000000002</v>
      </c>
      <c r="E21" s="202">
        <v>2584.0700000000002</v>
      </c>
      <c r="F21" s="202"/>
      <c r="G21" s="202"/>
      <c r="H21" s="202"/>
      <c r="I21" s="202"/>
      <c r="J21" s="202"/>
      <c r="K21" s="202"/>
    </row>
    <row r="22" spans="2:12" outlineLevel="1" collapsed="1" x14ac:dyDescent="0.25">
      <c r="B22" s="180" t="s">
        <v>43</v>
      </c>
      <c r="C22" s="192" t="s">
        <v>186</v>
      </c>
      <c r="D22" s="193">
        <v>312248.33588338306</v>
      </c>
      <c r="E22" s="193">
        <v>89515.64</v>
      </c>
      <c r="F22" s="193">
        <v>960</v>
      </c>
      <c r="G22" s="193">
        <v>222732.69588338307</v>
      </c>
      <c r="H22" s="193">
        <v>0</v>
      </c>
      <c r="I22" s="193">
        <v>0</v>
      </c>
      <c r="J22" s="193">
        <v>0</v>
      </c>
      <c r="K22" s="193">
        <v>0</v>
      </c>
      <c r="L22" s="148"/>
    </row>
    <row r="23" spans="2:12" hidden="1" outlineLevel="2" x14ac:dyDescent="0.25">
      <c r="B23" s="194" t="s">
        <v>187</v>
      </c>
      <c r="C23" s="195" t="s">
        <v>190</v>
      </c>
      <c r="D23" s="196">
        <v>134441.25946521765</v>
      </c>
      <c r="E23" s="196">
        <v>61784.14</v>
      </c>
      <c r="F23" s="196">
        <v>480</v>
      </c>
      <c r="G23" s="196">
        <v>72657.119465217635</v>
      </c>
      <c r="H23" s="196">
        <v>0</v>
      </c>
      <c r="I23" s="196">
        <v>0</v>
      </c>
      <c r="J23" s="196">
        <v>0</v>
      </c>
      <c r="K23" s="196">
        <v>0</v>
      </c>
      <c r="L23" s="148"/>
    </row>
    <row r="24" spans="2:12" hidden="1" outlineLevel="3" x14ac:dyDescent="0.25">
      <c r="B24" s="197" t="s">
        <v>188</v>
      </c>
      <c r="C24" s="198" t="s">
        <v>190</v>
      </c>
      <c r="D24" s="199">
        <v>134441.25946521765</v>
      </c>
      <c r="E24" s="199">
        <v>61784.14</v>
      </c>
      <c r="F24" s="199">
        <v>480</v>
      </c>
      <c r="G24" s="199">
        <v>72657.119465217635</v>
      </c>
      <c r="H24" s="199">
        <v>0</v>
      </c>
      <c r="I24" s="199">
        <v>0</v>
      </c>
      <c r="J24" s="199">
        <v>0</v>
      </c>
      <c r="K24" s="199">
        <v>0</v>
      </c>
      <c r="L24" s="148"/>
    </row>
    <row r="25" spans="2:12" hidden="1" outlineLevel="4" x14ac:dyDescent="0.25">
      <c r="B25" s="200" t="s">
        <v>189</v>
      </c>
      <c r="C25" s="201" t="s">
        <v>667</v>
      </c>
      <c r="D25" s="202">
        <v>134441.25946521765</v>
      </c>
      <c r="E25" s="202">
        <v>61784.14</v>
      </c>
      <c r="F25" s="202">
        <v>480</v>
      </c>
      <c r="G25" s="202">
        <v>72657.119465217635</v>
      </c>
      <c r="H25" s="202"/>
      <c r="I25" s="202"/>
      <c r="J25" s="202"/>
      <c r="K25" s="202"/>
    </row>
    <row r="26" spans="2:12" hidden="1" outlineLevel="2" x14ac:dyDescent="0.25">
      <c r="B26" s="194" t="s">
        <v>191</v>
      </c>
      <c r="C26" s="195" t="s">
        <v>194</v>
      </c>
      <c r="D26" s="196">
        <v>177807.07641816544</v>
      </c>
      <c r="E26" s="196">
        <v>27731.5</v>
      </c>
      <c r="F26" s="196">
        <v>480</v>
      </c>
      <c r="G26" s="196">
        <v>150075.57641816544</v>
      </c>
      <c r="H26" s="196">
        <v>0</v>
      </c>
      <c r="I26" s="196">
        <v>0</v>
      </c>
      <c r="J26" s="196">
        <v>0</v>
      </c>
      <c r="K26" s="196">
        <v>0</v>
      </c>
      <c r="L26" s="148"/>
    </row>
    <row r="27" spans="2:12" hidden="1" outlineLevel="3" x14ac:dyDescent="0.25">
      <c r="B27" s="197" t="s">
        <v>192</v>
      </c>
      <c r="C27" s="198" t="s">
        <v>194</v>
      </c>
      <c r="D27" s="199">
        <v>177807.07641816544</v>
      </c>
      <c r="E27" s="199">
        <v>27731.5</v>
      </c>
      <c r="F27" s="199">
        <v>480</v>
      </c>
      <c r="G27" s="199">
        <v>150075.57641816544</v>
      </c>
      <c r="H27" s="199">
        <v>0</v>
      </c>
      <c r="I27" s="199">
        <v>0</v>
      </c>
      <c r="J27" s="199">
        <v>0</v>
      </c>
      <c r="K27" s="199">
        <v>0</v>
      </c>
      <c r="L27" s="148"/>
    </row>
    <row r="28" spans="2:12" hidden="1" outlineLevel="4" x14ac:dyDescent="0.25">
      <c r="B28" s="200" t="s">
        <v>193</v>
      </c>
      <c r="C28" s="201" t="s">
        <v>670</v>
      </c>
      <c r="D28" s="202">
        <v>177807.07641816544</v>
      </c>
      <c r="E28" s="202">
        <v>27731.5</v>
      </c>
      <c r="F28" s="202">
        <v>480</v>
      </c>
      <c r="G28" s="202">
        <v>150075.57641816544</v>
      </c>
      <c r="H28" s="202"/>
      <c r="I28" s="202"/>
      <c r="J28" s="202"/>
      <c r="K28" s="202"/>
    </row>
    <row r="29" spans="2:12" outlineLevel="1" collapsed="1" x14ac:dyDescent="0.25">
      <c r="B29" s="180" t="s">
        <v>44</v>
      </c>
      <c r="C29" s="192" t="s">
        <v>14</v>
      </c>
      <c r="D29" s="193">
        <v>1470642.0309538117</v>
      </c>
      <c r="E29" s="193">
        <v>79544.159999999989</v>
      </c>
      <c r="F29" s="193">
        <v>180</v>
      </c>
      <c r="G29" s="193">
        <v>1391097.8709538118</v>
      </c>
      <c r="H29" s="193">
        <v>0</v>
      </c>
      <c r="I29" s="193">
        <v>0</v>
      </c>
      <c r="J29" s="193">
        <v>0</v>
      </c>
      <c r="K29" s="193">
        <v>0</v>
      </c>
      <c r="L29" s="148"/>
    </row>
    <row r="30" spans="2:12" hidden="1" outlineLevel="2" x14ac:dyDescent="0.25">
      <c r="B30" s="194" t="s">
        <v>195</v>
      </c>
      <c r="C30" s="195" t="s">
        <v>309</v>
      </c>
      <c r="D30" s="196">
        <v>221377.01117673708</v>
      </c>
      <c r="E30" s="196">
        <v>71775.929999999993</v>
      </c>
      <c r="F30" s="196">
        <v>180</v>
      </c>
      <c r="G30" s="196">
        <v>149601.08117673709</v>
      </c>
      <c r="H30" s="196">
        <v>0</v>
      </c>
      <c r="I30" s="196">
        <v>0</v>
      </c>
      <c r="J30" s="196">
        <v>0</v>
      </c>
      <c r="K30" s="196">
        <v>0</v>
      </c>
      <c r="L30" s="148"/>
    </row>
    <row r="31" spans="2:12" hidden="1" outlineLevel="3" x14ac:dyDescent="0.25">
      <c r="B31" s="197" t="s">
        <v>196</v>
      </c>
      <c r="C31" s="198" t="s">
        <v>198</v>
      </c>
      <c r="D31" s="199">
        <v>221377.01117673708</v>
      </c>
      <c r="E31" s="199">
        <v>71775.929999999993</v>
      </c>
      <c r="F31" s="199">
        <v>180</v>
      </c>
      <c r="G31" s="199">
        <v>149601.08117673709</v>
      </c>
      <c r="H31" s="199">
        <v>0</v>
      </c>
      <c r="I31" s="199">
        <v>0</v>
      </c>
      <c r="J31" s="199">
        <v>0</v>
      </c>
      <c r="K31" s="199">
        <v>0</v>
      </c>
      <c r="L31" s="148"/>
    </row>
    <row r="32" spans="2:12" hidden="1" outlineLevel="4" x14ac:dyDescent="0.25">
      <c r="B32" s="200" t="s">
        <v>197</v>
      </c>
      <c r="C32" s="201" t="s">
        <v>673</v>
      </c>
      <c r="D32" s="202">
        <v>221377.01117673708</v>
      </c>
      <c r="E32" s="202">
        <v>71775.929999999993</v>
      </c>
      <c r="F32" s="202">
        <v>180</v>
      </c>
      <c r="G32" s="202">
        <v>149601.08117673709</v>
      </c>
      <c r="H32" s="202"/>
      <c r="I32" s="202"/>
      <c r="J32" s="202"/>
      <c r="K32" s="202"/>
    </row>
    <row r="33" spans="2:12" hidden="1" outlineLevel="2" x14ac:dyDescent="0.25">
      <c r="B33" s="194" t="s">
        <v>199</v>
      </c>
      <c r="C33" s="195" t="s">
        <v>310</v>
      </c>
      <c r="D33" s="196">
        <v>1249265.0197770747</v>
      </c>
      <c r="E33" s="196">
        <v>7768.23</v>
      </c>
      <c r="F33" s="196">
        <v>0</v>
      </c>
      <c r="G33" s="196">
        <v>1241496.7897770747</v>
      </c>
      <c r="H33" s="196">
        <v>0</v>
      </c>
      <c r="I33" s="196">
        <v>0</v>
      </c>
      <c r="J33" s="196">
        <v>0</v>
      </c>
      <c r="K33" s="196">
        <v>0</v>
      </c>
      <c r="L33" s="148"/>
    </row>
    <row r="34" spans="2:12" hidden="1" outlineLevel="3" x14ac:dyDescent="0.25">
      <c r="B34" s="197" t="s">
        <v>200</v>
      </c>
      <c r="C34" s="198" t="s">
        <v>202</v>
      </c>
      <c r="D34" s="199">
        <v>1249265.0197770747</v>
      </c>
      <c r="E34" s="199">
        <v>7768.23</v>
      </c>
      <c r="F34" s="199">
        <v>0</v>
      </c>
      <c r="G34" s="199">
        <v>1241496.7897770747</v>
      </c>
      <c r="H34" s="199">
        <v>0</v>
      </c>
      <c r="I34" s="199">
        <v>0</v>
      </c>
      <c r="J34" s="199">
        <v>0</v>
      </c>
      <c r="K34" s="199">
        <v>0</v>
      </c>
      <c r="L34" s="148"/>
    </row>
    <row r="35" spans="2:12" hidden="1" outlineLevel="4" x14ac:dyDescent="0.25">
      <c r="B35" s="200" t="s">
        <v>201</v>
      </c>
      <c r="C35" s="201" t="s">
        <v>675</v>
      </c>
      <c r="D35" s="202">
        <v>1249265.0197770747</v>
      </c>
      <c r="E35" s="202">
        <v>7768.23</v>
      </c>
      <c r="F35" s="202">
        <v>0</v>
      </c>
      <c r="G35" s="202">
        <v>1241496.7897770747</v>
      </c>
      <c r="H35" s="202"/>
      <c r="I35" s="202"/>
      <c r="J35" s="202"/>
      <c r="K35" s="202"/>
    </row>
    <row r="36" spans="2:12" outlineLevel="1" collapsed="1" x14ac:dyDescent="0.25">
      <c r="B36" s="180" t="s">
        <v>45</v>
      </c>
      <c r="C36" s="192" t="s">
        <v>15</v>
      </c>
      <c r="D36" s="193">
        <v>1307834.5724774194</v>
      </c>
      <c r="E36" s="193">
        <v>483228.27</v>
      </c>
      <c r="F36" s="193">
        <v>5900</v>
      </c>
      <c r="G36" s="193">
        <v>824606.30247741926</v>
      </c>
      <c r="H36" s="193">
        <v>0</v>
      </c>
      <c r="I36" s="193">
        <v>0</v>
      </c>
      <c r="J36" s="193">
        <v>0</v>
      </c>
      <c r="K36" s="193">
        <v>0</v>
      </c>
      <c r="L36" s="148"/>
    </row>
    <row r="37" spans="2:12" hidden="1" outlineLevel="2" x14ac:dyDescent="0.25">
      <c r="B37" s="194" t="s">
        <v>311</v>
      </c>
      <c r="C37" s="195" t="s">
        <v>312</v>
      </c>
      <c r="D37" s="196">
        <v>70719.817935483879</v>
      </c>
      <c r="E37" s="196">
        <v>41041.379999999997</v>
      </c>
      <c r="F37" s="196">
        <v>240</v>
      </c>
      <c r="G37" s="196">
        <v>29678.437935483875</v>
      </c>
      <c r="H37" s="196">
        <v>0</v>
      </c>
      <c r="I37" s="196">
        <v>0</v>
      </c>
      <c r="J37" s="196">
        <v>0</v>
      </c>
      <c r="K37" s="196">
        <v>0</v>
      </c>
      <c r="L37" s="148"/>
    </row>
    <row r="38" spans="2:12" hidden="1" outlineLevel="3" x14ac:dyDescent="0.25">
      <c r="B38" s="197" t="s">
        <v>314</v>
      </c>
      <c r="C38" s="198" t="s">
        <v>315</v>
      </c>
      <c r="D38" s="199">
        <v>8451.2827354838737</v>
      </c>
      <c r="E38" s="199">
        <v>0</v>
      </c>
      <c r="F38" s="199">
        <v>120</v>
      </c>
      <c r="G38" s="199">
        <v>8451.2827354838737</v>
      </c>
      <c r="H38" s="199">
        <v>0</v>
      </c>
      <c r="I38" s="199">
        <v>0</v>
      </c>
      <c r="J38" s="199">
        <v>0</v>
      </c>
      <c r="K38" s="199">
        <v>0</v>
      </c>
      <c r="L38" s="148"/>
    </row>
    <row r="39" spans="2:12" hidden="1" outlineLevel="4" x14ac:dyDescent="0.25">
      <c r="B39" s="200" t="s">
        <v>316</v>
      </c>
      <c r="C39" s="201" t="s">
        <v>676</v>
      </c>
      <c r="D39" s="202">
        <v>8451.2827354838737</v>
      </c>
      <c r="E39" s="202"/>
      <c r="F39" s="202">
        <v>120</v>
      </c>
      <c r="G39" s="202">
        <v>8451.2827354838737</v>
      </c>
      <c r="H39" s="202"/>
      <c r="I39" s="202"/>
      <c r="J39" s="202"/>
      <c r="K39" s="202"/>
    </row>
    <row r="40" spans="2:12" hidden="1" outlineLevel="3" x14ac:dyDescent="0.25">
      <c r="B40" s="197" t="s">
        <v>319</v>
      </c>
      <c r="C40" s="198" t="s">
        <v>320</v>
      </c>
      <c r="D40" s="199">
        <v>62268.535199999998</v>
      </c>
      <c r="E40" s="199">
        <v>41041.379999999997</v>
      </c>
      <c r="F40" s="199">
        <v>120</v>
      </c>
      <c r="G40" s="199">
        <v>21227.155200000001</v>
      </c>
      <c r="H40" s="199">
        <v>0</v>
      </c>
      <c r="I40" s="199">
        <v>0</v>
      </c>
      <c r="J40" s="199">
        <v>0</v>
      </c>
      <c r="K40" s="199">
        <v>0</v>
      </c>
      <c r="L40" s="148"/>
    </row>
    <row r="41" spans="2:12" hidden="1" outlineLevel="4" x14ac:dyDescent="0.25">
      <c r="B41" s="200" t="s">
        <v>321</v>
      </c>
      <c r="C41" s="201" t="s">
        <v>677</v>
      </c>
      <c r="D41" s="202">
        <v>62268.535199999998</v>
      </c>
      <c r="E41" s="202">
        <v>41041.379999999997</v>
      </c>
      <c r="F41" s="202">
        <v>120</v>
      </c>
      <c r="G41" s="202">
        <v>21227.155200000001</v>
      </c>
      <c r="H41" s="202"/>
      <c r="I41" s="202"/>
      <c r="J41" s="202"/>
      <c r="K41" s="202"/>
    </row>
    <row r="42" spans="2:12" hidden="1" outlineLevel="2" x14ac:dyDescent="0.25">
      <c r="B42" s="194" t="s">
        <v>203</v>
      </c>
      <c r="C42" s="195" t="s">
        <v>313</v>
      </c>
      <c r="D42" s="196">
        <v>625448.16762580641</v>
      </c>
      <c r="E42" s="196">
        <v>259220.25000000003</v>
      </c>
      <c r="F42" s="196">
        <v>2280</v>
      </c>
      <c r="G42" s="196">
        <v>366227.91762580641</v>
      </c>
      <c r="H42" s="196">
        <v>0</v>
      </c>
      <c r="I42" s="196">
        <v>0</v>
      </c>
      <c r="J42" s="196">
        <v>0</v>
      </c>
      <c r="K42" s="196">
        <v>0</v>
      </c>
      <c r="L42" s="148"/>
    </row>
    <row r="43" spans="2:12" hidden="1" outlineLevel="3" x14ac:dyDescent="0.25">
      <c r="B43" s="197" t="s">
        <v>204</v>
      </c>
      <c r="C43" s="198" t="s">
        <v>206</v>
      </c>
      <c r="D43" s="199">
        <v>138980.96090322582</v>
      </c>
      <c r="E43" s="199">
        <v>114504.9</v>
      </c>
      <c r="F43" s="199">
        <v>360</v>
      </c>
      <c r="G43" s="199">
        <v>24476.060903225807</v>
      </c>
      <c r="H43" s="199">
        <v>0</v>
      </c>
      <c r="I43" s="199">
        <v>0</v>
      </c>
      <c r="J43" s="199">
        <v>0</v>
      </c>
      <c r="K43" s="199">
        <v>0</v>
      </c>
      <c r="L43" s="148"/>
    </row>
    <row r="44" spans="2:12" hidden="1" outlineLevel="4" x14ac:dyDescent="0.25">
      <c r="B44" s="200" t="s">
        <v>205</v>
      </c>
      <c r="C44" s="201" t="s">
        <v>678</v>
      </c>
      <c r="D44" s="202">
        <v>138980.96090322582</v>
      </c>
      <c r="E44" s="202">
        <v>114504.9</v>
      </c>
      <c r="F44" s="202">
        <v>360</v>
      </c>
      <c r="G44" s="202">
        <v>24476.060903225807</v>
      </c>
      <c r="H44" s="202"/>
      <c r="I44" s="202"/>
      <c r="J44" s="202"/>
      <c r="K44" s="202"/>
    </row>
    <row r="45" spans="2:12" hidden="1" outlineLevel="3" x14ac:dyDescent="0.25">
      <c r="B45" s="197" t="s">
        <v>207</v>
      </c>
      <c r="C45" s="198" t="s">
        <v>209</v>
      </c>
      <c r="D45" s="199">
        <v>486467.20672258065</v>
      </c>
      <c r="E45" s="199">
        <v>144715.35000000003</v>
      </c>
      <c r="F45" s="199">
        <v>1920</v>
      </c>
      <c r="G45" s="199">
        <v>341751.85672258062</v>
      </c>
      <c r="H45" s="199">
        <v>0</v>
      </c>
      <c r="I45" s="199">
        <v>0</v>
      </c>
      <c r="J45" s="199">
        <v>0</v>
      </c>
      <c r="K45" s="199">
        <v>0</v>
      </c>
      <c r="L45" s="148"/>
    </row>
    <row r="46" spans="2:12" hidden="1" outlineLevel="4" x14ac:dyDescent="0.25">
      <c r="B46" s="200" t="s">
        <v>208</v>
      </c>
      <c r="C46" s="201" t="s">
        <v>679</v>
      </c>
      <c r="D46" s="202">
        <v>486467.20672258065</v>
      </c>
      <c r="E46" s="202">
        <v>144715.35000000003</v>
      </c>
      <c r="F46" s="202">
        <v>1920</v>
      </c>
      <c r="G46" s="202">
        <v>341751.85672258062</v>
      </c>
      <c r="H46" s="202"/>
      <c r="I46" s="202"/>
      <c r="J46" s="202"/>
      <c r="K46" s="202"/>
    </row>
    <row r="47" spans="2:12" hidden="1" outlineLevel="2" x14ac:dyDescent="0.25">
      <c r="B47" s="194" t="s">
        <v>317</v>
      </c>
      <c r="C47" s="195" t="s">
        <v>318</v>
      </c>
      <c r="D47" s="196">
        <v>115232.57</v>
      </c>
      <c r="E47" s="196">
        <v>115232.57</v>
      </c>
      <c r="F47" s="196">
        <v>0</v>
      </c>
      <c r="G47" s="196">
        <v>0</v>
      </c>
      <c r="H47" s="196">
        <v>0</v>
      </c>
      <c r="I47" s="196">
        <v>0</v>
      </c>
      <c r="J47" s="196">
        <v>0</v>
      </c>
      <c r="K47" s="196">
        <v>0</v>
      </c>
      <c r="L47" s="148"/>
    </row>
    <row r="48" spans="2:12" hidden="1" outlineLevel="3" x14ac:dyDescent="0.25">
      <c r="B48" s="197" t="s">
        <v>325</v>
      </c>
      <c r="C48" s="198" t="s">
        <v>326</v>
      </c>
      <c r="D48" s="199">
        <v>115232.57</v>
      </c>
      <c r="E48" s="199">
        <v>115232.57</v>
      </c>
      <c r="F48" s="199">
        <v>0</v>
      </c>
      <c r="G48" s="199">
        <v>0</v>
      </c>
      <c r="H48" s="199">
        <v>0</v>
      </c>
      <c r="I48" s="199">
        <v>0</v>
      </c>
      <c r="J48" s="199">
        <v>0</v>
      </c>
      <c r="K48" s="199">
        <v>0</v>
      </c>
      <c r="L48" s="148"/>
    </row>
    <row r="49" spans="2:12" hidden="1" outlineLevel="4" x14ac:dyDescent="0.25">
      <c r="B49" s="200" t="s">
        <v>327</v>
      </c>
      <c r="C49" s="201" t="s">
        <v>680</v>
      </c>
      <c r="D49" s="202">
        <v>115232.57</v>
      </c>
      <c r="E49" s="202">
        <v>115232.57</v>
      </c>
      <c r="F49" s="202"/>
      <c r="G49" s="202"/>
      <c r="H49" s="202"/>
      <c r="I49" s="202"/>
      <c r="J49" s="202"/>
      <c r="K49" s="202"/>
    </row>
    <row r="50" spans="2:12" hidden="1" outlineLevel="2" x14ac:dyDescent="0.25">
      <c r="B50" s="194" t="s">
        <v>210</v>
      </c>
      <c r="C50" s="195" t="s">
        <v>322</v>
      </c>
      <c r="D50" s="196">
        <v>340945.30845161289</v>
      </c>
      <c r="E50" s="196">
        <v>64873.310000000005</v>
      </c>
      <c r="F50" s="196">
        <v>2080</v>
      </c>
      <c r="G50" s="196">
        <v>276071.99845161289</v>
      </c>
      <c r="H50" s="196">
        <v>0</v>
      </c>
      <c r="I50" s="196">
        <v>0</v>
      </c>
      <c r="J50" s="196">
        <v>0</v>
      </c>
      <c r="K50" s="196">
        <v>0</v>
      </c>
      <c r="L50" s="148"/>
    </row>
    <row r="51" spans="2:12" hidden="1" outlineLevel="3" x14ac:dyDescent="0.25">
      <c r="B51" s="197" t="s">
        <v>330</v>
      </c>
      <c r="C51" s="198" t="s">
        <v>213</v>
      </c>
      <c r="D51" s="199">
        <v>124703.68109677421</v>
      </c>
      <c r="E51" s="199">
        <v>64873.310000000005</v>
      </c>
      <c r="F51" s="199">
        <v>880</v>
      </c>
      <c r="G51" s="199">
        <v>59830.371096774194</v>
      </c>
      <c r="H51" s="199">
        <v>0</v>
      </c>
      <c r="I51" s="199">
        <v>0</v>
      </c>
      <c r="J51" s="199">
        <v>0</v>
      </c>
      <c r="K51" s="199">
        <v>0</v>
      </c>
      <c r="L51" s="148"/>
    </row>
    <row r="52" spans="2:12" hidden="1" outlineLevel="4" x14ac:dyDescent="0.25">
      <c r="B52" s="200" t="s">
        <v>331</v>
      </c>
      <c r="C52" s="201" t="s">
        <v>681</v>
      </c>
      <c r="D52" s="202">
        <v>124703.68109677421</v>
      </c>
      <c r="E52" s="202">
        <v>64873.310000000005</v>
      </c>
      <c r="F52" s="202">
        <v>880</v>
      </c>
      <c r="G52" s="202">
        <v>59830.371096774194</v>
      </c>
      <c r="H52" s="202"/>
      <c r="I52" s="202"/>
      <c r="J52" s="202"/>
      <c r="K52" s="202"/>
    </row>
    <row r="53" spans="2:12" hidden="1" outlineLevel="3" x14ac:dyDescent="0.25">
      <c r="B53" s="197" t="s">
        <v>211</v>
      </c>
      <c r="C53" s="198" t="s">
        <v>213</v>
      </c>
      <c r="D53" s="199">
        <v>216241.62735483871</v>
      </c>
      <c r="E53" s="199">
        <v>0</v>
      </c>
      <c r="F53" s="199">
        <v>1200</v>
      </c>
      <c r="G53" s="199">
        <v>216241.62735483871</v>
      </c>
      <c r="H53" s="199">
        <v>0</v>
      </c>
      <c r="I53" s="199">
        <v>0</v>
      </c>
      <c r="J53" s="199">
        <v>0</v>
      </c>
      <c r="K53" s="199">
        <v>0</v>
      </c>
      <c r="L53" s="148"/>
    </row>
    <row r="54" spans="2:12" hidden="1" outlineLevel="4" x14ac:dyDescent="0.25">
      <c r="B54" s="200" t="s">
        <v>212</v>
      </c>
      <c r="C54" s="201" t="s">
        <v>682</v>
      </c>
      <c r="D54" s="202">
        <v>216241.62735483871</v>
      </c>
      <c r="E54" s="202"/>
      <c r="F54" s="202">
        <v>1200</v>
      </c>
      <c r="G54" s="202">
        <v>216241.62735483871</v>
      </c>
      <c r="H54" s="202"/>
      <c r="I54" s="202"/>
      <c r="J54" s="202"/>
      <c r="K54" s="202"/>
    </row>
    <row r="55" spans="2:12" hidden="1" outlineLevel="2" x14ac:dyDescent="0.25">
      <c r="B55" s="194" t="s">
        <v>214</v>
      </c>
      <c r="C55" s="195" t="s">
        <v>323</v>
      </c>
      <c r="D55" s="196">
        <v>77327.031432258067</v>
      </c>
      <c r="E55" s="196">
        <v>0</v>
      </c>
      <c r="F55" s="196">
        <v>600</v>
      </c>
      <c r="G55" s="196">
        <v>77327.031432258067</v>
      </c>
      <c r="H55" s="196">
        <v>0</v>
      </c>
      <c r="I55" s="196">
        <v>0</v>
      </c>
      <c r="J55" s="196">
        <v>0</v>
      </c>
      <c r="K55" s="196">
        <v>0</v>
      </c>
      <c r="L55" s="148"/>
    </row>
    <row r="56" spans="2:12" hidden="1" outlineLevel="3" x14ac:dyDescent="0.25">
      <c r="B56" s="197" t="s">
        <v>215</v>
      </c>
      <c r="C56" s="198" t="s">
        <v>217</v>
      </c>
      <c r="D56" s="199">
        <v>20368.388645161293</v>
      </c>
      <c r="E56" s="199">
        <v>0</v>
      </c>
      <c r="F56" s="199">
        <v>280</v>
      </c>
      <c r="G56" s="199">
        <v>20368.388645161293</v>
      </c>
      <c r="H56" s="199">
        <v>0</v>
      </c>
      <c r="I56" s="199">
        <v>0</v>
      </c>
      <c r="J56" s="199">
        <v>0</v>
      </c>
      <c r="K56" s="199">
        <v>0</v>
      </c>
      <c r="L56" s="148"/>
    </row>
    <row r="57" spans="2:12" hidden="1" outlineLevel="4" x14ac:dyDescent="0.25">
      <c r="B57" s="200" t="s">
        <v>216</v>
      </c>
      <c r="C57" s="201" t="s">
        <v>683</v>
      </c>
      <c r="D57" s="202">
        <v>20368.388645161293</v>
      </c>
      <c r="E57" s="202"/>
      <c r="F57" s="202">
        <v>280</v>
      </c>
      <c r="G57" s="202">
        <v>20368.388645161293</v>
      </c>
      <c r="H57" s="202"/>
      <c r="I57" s="202"/>
      <c r="J57" s="202"/>
      <c r="K57" s="202"/>
    </row>
    <row r="58" spans="2:12" hidden="1" outlineLevel="3" x14ac:dyDescent="0.25">
      <c r="B58" s="197" t="s">
        <v>334</v>
      </c>
      <c r="C58" s="198" t="s">
        <v>335</v>
      </c>
      <c r="D58" s="199">
        <v>56958.642787096775</v>
      </c>
      <c r="E58" s="199">
        <v>0</v>
      </c>
      <c r="F58" s="199">
        <v>320</v>
      </c>
      <c r="G58" s="199">
        <v>56958.642787096775</v>
      </c>
      <c r="H58" s="199">
        <v>0</v>
      </c>
      <c r="I58" s="199">
        <v>0</v>
      </c>
      <c r="J58" s="199">
        <v>0</v>
      </c>
      <c r="K58" s="199">
        <v>0</v>
      </c>
      <c r="L58" s="148"/>
    </row>
    <row r="59" spans="2:12" hidden="1" outlineLevel="4" x14ac:dyDescent="0.25">
      <c r="B59" s="200" t="s">
        <v>336</v>
      </c>
      <c r="C59" s="201" t="s">
        <v>684</v>
      </c>
      <c r="D59" s="202">
        <v>56958.642787096775</v>
      </c>
      <c r="E59" s="202"/>
      <c r="F59" s="202">
        <v>320</v>
      </c>
      <c r="G59" s="202">
        <v>56958.642787096775</v>
      </c>
      <c r="H59" s="202"/>
      <c r="I59" s="202"/>
      <c r="J59" s="202"/>
      <c r="K59" s="202"/>
    </row>
    <row r="60" spans="2:12" hidden="1" outlineLevel="2" x14ac:dyDescent="0.25">
      <c r="B60" s="194" t="s">
        <v>218</v>
      </c>
      <c r="C60" s="195" t="s">
        <v>324</v>
      </c>
      <c r="D60" s="196">
        <v>51399.28170322581</v>
      </c>
      <c r="E60" s="196">
        <v>2860.76</v>
      </c>
      <c r="F60" s="196">
        <v>320</v>
      </c>
      <c r="G60" s="196">
        <v>48538.521703225808</v>
      </c>
      <c r="H60" s="196">
        <v>0</v>
      </c>
      <c r="I60" s="196">
        <v>0</v>
      </c>
      <c r="J60" s="196">
        <v>0</v>
      </c>
      <c r="K60" s="196">
        <v>0</v>
      </c>
      <c r="L60" s="148"/>
    </row>
    <row r="61" spans="2:12" hidden="1" outlineLevel="3" x14ac:dyDescent="0.25">
      <c r="B61" s="197" t="s">
        <v>219</v>
      </c>
      <c r="C61" s="198" t="s">
        <v>221</v>
      </c>
      <c r="D61" s="199">
        <v>8680.2996129032272</v>
      </c>
      <c r="E61" s="199">
        <v>2860.76</v>
      </c>
      <c r="F61" s="199">
        <v>80</v>
      </c>
      <c r="G61" s="199">
        <v>5819.539612903227</v>
      </c>
      <c r="H61" s="199">
        <v>0</v>
      </c>
      <c r="I61" s="199">
        <v>0</v>
      </c>
      <c r="J61" s="199">
        <v>0</v>
      </c>
      <c r="K61" s="199">
        <v>0</v>
      </c>
      <c r="L61" s="148"/>
    </row>
    <row r="62" spans="2:12" hidden="1" outlineLevel="4" x14ac:dyDescent="0.25">
      <c r="B62" s="200" t="s">
        <v>220</v>
      </c>
      <c r="C62" s="201" t="s">
        <v>685</v>
      </c>
      <c r="D62" s="202">
        <v>8680.2996129032272</v>
      </c>
      <c r="E62" s="202">
        <v>2860.76</v>
      </c>
      <c r="F62" s="202">
        <v>80</v>
      </c>
      <c r="G62" s="202">
        <v>5819.539612903227</v>
      </c>
      <c r="H62" s="202"/>
      <c r="I62" s="202"/>
      <c r="J62" s="202"/>
      <c r="K62" s="202"/>
    </row>
    <row r="63" spans="2:12" hidden="1" outlineLevel="3" x14ac:dyDescent="0.25">
      <c r="B63" s="197" t="s">
        <v>222</v>
      </c>
      <c r="C63" s="198" t="s">
        <v>221</v>
      </c>
      <c r="D63" s="199">
        <v>42718.982090322577</v>
      </c>
      <c r="E63" s="199">
        <v>0</v>
      </c>
      <c r="F63" s="199">
        <v>240</v>
      </c>
      <c r="G63" s="199">
        <v>42718.982090322577</v>
      </c>
      <c r="H63" s="199">
        <v>0</v>
      </c>
      <c r="I63" s="199">
        <v>0</v>
      </c>
      <c r="J63" s="199">
        <v>0</v>
      </c>
      <c r="K63" s="199">
        <v>0</v>
      </c>
      <c r="L63" s="148"/>
    </row>
    <row r="64" spans="2:12" hidden="1" outlineLevel="4" x14ac:dyDescent="0.25">
      <c r="B64" s="200" t="s">
        <v>223</v>
      </c>
      <c r="C64" s="201" t="s">
        <v>686</v>
      </c>
      <c r="D64" s="202">
        <v>42718.982090322577</v>
      </c>
      <c r="E64" s="202"/>
      <c r="F64" s="202">
        <v>240</v>
      </c>
      <c r="G64" s="202">
        <v>42718.982090322577</v>
      </c>
      <c r="H64" s="202"/>
      <c r="I64" s="202"/>
      <c r="J64" s="202"/>
      <c r="K64" s="202"/>
    </row>
    <row r="65" spans="2:12" hidden="1" outlineLevel="2" x14ac:dyDescent="0.25">
      <c r="B65" s="194" t="s">
        <v>328</v>
      </c>
      <c r="C65" s="195" t="s">
        <v>329</v>
      </c>
      <c r="D65" s="196">
        <v>26762.395329032261</v>
      </c>
      <c r="E65" s="196">
        <v>0</v>
      </c>
      <c r="F65" s="196">
        <v>380</v>
      </c>
      <c r="G65" s="196">
        <v>26762.395329032261</v>
      </c>
      <c r="H65" s="196">
        <v>0</v>
      </c>
      <c r="I65" s="196">
        <v>0</v>
      </c>
      <c r="J65" s="196">
        <v>0</v>
      </c>
      <c r="K65" s="196">
        <v>0</v>
      </c>
      <c r="L65" s="148"/>
    </row>
    <row r="66" spans="2:12" hidden="1" outlineLevel="3" x14ac:dyDescent="0.25">
      <c r="B66" s="197" t="s">
        <v>340</v>
      </c>
      <c r="C66" s="198" t="s">
        <v>341</v>
      </c>
      <c r="D66" s="199">
        <v>26762.395329032261</v>
      </c>
      <c r="E66" s="199">
        <v>0</v>
      </c>
      <c r="F66" s="199">
        <v>380</v>
      </c>
      <c r="G66" s="199">
        <v>26762.395329032261</v>
      </c>
      <c r="H66" s="199">
        <v>0</v>
      </c>
      <c r="I66" s="199">
        <v>0</v>
      </c>
      <c r="J66" s="199">
        <v>0</v>
      </c>
      <c r="K66" s="199">
        <v>0</v>
      </c>
      <c r="L66" s="148"/>
    </row>
    <row r="67" spans="2:12" hidden="1" outlineLevel="4" x14ac:dyDescent="0.25">
      <c r="B67" s="200" t="s">
        <v>342</v>
      </c>
      <c r="C67" s="201" t="s">
        <v>687</v>
      </c>
      <c r="D67" s="202">
        <v>26762.395329032261</v>
      </c>
      <c r="E67" s="202"/>
      <c r="F67" s="202">
        <v>380</v>
      </c>
      <c r="G67" s="202">
        <v>26762.395329032261</v>
      </c>
      <c r="H67" s="202"/>
      <c r="I67" s="202"/>
      <c r="J67" s="202"/>
      <c r="K67" s="202"/>
    </row>
    <row r="68" spans="2:12" outlineLevel="1" collapsed="1" x14ac:dyDescent="0.25">
      <c r="B68" s="180" t="s">
        <v>46</v>
      </c>
      <c r="C68" s="192" t="s">
        <v>224</v>
      </c>
      <c r="D68" s="193">
        <v>19051997.477653317</v>
      </c>
      <c r="E68" s="193">
        <v>609143.34</v>
      </c>
      <c r="F68" s="193">
        <v>0</v>
      </c>
      <c r="G68" s="193">
        <v>0</v>
      </c>
      <c r="H68" s="193">
        <v>18441607.792803761</v>
      </c>
      <c r="I68" s="193">
        <v>0</v>
      </c>
      <c r="J68" s="193">
        <v>1246.3448495575221</v>
      </c>
      <c r="K68" s="193">
        <v>0</v>
      </c>
      <c r="L68" s="148"/>
    </row>
    <row r="69" spans="2:12" hidden="1" outlineLevel="2" x14ac:dyDescent="0.25">
      <c r="B69" s="194" t="s">
        <v>225</v>
      </c>
      <c r="C69" s="195" t="s">
        <v>332</v>
      </c>
      <c r="D69" s="196">
        <v>17041.684961769912</v>
      </c>
      <c r="E69" s="196">
        <v>0</v>
      </c>
      <c r="F69" s="196">
        <v>0</v>
      </c>
      <c r="G69" s="196">
        <v>0</v>
      </c>
      <c r="H69" s="196">
        <v>17041.684961769912</v>
      </c>
      <c r="I69" s="196">
        <v>0</v>
      </c>
      <c r="J69" s="196">
        <v>0</v>
      </c>
      <c r="K69" s="196">
        <v>0</v>
      </c>
      <c r="L69" s="148"/>
    </row>
    <row r="70" spans="2:12" hidden="1" outlineLevel="3" x14ac:dyDescent="0.25">
      <c r="B70" s="197" t="s">
        <v>226</v>
      </c>
      <c r="C70" s="198" t="s">
        <v>228</v>
      </c>
      <c r="D70" s="199">
        <v>17041.684961769912</v>
      </c>
      <c r="E70" s="199">
        <v>0</v>
      </c>
      <c r="F70" s="199">
        <v>0</v>
      </c>
      <c r="G70" s="199">
        <v>0</v>
      </c>
      <c r="H70" s="199">
        <v>17041.684961769912</v>
      </c>
      <c r="I70" s="199">
        <v>0</v>
      </c>
      <c r="J70" s="199">
        <v>0</v>
      </c>
      <c r="K70" s="199">
        <v>0</v>
      </c>
      <c r="L70" s="148"/>
    </row>
    <row r="71" spans="2:12" hidden="1" outlineLevel="4" x14ac:dyDescent="0.25">
      <c r="B71" s="200" t="s">
        <v>227</v>
      </c>
      <c r="C71" s="201" t="s">
        <v>688</v>
      </c>
      <c r="D71" s="202">
        <v>17041.684961769912</v>
      </c>
      <c r="E71" s="202"/>
      <c r="F71" s="202"/>
      <c r="G71" s="202"/>
      <c r="H71" s="202">
        <v>17041.684961769912</v>
      </c>
      <c r="I71" s="202"/>
      <c r="J71" s="202"/>
      <c r="K71" s="202"/>
    </row>
    <row r="72" spans="2:12" hidden="1" outlineLevel="2" x14ac:dyDescent="0.25">
      <c r="B72" s="194" t="s">
        <v>229</v>
      </c>
      <c r="C72" s="195" t="s">
        <v>333</v>
      </c>
      <c r="D72" s="196">
        <v>3749192.099400044</v>
      </c>
      <c r="E72" s="196">
        <v>609143.34</v>
      </c>
      <c r="F72" s="196">
        <v>0</v>
      </c>
      <c r="G72" s="196">
        <v>0</v>
      </c>
      <c r="H72" s="196">
        <v>3138802.4145504865</v>
      </c>
      <c r="I72" s="196">
        <v>0</v>
      </c>
      <c r="J72" s="196">
        <v>1246.3448495575221</v>
      </c>
      <c r="K72" s="196">
        <v>0</v>
      </c>
      <c r="L72" s="148"/>
    </row>
    <row r="73" spans="2:12" hidden="1" outlineLevel="3" x14ac:dyDescent="0.25">
      <c r="B73" s="197" t="s">
        <v>230</v>
      </c>
      <c r="C73" s="198" t="s">
        <v>232</v>
      </c>
      <c r="D73" s="199">
        <v>1327378.7610619469</v>
      </c>
      <c r="E73" s="199">
        <v>0</v>
      </c>
      <c r="F73" s="199">
        <v>0</v>
      </c>
      <c r="G73" s="199">
        <v>0</v>
      </c>
      <c r="H73" s="199">
        <v>1327378.7610619469</v>
      </c>
      <c r="I73" s="199">
        <v>0</v>
      </c>
      <c r="J73" s="199">
        <v>0</v>
      </c>
      <c r="K73" s="199">
        <v>0</v>
      </c>
      <c r="L73" s="148"/>
    </row>
    <row r="74" spans="2:12" hidden="1" outlineLevel="4" x14ac:dyDescent="0.25">
      <c r="B74" s="200" t="s">
        <v>231</v>
      </c>
      <c r="C74" s="201" t="s">
        <v>689</v>
      </c>
      <c r="D74" s="202">
        <v>1327378.7610619469</v>
      </c>
      <c r="E74" s="202"/>
      <c r="F74" s="202"/>
      <c r="G74" s="202"/>
      <c r="H74" s="202">
        <v>1327378.7610619469</v>
      </c>
      <c r="I74" s="202"/>
      <c r="J74" s="202"/>
      <c r="K74" s="202"/>
    </row>
    <row r="75" spans="2:12" hidden="1" outlineLevel="3" x14ac:dyDescent="0.25">
      <c r="B75" s="197" t="s">
        <v>362</v>
      </c>
      <c r="C75" s="198" t="s">
        <v>363</v>
      </c>
      <c r="D75" s="199">
        <v>1253049.9750383482</v>
      </c>
      <c r="E75" s="199">
        <v>0</v>
      </c>
      <c r="F75" s="199">
        <v>0</v>
      </c>
      <c r="G75" s="199">
        <v>0</v>
      </c>
      <c r="H75" s="199">
        <v>1253049.9750383482</v>
      </c>
      <c r="I75" s="199">
        <v>0</v>
      </c>
      <c r="J75" s="199">
        <v>0</v>
      </c>
      <c r="K75" s="199">
        <v>0</v>
      </c>
      <c r="L75" s="148"/>
    </row>
    <row r="76" spans="2:12" hidden="1" outlineLevel="4" x14ac:dyDescent="0.25">
      <c r="B76" s="200" t="s">
        <v>364</v>
      </c>
      <c r="C76" s="201" t="s">
        <v>693</v>
      </c>
      <c r="D76" s="202">
        <v>1253049.9750383482</v>
      </c>
      <c r="E76" s="202"/>
      <c r="F76" s="202"/>
      <c r="G76" s="202"/>
      <c r="H76" s="202">
        <v>1253049.9750383482</v>
      </c>
      <c r="I76" s="202"/>
      <c r="J76" s="202"/>
      <c r="K76" s="202"/>
    </row>
    <row r="77" spans="2:12" hidden="1" outlineLevel="3" x14ac:dyDescent="0.25">
      <c r="B77" s="197" t="s">
        <v>366</v>
      </c>
      <c r="C77" s="198" t="s">
        <v>367</v>
      </c>
      <c r="D77" s="199">
        <v>408322.4386961651</v>
      </c>
      <c r="E77" s="199">
        <v>0</v>
      </c>
      <c r="F77" s="199">
        <v>0</v>
      </c>
      <c r="G77" s="199">
        <v>0</v>
      </c>
      <c r="H77" s="199">
        <v>407076.0938466076</v>
      </c>
      <c r="I77" s="199">
        <v>0</v>
      </c>
      <c r="J77" s="199">
        <v>1246.3448495575221</v>
      </c>
      <c r="K77" s="199">
        <v>0</v>
      </c>
      <c r="L77" s="148"/>
    </row>
    <row r="78" spans="2:12" hidden="1" outlineLevel="4" x14ac:dyDescent="0.25">
      <c r="B78" s="200" t="s">
        <v>368</v>
      </c>
      <c r="C78" s="201" t="s">
        <v>699</v>
      </c>
      <c r="D78" s="202">
        <v>408322.4386961651</v>
      </c>
      <c r="E78" s="202"/>
      <c r="F78" s="202"/>
      <c r="G78" s="202"/>
      <c r="H78" s="202">
        <v>407076.0938466076</v>
      </c>
      <c r="I78" s="202"/>
      <c r="J78" s="202">
        <v>1246.3448495575221</v>
      </c>
      <c r="K78" s="202"/>
    </row>
    <row r="79" spans="2:12" hidden="1" outlineLevel="3" x14ac:dyDescent="0.25">
      <c r="B79" s="197" t="s">
        <v>371</v>
      </c>
      <c r="C79" s="198" t="s">
        <v>372</v>
      </c>
      <c r="D79" s="199">
        <v>30972.171091445427</v>
      </c>
      <c r="E79" s="199">
        <v>0</v>
      </c>
      <c r="F79" s="199">
        <v>0</v>
      </c>
      <c r="G79" s="199">
        <v>0</v>
      </c>
      <c r="H79" s="199">
        <v>30972.171091445427</v>
      </c>
      <c r="I79" s="199">
        <v>0</v>
      </c>
      <c r="J79" s="199">
        <v>0</v>
      </c>
      <c r="K79" s="199">
        <v>0</v>
      </c>
      <c r="L79" s="148"/>
    </row>
    <row r="80" spans="2:12" hidden="1" outlineLevel="4" x14ac:dyDescent="0.25">
      <c r="B80" s="200" t="s">
        <v>373</v>
      </c>
      <c r="C80" s="201" t="s">
        <v>700</v>
      </c>
      <c r="D80" s="202">
        <v>30972.171091445427</v>
      </c>
      <c r="E80" s="202"/>
      <c r="F80" s="202"/>
      <c r="G80" s="202"/>
      <c r="H80" s="202">
        <v>30972.171091445427</v>
      </c>
      <c r="I80" s="202"/>
      <c r="J80" s="202"/>
      <c r="K80" s="202"/>
    </row>
    <row r="81" spans="2:12" hidden="1" outlineLevel="3" x14ac:dyDescent="0.25">
      <c r="B81" s="197" t="s">
        <v>376</v>
      </c>
      <c r="C81" s="198" t="s">
        <v>377</v>
      </c>
      <c r="D81" s="199">
        <v>729468.75351213862</v>
      </c>
      <c r="E81" s="199">
        <v>609143.34</v>
      </c>
      <c r="F81" s="199">
        <v>0</v>
      </c>
      <c r="G81" s="199">
        <v>0</v>
      </c>
      <c r="H81" s="199">
        <v>120325.41351213865</v>
      </c>
      <c r="I81" s="199">
        <v>0</v>
      </c>
      <c r="J81" s="199">
        <v>0</v>
      </c>
      <c r="K81" s="199">
        <v>0</v>
      </c>
      <c r="L81" s="148"/>
    </row>
    <row r="82" spans="2:12" hidden="1" outlineLevel="4" x14ac:dyDescent="0.25">
      <c r="B82" s="200" t="s">
        <v>378</v>
      </c>
      <c r="C82" s="201" t="s">
        <v>706</v>
      </c>
      <c r="D82" s="202">
        <v>729468.75351213862</v>
      </c>
      <c r="E82" s="202">
        <v>609143.34</v>
      </c>
      <c r="F82" s="202"/>
      <c r="G82" s="202"/>
      <c r="H82" s="202">
        <v>120325.41351213865</v>
      </c>
      <c r="I82" s="202"/>
      <c r="J82" s="202"/>
      <c r="K82" s="202"/>
    </row>
    <row r="83" spans="2:12" hidden="1" outlineLevel="2" x14ac:dyDescent="0.25">
      <c r="B83" s="194" t="s">
        <v>233</v>
      </c>
      <c r="C83" s="195" t="s">
        <v>337</v>
      </c>
      <c r="D83" s="196">
        <v>580.72820796460178</v>
      </c>
      <c r="E83" s="196">
        <v>0</v>
      </c>
      <c r="F83" s="196">
        <v>0</v>
      </c>
      <c r="G83" s="196">
        <v>0</v>
      </c>
      <c r="H83" s="196">
        <v>580.72820796460178</v>
      </c>
      <c r="I83" s="196">
        <v>0</v>
      </c>
      <c r="J83" s="196">
        <v>0</v>
      </c>
      <c r="K83" s="196">
        <v>0</v>
      </c>
      <c r="L83" s="148"/>
    </row>
    <row r="84" spans="2:12" hidden="1" outlineLevel="3" x14ac:dyDescent="0.25">
      <c r="B84" s="197" t="s">
        <v>234</v>
      </c>
      <c r="C84" s="198" t="s">
        <v>236</v>
      </c>
      <c r="D84" s="199">
        <v>580.72820796460178</v>
      </c>
      <c r="E84" s="199">
        <v>0</v>
      </c>
      <c r="F84" s="199">
        <v>0</v>
      </c>
      <c r="G84" s="199">
        <v>0</v>
      </c>
      <c r="H84" s="199">
        <v>580.72820796460178</v>
      </c>
      <c r="I84" s="199">
        <v>0</v>
      </c>
      <c r="J84" s="199">
        <v>0</v>
      </c>
      <c r="K84" s="199">
        <v>0</v>
      </c>
      <c r="L84" s="148"/>
    </row>
    <row r="85" spans="2:12" hidden="1" outlineLevel="4" x14ac:dyDescent="0.25">
      <c r="B85" s="200" t="s">
        <v>235</v>
      </c>
      <c r="C85" s="201" t="s">
        <v>707</v>
      </c>
      <c r="D85" s="202">
        <v>580.72820796460178</v>
      </c>
      <c r="E85" s="202"/>
      <c r="F85" s="202"/>
      <c r="G85" s="202"/>
      <c r="H85" s="202">
        <v>580.72820796460178</v>
      </c>
      <c r="I85" s="202"/>
      <c r="J85" s="202"/>
      <c r="K85" s="202"/>
    </row>
    <row r="86" spans="2:12" hidden="1" outlineLevel="2" x14ac:dyDescent="0.25">
      <c r="B86" s="194" t="s">
        <v>338</v>
      </c>
      <c r="C86" s="195" t="s">
        <v>339</v>
      </c>
      <c r="D86" s="196">
        <v>1717240.9646755161</v>
      </c>
      <c r="E86" s="196">
        <v>0</v>
      </c>
      <c r="F86" s="196">
        <v>0</v>
      </c>
      <c r="G86" s="196">
        <v>0</v>
      </c>
      <c r="H86" s="196">
        <v>1717240.9646755161</v>
      </c>
      <c r="I86" s="196">
        <v>0</v>
      </c>
      <c r="J86" s="196">
        <v>0</v>
      </c>
      <c r="K86" s="196">
        <v>0</v>
      </c>
      <c r="L86" s="148"/>
    </row>
    <row r="87" spans="2:12" hidden="1" outlineLevel="3" x14ac:dyDescent="0.25">
      <c r="B87" s="197" t="s">
        <v>382</v>
      </c>
      <c r="C87" s="198" t="s">
        <v>383</v>
      </c>
      <c r="D87" s="199">
        <v>1697662.1279498525</v>
      </c>
      <c r="E87" s="199">
        <v>0</v>
      </c>
      <c r="F87" s="199">
        <v>0</v>
      </c>
      <c r="G87" s="199">
        <v>0</v>
      </c>
      <c r="H87" s="199">
        <v>1697662.1279498525</v>
      </c>
      <c r="I87" s="199">
        <v>0</v>
      </c>
      <c r="J87" s="199">
        <v>0</v>
      </c>
      <c r="K87" s="199">
        <v>0</v>
      </c>
      <c r="L87" s="148"/>
    </row>
    <row r="88" spans="2:12" hidden="1" outlineLevel="4" x14ac:dyDescent="0.25">
      <c r="B88" s="200" t="s">
        <v>387</v>
      </c>
      <c r="C88" s="201" t="s">
        <v>709</v>
      </c>
      <c r="D88" s="202">
        <v>1697662.1279498525</v>
      </c>
      <c r="E88" s="202"/>
      <c r="F88" s="202"/>
      <c r="G88" s="202"/>
      <c r="H88" s="202">
        <v>1697662.1279498525</v>
      </c>
      <c r="I88" s="202"/>
      <c r="J88" s="202"/>
      <c r="K88" s="202"/>
    </row>
    <row r="89" spans="2:12" hidden="1" outlineLevel="3" x14ac:dyDescent="0.25">
      <c r="B89" s="197" t="s">
        <v>385</v>
      </c>
      <c r="C89" s="198" t="s">
        <v>386</v>
      </c>
      <c r="D89" s="199">
        <v>19578.836725663718</v>
      </c>
      <c r="E89" s="199">
        <v>0</v>
      </c>
      <c r="F89" s="199">
        <v>0</v>
      </c>
      <c r="G89" s="199">
        <v>0</v>
      </c>
      <c r="H89" s="199">
        <v>19578.836725663718</v>
      </c>
      <c r="I89" s="199">
        <v>0</v>
      </c>
      <c r="J89" s="199">
        <v>0</v>
      </c>
      <c r="K89" s="199">
        <v>0</v>
      </c>
      <c r="L89" s="148"/>
    </row>
    <row r="90" spans="2:12" hidden="1" outlineLevel="4" x14ac:dyDescent="0.25">
      <c r="B90" s="200" t="s">
        <v>388</v>
      </c>
      <c r="C90" s="201" t="s">
        <v>710</v>
      </c>
      <c r="D90" s="202">
        <v>19578.836725663718</v>
      </c>
      <c r="E90" s="202"/>
      <c r="F90" s="202"/>
      <c r="G90" s="202"/>
      <c r="H90" s="202">
        <v>19578.836725663718</v>
      </c>
      <c r="I90" s="202"/>
      <c r="J90" s="202"/>
      <c r="K90" s="202"/>
    </row>
    <row r="91" spans="2:12" hidden="1" outlineLevel="2" x14ac:dyDescent="0.25">
      <c r="B91" s="194" t="s">
        <v>343</v>
      </c>
      <c r="C91" s="195" t="s">
        <v>344</v>
      </c>
      <c r="D91" s="196">
        <v>263177.17465781712</v>
      </c>
      <c r="E91" s="196">
        <v>0</v>
      </c>
      <c r="F91" s="196">
        <v>0</v>
      </c>
      <c r="G91" s="196">
        <v>0</v>
      </c>
      <c r="H91" s="196">
        <v>263177.17465781712</v>
      </c>
      <c r="I91" s="196">
        <v>0</v>
      </c>
      <c r="J91" s="196">
        <v>0</v>
      </c>
      <c r="K91" s="196">
        <v>0</v>
      </c>
      <c r="L91" s="148"/>
    </row>
    <row r="92" spans="2:12" hidden="1" outlineLevel="3" x14ac:dyDescent="0.25">
      <c r="B92" s="197" t="s">
        <v>390</v>
      </c>
      <c r="C92" s="198" t="s">
        <v>344</v>
      </c>
      <c r="D92" s="199">
        <v>263177.17465781712</v>
      </c>
      <c r="E92" s="199">
        <v>0</v>
      </c>
      <c r="F92" s="199">
        <v>0</v>
      </c>
      <c r="G92" s="199">
        <v>0</v>
      </c>
      <c r="H92" s="199">
        <v>263177.17465781712</v>
      </c>
      <c r="I92" s="199">
        <v>0</v>
      </c>
      <c r="J92" s="199">
        <v>0</v>
      </c>
      <c r="K92" s="199">
        <v>0</v>
      </c>
      <c r="L92" s="148"/>
    </row>
    <row r="93" spans="2:12" hidden="1" outlineLevel="4" x14ac:dyDescent="0.25">
      <c r="B93" s="200" t="s">
        <v>392</v>
      </c>
      <c r="C93" s="201" t="s">
        <v>711</v>
      </c>
      <c r="D93" s="202">
        <v>263177.17465781712</v>
      </c>
      <c r="E93" s="202"/>
      <c r="F93" s="202"/>
      <c r="G93" s="202"/>
      <c r="H93" s="202">
        <v>263177.17465781712</v>
      </c>
      <c r="I93" s="202"/>
      <c r="J93" s="202"/>
      <c r="K93" s="202"/>
    </row>
    <row r="94" spans="2:12" hidden="1" outlineLevel="2" x14ac:dyDescent="0.25">
      <c r="B94" s="194" t="s">
        <v>345</v>
      </c>
      <c r="C94" s="195" t="s">
        <v>346</v>
      </c>
      <c r="D94" s="196">
        <v>13304764.825750208</v>
      </c>
      <c r="E94" s="196">
        <v>0</v>
      </c>
      <c r="F94" s="196">
        <v>0</v>
      </c>
      <c r="G94" s="196">
        <v>0</v>
      </c>
      <c r="H94" s="196">
        <v>13304764.825750208</v>
      </c>
      <c r="I94" s="196">
        <v>0</v>
      </c>
      <c r="J94" s="196">
        <v>0</v>
      </c>
      <c r="K94" s="196">
        <v>0</v>
      </c>
      <c r="L94" s="148"/>
    </row>
    <row r="95" spans="2:12" hidden="1" outlineLevel="3" x14ac:dyDescent="0.25">
      <c r="B95" s="197" t="s">
        <v>393</v>
      </c>
      <c r="C95" s="198" t="s">
        <v>346</v>
      </c>
      <c r="D95" s="199">
        <v>13156049.733956696</v>
      </c>
      <c r="E95" s="199">
        <v>0</v>
      </c>
      <c r="F95" s="199">
        <v>0</v>
      </c>
      <c r="G95" s="199">
        <v>0</v>
      </c>
      <c r="H95" s="199">
        <v>13156049.733956696</v>
      </c>
      <c r="I95" s="199">
        <v>0</v>
      </c>
      <c r="J95" s="199">
        <v>0</v>
      </c>
      <c r="K95" s="199">
        <v>0</v>
      </c>
      <c r="L95" s="148"/>
    </row>
    <row r="96" spans="2:12" hidden="1" outlineLevel="4" x14ac:dyDescent="0.25">
      <c r="B96" s="200" t="s">
        <v>396</v>
      </c>
      <c r="C96" s="201" t="s">
        <v>714</v>
      </c>
      <c r="D96" s="202">
        <v>13156049.733956696</v>
      </c>
      <c r="E96" s="202"/>
      <c r="F96" s="202"/>
      <c r="G96" s="202"/>
      <c r="H96" s="202">
        <v>13156049.733956696</v>
      </c>
      <c r="I96" s="202"/>
      <c r="J96" s="202"/>
      <c r="K96" s="202"/>
    </row>
    <row r="97" spans="2:12" hidden="1" outlineLevel="3" x14ac:dyDescent="0.25">
      <c r="B97" s="197" t="s">
        <v>394</v>
      </c>
      <c r="C97" s="198" t="s">
        <v>395</v>
      </c>
      <c r="D97" s="199">
        <v>148715.09179351031</v>
      </c>
      <c r="E97" s="199">
        <v>0</v>
      </c>
      <c r="F97" s="199">
        <v>0</v>
      </c>
      <c r="G97" s="199">
        <v>0</v>
      </c>
      <c r="H97" s="199">
        <v>148715.09179351031</v>
      </c>
      <c r="I97" s="199">
        <v>0</v>
      </c>
      <c r="J97" s="199">
        <v>0</v>
      </c>
      <c r="K97" s="199">
        <v>0</v>
      </c>
      <c r="L97" s="148"/>
    </row>
    <row r="98" spans="2:12" hidden="1" outlineLevel="4" x14ac:dyDescent="0.25">
      <c r="B98" s="200" t="s">
        <v>399</v>
      </c>
      <c r="C98" s="201" t="s">
        <v>720</v>
      </c>
      <c r="D98" s="202">
        <v>148715.09179351031</v>
      </c>
      <c r="E98" s="202"/>
      <c r="F98" s="202"/>
      <c r="G98" s="202"/>
      <c r="H98" s="202">
        <v>148715.09179351031</v>
      </c>
      <c r="I98" s="202"/>
      <c r="J98" s="202"/>
      <c r="K98" s="202"/>
    </row>
    <row r="99" spans="2:12" outlineLevel="1" collapsed="1" x14ac:dyDescent="0.25">
      <c r="B99" s="180" t="s">
        <v>47</v>
      </c>
      <c r="C99" s="192" t="s">
        <v>237</v>
      </c>
      <c r="D99" s="193">
        <v>7610209.0175447995</v>
      </c>
      <c r="E99" s="193">
        <v>0</v>
      </c>
      <c r="F99" s="193">
        <v>34964.409</v>
      </c>
      <c r="G99" s="193">
        <v>5983246.4021437997</v>
      </c>
      <c r="H99" s="193">
        <v>966120.21839500009</v>
      </c>
      <c r="I99" s="193">
        <v>0</v>
      </c>
      <c r="J99" s="193">
        <v>591671.71700599999</v>
      </c>
      <c r="K99" s="193">
        <v>69170.679999999993</v>
      </c>
      <c r="L99" s="148"/>
    </row>
    <row r="100" spans="2:12" hidden="1" outlineLevel="2" x14ac:dyDescent="0.25">
      <c r="B100" s="194" t="s">
        <v>238</v>
      </c>
      <c r="C100" s="195" t="s">
        <v>347</v>
      </c>
      <c r="D100" s="196">
        <v>1027664.5780488002</v>
      </c>
      <c r="E100" s="196">
        <v>0</v>
      </c>
      <c r="F100" s="196">
        <v>3372</v>
      </c>
      <c r="G100" s="196">
        <v>866437.99754080025</v>
      </c>
      <c r="H100" s="196">
        <v>148580.5252</v>
      </c>
      <c r="I100" s="196">
        <v>0</v>
      </c>
      <c r="J100" s="196">
        <v>12646.055308000001</v>
      </c>
      <c r="K100" s="196">
        <v>0</v>
      </c>
      <c r="L100" s="148"/>
    </row>
    <row r="101" spans="2:12" hidden="1" outlineLevel="3" x14ac:dyDescent="0.25">
      <c r="B101" s="197" t="s">
        <v>397</v>
      </c>
      <c r="C101" s="198" t="s">
        <v>398</v>
      </c>
      <c r="D101" s="199">
        <v>667063.91268800001</v>
      </c>
      <c r="E101" s="199">
        <v>0</v>
      </c>
      <c r="F101" s="199">
        <v>3340</v>
      </c>
      <c r="G101" s="199">
        <v>505837.33218000003</v>
      </c>
      <c r="H101" s="199">
        <v>148580.5252</v>
      </c>
      <c r="I101" s="199">
        <v>0</v>
      </c>
      <c r="J101" s="199">
        <v>12646.055308000001</v>
      </c>
      <c r="K101" s="199">
        <v>0</v>
      </c>
      <c r="L101" s="148"/>
    </row>
    <row r="102" spans="2:12" hidden="1" outlineLevel="4" x14ac:dyDescent="0.25">
      <c r="B102" s="200" t="s">
        <v>401</v>
      </c>
      <c r="C102" s="201" t="s">
        <v>726</v>
      </c>
      <c r="D102" s="202">
        <v>667063.91268800001</v>
      </c>
      <c r="E102" s="202"/>
      <c r="F102" s="202">
        <v>3340</v>
      </c>
      <c r="G102" s="202">
        <v>505837.33218000003</v>
      </c>
      <c r="H102" s="202">
        <v>148580.5252</v>
      </c>
      <c r="I102" s="202"/>
      <c r="J102" s="202">
        <v>12646.055308000001</v>
      </c>
      <c r="K102" s="202"/>
    </row>
    <row r="103" spans="2:12" hidden="1" outlineLevel="3" x14ac:dyDescent="0.25">
      <c r="B103" s="197" t="s">
        <v>239</v>
      </c>
      <c r="C103" s="198" t="s">
        <v>400</v>
      </c>
      <c r="D103" s="199">
        <v>2114.670752</v>
      </c>
      <c r="E103" s="199">
        <v>0</v>
      </c>
      <c r="F103" s="199">
        <v>32</v>
      </c>
      <c r="G103" s="199">
        <v>2114.670752</v>
      </c>
      <c r="H103" s="199">
        <v>0</v>
      </c>
      <c r="I103" s="199">
        <v>0</v>
      </c>
      <c r="J103" s="199">
        <v>0</v>
      </c>
      <c r="K103" s="199">
        <v>0</v>
      </c>
      <c r="L103" s="148"/>
    </row>
    <row r="104" spans="2:12" hidden="1" outlineLevel="4" x14ac:dyDescent="0.25">
      <c r="B104" s="200" t="s">
        <v>240</v>
      </c>
      <c r="C104" s="201" t="s">
        <v>727</v>
      </c>
      <c r="D104" s="202">
        <v>2114.670752</v>
      </c>
      <c r="E104" s="202"/>
      <c r="F104" s="202">
        <v>32</v>
      </c>
      <c r="G104" s="202">
        <v>2114.670752</v>
      </c>
      <c r="H104" s="202"/>
      <c r="I104" s="202"/>
      <c r="J104" s="202"/>
      <c r="K104" s="202"/>
    </row>
    <row r="105" spans="2:12" hidden="1" outlineLevel="3" x14ac:dyDescent="0.25">
      <c r="B105" s="197" t="s">
        <v>241</v>
      </c>
      <c r="C105" s="198" t="s">
        <v>243</v>
      </c>
      <c r="D105" s="199">
        <v>358485.99460880022</v>
      </c>
      <c r="E105" s="199">
        <v>0</v>
      </c>
      <c r="F105" s="199">
        <v>0</v>
      </c>
      <c r="G105" s="199">
        <v>358485.99460880022</v>
      </c>
      <c r="H105" s="199">
        <v>0</v>
      </c>
      <c r="I105" s="199">
        <v>0</v>
      </c>
      <c r="J105" s="199">
        <v>0</v>
      </c>
      <c r="K105" s="199">
        <v>0</v>
      </c>
      <c r="L105" s="148"/>
    </row>
    <row r="106" spans="2:12" hidden="1" outlineLevel="4" x14ac:dyDescent="0.25">
      <c r="B106" s="200" t="s">
        <v>242</v>
      </c>
      <c r="C106" s="201" t="s">
        <v>729</v>
      </c>
      <c r="D106" s="202">
        <v>358485.99460880022</v>
      </c>
      <c r="E106" s="202"/>
      <c r="F106" s="202">
        <v>0</v>
      </c>
      <c r="G106" s="202">
        <v>358485.99460880022</v>
      </c>
      <c r="H106" s="202"/>
      <c r="I106" s="202"/>
      <c r="J106" s="202"/>
      <c r="K106" s="202"/>
    </row>
    <row r="107" spans="2:12" hidden="1" outlineLevel="2" x14ac:dyDescent="0.25">
      <c r="B107" s="194" t="s">
        <v>244</v>
      </c>
      <c r="C107" s="195" t="s">
        <v>348</v>
      </c>
      <c r="D107" s="196">
        <v>340154.04308500001</v>
      </c>
      <c r="E107" s="196">
        <v>0</v>
      </c>
      <c r="F107" s="196">
        <v>1740.5</v>
      </c>
      <c r="G107" s="196">
        <v>279140.241805</v>
      </c>
      <c r="H107" s="196">
        <v>7651.38</v>
      </c>
      <c r="I107" s="196">
        <v>0</v>
      </c>
      <c r="J107" s="196">
        <v>53362.421280000002</v>
      </c>
      <c r="K107" s="196">
        <v>0</v>
      </c>
      <c r="L107" s="148"/>
    </row>
    <row r="108" spans="2:12" hidden="1" outlineLevel="3" x14ac:dyDescent="0.25">
      <c r="B108" s="197" t="s">
        <v>245</v>
      </c>
      <c r="C108" s="198" t="s">
        <v>404</v>
      </c>
      <c r="D108" s="199">
        <v>137515.55544</v>
      </c>
      <c r="E108" s="199">
        <v>0</v>
      </c>
      <c r="F108" s="199">
        <v>720</v>
      </c>
      <c r="G108" s="199">
        <v>99323.155440000002</v>
      </c>
      <c r="H108" s="199">
        <v>0</v>
      </c>
      <c r="I108" s="199">
        <v>0</v>
      </c>
      <c r="J108" s="199">
        <v>38192.400000000001</v>
      </c>
      <c r="K108" s="199">
        <v>0</v>
      </c>
      <c r="L108" s="148"/>
    </row>
    <row r="109" spans="2:12" hidden="1" outlineLevel="4" x14ac:dyDescent="0.25">
      <c r="B109" s="200" t="s">
        <v>422</v>
      </c>
      <c r="C109" s="201" t="s">
        <v>730</v>
      </c>
      <c r="D109" s="202">
        <v>137515.55544</v>
      </c>
      <c r="E109" s="202"/>
      <c r="F109" s="202">
        <v>720</v>
      </c>
      <c r="G109" s="202">
        <v>99323.155440000002</v>
      </c>
      <c r="H109" s="202"/>
      <c r="I109" s="202"/>
      <c r="J109" s="202">
        <v>38192.400000000001</v>
      </c>
      <c r="K109" s="202"/>
    </row>
    <row r="110" spans="2:12" hidden="1" outlineLevel="3" x14ac:dyDescent="0.25">
      <c r="B110" s="197" t="s">
        <v>246</v>
      </c>
      <c r="C110" s="198" t="s">
        <v>406</v>
      </c>
      <c r="D110" s="199">
        <v>194987.10764499998</v>
      </c>
      <c r="E110" s="199">
        <v>0</v>
      </c>
      <c r="F110" s="199">
        <v>1020.5</v>
      </c>
      <c r="G110" s="199">
        <v>179817.086365</v>
      </c>
      <c r="H110" s="199">
        <v>0</v>
      </c>
      <c r="I110" s="199">
        <v>0</v>
      </c>
      <c r="J110" s="199">
        <v>15170.021279999997</v>
      </c>
      <c r="K110" s="199">
        <v>0</v>
      </c>
      <c r="L110" s="148"/>
    </row>
    <row r="111" spans="2:12" hidden="1" outlineLevel="4" x14ac:dyDescent="0.25">
      <c r="B111" s="200" t="s">
        <v>247</v>
      </c>
      <c r="C111" s="201" t="s">
        <v>731</v>
      </c>
      <c r="D111" s="202">
        <v>27307.056767999999</v>
      </c>
      <c r="E111" s="202"/>
      <c r="F111" s="202">
        <v>128</v>
      </c>
      <c r="G111" s="202">
        <v>22554.224768</v>
      </c>
      <c r="H111" s="202"/>
      <c r="I111" s="202"/>
      <c r="J111" s="202">
        <v>4752.8319999999994</v>
      </c>
      <c r="K111" s="202"/>
    </row>
    <row r="112" spans="2:12" hidden="1" outlineLevel="4" x14ac:dyDescent="0.25">
      <c r="B112" s="200" t="s">
        <v>248</v>
      </c>
      <c r="C112" s="201" t="s">
        <v>733</v>
      </c>
      <c r="D112" s="202">
        <v>167680.05087699997</v>
      </c>
      <c r="E112" s="202"/>
      <c r="F112" s="202">
        <v>892.5</v>
      </c>
      <c r="G112" s="202">
        <v>157262.86159699998</v>
      </c>
      <c r="H112" s="202"/>
      <c r="I112" s="202"/>
      <c r="J112" s="202">
        <v>10417.189279999999</v>
      </c>
      <c r="K112" s="202"/>
    </row>
    <row r="113" spans="2:12" hidden="1" outlineLevel="3" x14ac:dyDescent="0.25">
      <c r="B113" s="197" t="s">
        <v>408</v>
      </c>
      <c r="C113" s="198" t="s">
        <v>409</v>
      </c>
      <c r="D113" s="199">
        <v>7651.38</v>
      </c>
      <c r="E113" s="199">
        <v>0</v>
      </c>
      <c r="F113" s="199">
        <v>0</v>
      </c>
      <c r="G113" s="199">
        <v>0</v>
      </c>
      <c r="H113" s="199">
        <v>7651.38</v>
      </c>
      <c r="I113" s="199">
        <v>0</v>
      </c>
      <c r="J113" s="199">
        <v>0</v>
      </c>
      <c r="K113" s="199">
        <v>0</v>
      </c>
      <c r="L113" s="148"/>
    </row>
    <row r="114" spans="2:12" hidden="1" outlineLevel="4" x14ac:dyDescent="0.25">
      <c r="B114" s="200" t="s">
        <v>428</v>
      </c>
      <c r="C114" s="201" t="s">
        <v>734</v>
      </c>
      <c r="D114" s="202">
        <v>7651.38</v>
      </c>
      <c r="E114" s="202"/>
      <c r="F114" s="202"/>
      <c r="G114" s="202"/>
      <c r="H114" s="202">
        <v>7651.38</v>
      </c>
      <c r="I114" s="202"/>
      <c r="J114" s="202"/>
      <c r="K114" s="202"/>
    </row>
    <row r="115" spans="2:12" hidden="1" outlineLevel="2" x14ac:dyDescent="0.25">
      <c r="B115" s="194" t="s">
        <v>249</v>
      </c>
      <c r="C115" s="195" t="s">
        <v>349</v>
      </c>
      <c r="D115" s="196">
        <v>6230797.3964110008</v>
      </c>
      <c r="E115" s="196">
        <v>0</v>
      </c>
      <c r="F115" s="196">
        <v>29851.909</v>
      </c>
      <c r="G115" s="196">
        <v>4837668.1627980005</v>
      </c>
      <c r="H115" s="196">
        <v>798295.31319500005</v>
      </c>
      <c r="I115" s="196">
        <v>0</v>
      </c>
      <c r="J115" s="196">
        <v>525663.24041800003</v>
      </c>
      <c r="K115" s="196">
        <v>69170.679999999993</v>
      </c>
      <c r="L115" s="148"/>
    </row>
    <row r="116" spans="2:12" hidden="1" outlineLevel="3" x14ac:dyDescent="0.25">
      <c r="B116" s="197" t="s">
        <v>250</v>
      </c>
      <c r="C116" s="198" t="s">
        <v>411</v>
      </c>
      <c r="D116" s="199">
        <v>2176483.2618900002</v>
      </c>
      <c r="E116" s="199">
        <v>0</v>
      </c>
      <c r="F116" s="199">
        <v>9127.6</v>
      </c>
      <c r="G116" s="199">
        <v>1259141.715447</v>
      </c>
      <c r="H116" s="199">
        <v>644099.83437499998</v>
      </c>
      <c r="I116" s="199">
        <v>0</v>
      </c>
      <c r="J116" s="199">
        <v>204071.03206799997</v>
      </c>
      <c r="K116" s="199">
        <v>69170.679999999993</v>
      </c>
      <c r="L116" s="148"/>
    </row>
    <row r="117" spans="2:12" hidden="1" outlineLevel="4" x14ac:dyDescent="0.25">
      <c r="B117" s="200" t="s">
        <v>251</v>
      </c>
      <c r="C117" s="201" t="s">
        <v>741</v>
      </c>
      <c r="D117" s="202">
        <v>1124113.39977</v>
      </c>
      <c r="E117" s="202"/>
      <c r="F117" s="202">
        <v>4210</v>
      </c>
      <c r="G117" s="202">
        <v>580764.56166999985</v>
      </c>
      <c r="H117" s="202">
        <v>368587.842</v>
      </c>
      <c r="I117" s="202"/>
      <c r="J117" s="202">
        <v>107389.60249999998</v>
      </c>
      <c r="K117" s="202">
        <v>67371.393599999996</v>
      </c>
    </row>
    <row r="118" spans="2:12" hidden="1" outlineLevel="4" x14ac:dyDescent="0.25">
      <c r="B118" s="200" t="s">
        <v>431</v>
      </c>
      <c r="C118" s="201" t="s">
        <v>747</v>
      </c>
      <c r="D118" s="202">
        <v>573001.65154800005</v>
      </c>
      <c r="E118" s="202"/>
      <c r="F118" s="202">
        <v>2764</v>
      </c>
      <c r="G118" s="202">
        <v>381290.55782800005</v>
      </c>
      <c r="H118" s="202">
        <v>129180.79900000001</v>
      </c>
      <c r="I118" s="202"/>
      <c r="J118" s="202">
        <v>60731.008319999986</v>
      </c>
      <c r="K118" s="202">
        <v>1799.2864</v>
      </c>
    </row>
    <row r="119" spans="2:12" hidden="1" outlineLevel="4" x14ac:dyDescent="0.25">
      <c r="B119" s="200" t="s">
        <v>252</v>
      </c>
      <c r="C119" s="201" t="s">
        <v>759</v>
      </c>
      <c r="D119" s="202">
        <v>464279.34814200003</v>
      </c>
      <c r="E119" s="202"/>
      <c r="F119" s="202">
        <v>2063.6</v>
      </c>
      <c r="G119" s="202">
        <v>284671.20151899999</v>
      </c>
      <c r="H119" s="202">
        <v>146331.193375</v>
      </c>
      <c r="I119" s="202"/>
      <c r="J119" s="202">
        <v>33276.953247999998</v>
      </c>
      <c r="K119" s="202"/>
    </row>
    <row r="120" spans="2:12" hidden="1" outlineLevel="4" x14ac:dyDescent="0.25">
      <c r="B120" s="200" t="s">
        <v>253</v>
      </c>
      <c r="C120" s="201" t="s">
        <v>760</v>
      </c>
      <c r="D120" s="202">
        <v>15088.862430000001</v>
      </c>
      <c r="E120" s="202"/>
      <c r="F120" s="202">
        <v>90</v>
      </c>
      <c r="G120" s="202">
        <v>12415.39443</v>
      </c>
      <c r="H120" s="202"/>
      <c r="I120" s="202"/>
      <c r="J120" s="202">
        <v>2673.4679999999998</v>
      </c>
      <c r="K120" s="202"/>
    </row>
    <row r="121" spans="2:12" hidden="1" outlineLevel="3" x14ac:dyDescent="0.25">
      <c r="B121" s="197" t="s">
        <v>254</v>
      </c>
      <c r="C121" s="198" t="s">
        <v>412</v>
      </c>
      <c r="D121" s="199">
        <v>3869676.7959609996</v>
      </c>
      <c r="E121" s="199">
        <v>0</v>
      </c>
      <c r="F121" s="199">
        <v>19764.309000000001</v>
      </c>
      <c r="G121" s="199">
        <v>3409369.7615909996</v>
      </c>
      <c r="H121" s="199">
        <v>154195.47882000002</v>
      </c>
      <c r="I121" s="199">
        <v>0</v>
      </c>
      <c r="J121" s="199">
        <v>306111.55554999999</v>
      </c>
      <c r="K121" s="199">
        <v>0</v>
      </c>
      <c r="L121" s="148"/>
    </row>
    <row r="122" spans="2:12" hidden="1" outlineLevel="4" x14ac:dyDescent="0.25">
      <c r="B122" s="200" t="s">
        <v>255</v>
      </c>
      <c r="C122" s="201" t="s">
        <v>761</v>
      </c>
      <c r="D122" s="202">
        <v>169250.89367999998</v>
      </c>
      <c r="E122" s="202"/>
      <c r="F122" s="202">
        <v>880</v>
      </c>
      <c r="G122" s="202">
        <v>155060.29527999999</v>
      </c>
      <c r="H122" s="202"/>
      <c r="I122" s="202"/>
      <c r="J122" s="202">
        <v>14190.598399999999</v>
      </c>
      <c r="K122" s="202"/>
    </row>
    <row r="123" spans="2:12" hidden="1" outlineLevel="4" x14ac:dyDescent="0.25">
      <c r="B123" s="200" t="s">
        <v>434</v>
      </c>
      <c r="C123" s="201" t="s">
        <v>763</v>
      </c>
      <c r="D123" s="202">
        <v>210603.757216</v>
      </c>
      <c r="E123" s="202"/>
      <c r="F123" s="202">
        <v>1056</v>
      </c>
      <c r="G123" s="202">
        <v>186072.35433599999</v>
      </c>
      <c r="H123" s="202"/>
      <c r="I123" s="202"/>
      <c r="J123" s="202">
        <v>24531.402880000001</v>
      </c>
      <c r="K123" s="202"/>
    </row>
    <row r="124" spans="2:12" hidden="1" outlineLevel="4" x14ac:dyDescent="0.25">
      <c r="B124" s="200" t="s">
        <v>435</v>
      </c>
      <c r="C124" s="201" t="s">
        <v>766</v>
      </c>
      <c r="D124" s="202">
        <v>334478.53629000002</v>
      </c>
      <c r="E124" s="202"/>
      <c r="F124" s="202">
        <v>1890</v>
      </c>
      <c r="G124" s="202">
        <v>333027.22509000002</v>
      </c>
      <c r="H124" s="202"/>
      <c r="I124" s="202"/>
      <c r="J124" s="202">
        <v>1451.3112000000001</v>
      </c>
      <c r="K124" s="202"/>
    </row>
    <row r="125" spans="2:12" hidden="1" outlineLevel="4" x14ac:dyDescent="0.25">
      <c r="B125" s="200" t="s">
        <v>436</v>
      </c>
      <c r="C125" s="201" t="s">
        <v>772</v>
      </c>
      <c r="D125" s="202">
        <v>362945.27138199995</v>
      </c>
      <c r="E125" s="202"/>
      <c r="F125" s="202">
        <v>1913.3689999999999</v>
      </c>
      <c r="G125" s="202">
        <v>263947.00803299999</v>
      </c>
      <c r="H125" s="202">
        <v>68143.885860000009</v>
      </c>
      <c r="I125" s="202"/>
      <c r="J125" s="202">
        <v>30854.377488999999</v>
      </c>
      <c r="K125" s="202"/>
    </row>
    <row r="126" spans="2:12" hidden="1" outlineLevel="4" x14ac:dyDescent="0.25">
      <c r="B126" s="200" t="s">
        <v>437</v>
      </c>
      <c r="C126" s="201" t="s">
        <v>774</v>
      </c>
      <c r="D126" s="202">
        <v>82318.494527999996</v>
      </c>
      <c r="E126" s="202"/>
      <c r="F126" s="202">
        <v>288</v>
      </c>
      <c r="G126" s="202">
        <v>50747.005727999996</v>
      </c>
      <c r="H126" s="202">
        <v>26927.292960000002</v>
      </c>
      <c r="I126" s="202"/>
      <c r="J126" s="202">
        <v>4644.1958400000003</v>
      </c>
      <c r="K126" s="202"/>
    </row>
    <row r="127" spans="2:12" hidden="1" outlineLevel="4" x14ac:dyDescent="0.25">
      <c r="B127" s="200" t="s">
        <v>438</v>
      </c>
      <c r="C127" s="201" t="s">
        <v>775</v>
      </c>
      <c r="D127" s="202">
        <v>1876557.7410850001</v>
      </c>
      <c r="E127" s="202"/>
      <c r="F127" s="202">
        <v>9756.94</v>
      </c>
      <c r="G127" s="202">
        <v>1719220.4467440001</v>
      </c>
      <c r="H127" s="202"/>
      <c r="I127" s="202"/>
      <c r="J127" s="202">
        <v>157337.294341</v>
      </c>
      <c r="K127" s="202"/>
    </row>
    <row r="128" spans="2:12" hidden="1" outlineLevel="4" x14ac:dyDescent="0.25">
      <c r="B128" s="200" t="s">
        <v>440</v>
      </c>
      <c r="C128" s="201" t="s">
        <v>787</v>
      </c>
      <c r="D128" s="202">
        <v>417872.44797400001</v>
      </c>
      <c r="E128" s="202"/>
      <c r="F128" s="202">
        <v>2174</v>
      </c>
      <c r="G128" s="202">
        <v>383069.41129399999</v>
      </c>
      <c r="H128" s="202"/>
      <c r="I128" s="202"/>
      <c r="J128" s="202">
        <v>34803.036679999997</v>
      </c>
      <c r="K128" s="202"/>
    </row>
    <row r="129" spans="2:12" hidden="1" outlineLevel="4" x14ac:dyDescent="0.25">
      <c r="B129" s="200" t="s">
        <v>441</v>
      </c>
      <c r="C129" s="201" t="s">
        <v>795</v>
      </c>
      <c r="D129" s="202">
        <v>415649.65380599996</v>
      </c>
      <c r="E129" s="202"/>
      <c r="F129" s="202">
        <v>1806</v>
      </c>
      <c r="G129" s="202">
        <v>318226.01508599997</v>
      </c>
      <c r="H129" s="202">
        <v>59124.3</v>
      </c>
      <c r="I129" s="202"/>
      <c r="J129" s="202">
        <v>38299.33872</v>
      </c>
      <c r="K129" s="202"/>
    </row>
    <row r="130" spans="2:12" hidden="1" outlineLevel="3" x14ac:dyDescent="0.25">
      <c r="B130" s="197" t="s">
        <v>414</v>
      </c>
      <c r="C130" s="198" t="s">
        <v>415</v>
      </c>
      <c r="D130" s="199">
        <v>184637.33856</v>
      </c>
      <c r="E130" s="199">
        <v>0</v>
      </c>
      <c r="F130" s="199">
        <v>960</v>
      </c>
      <c r="G130" s="199">
        <v>169156.68575999999</v>
      </c>
      <c r="H130" s="199">
        <v>0</v>
      </c>
      <c r="I130" s="199">
        <v>0</v>
      </c>
      <c r="J130" s="199">
        <v>15480.6528</v>
      </c>
      <c r="K130" s="199">
        <v>0</v>
      </c>
      <c r="L130" s="148"/>
    </row>
    <row r="131" spans="2:12" hidden="1" outlineLevel="4" x14ac:dyDescent="0.25">
      <c r="B131" s="200" t="s">
        <v>443</v>
      </c>
      <c r="C131" s="201" t="s">
        <v>796</v>
      </c>
      <c r="D131" s="202">
        <v>92318.669280000002</v>
      </c>
      <c r="E131" s="202"/>
      <c r="F131" s="202">
        <v>480</v>
      </c>
      <c r="G131" s="202">
        <v>84578.342879999997</v>
      </c>
      <c r="H131" s="202"/>
      <c r="I131" s="202"/>
      <c r="J131" s="202">
        <v>7740.3263999999999</v>
      </c>
      <c r="K131" s="202"/>
    </row>
    <row r="132" spans="2:12" hidden="1" outlineLevel="4" x14ac:dyDescent="0.25">
      <c r="B132" s="200" t="s">
        <v>445</v>
      </c>
      <c r="C132" s="201" t="s">
        <v>797</v>
      </c>
      <c r="D132" s="202">
        <v>92318.669280000002</v>
      </c>
      <c r="E132" s="202"/>
      <c r="F132" s="202">
        <v>480</v>
      </c>
      <c r="G132" s="202">
        <v>84578.342879999997</v>
      </c>
      <c r="H132" s="202"/>
      <c r="I132" s="202"/>
      <c r="J132" s="202">
        <v>7740.3263999999999</v>
      </c>
      <c r="K132" s="202"/>
    </row>
    <row r="133" spans="2:12" hidden="1" outlineLevel="2" x14ac:dyDescent="0.25">
      <c r="B133" s="194" t="s">
        <v>350</v>
      </c>
      <c r="C133" s="195" t="s">
        <v>351</v>
      </c>
      <c r="D133" s="196">
        <v>11593</v>
      </c>
      <c r="E133" s="196">
        <v>0</v>
      </c>
      <c r="F133" s="196">
        <v>0</v>
      </c>
      <c r="G133" s="196">
        <v>0</v>
      </c>
      <c r="H133" s="196">
        <v>11593</v>
      </c>
      <c r="I133" s="196">
        <v>0</v>
      </c>
      <c r="J133" s="196">
        <v>0</v>
      </c>
      <c r="K133" s="196">
        <v>0</v>
      </c>
      <c r="L133" s="148"/>
    </row>
    <row r="134" spans="2:12" hidden="1" outlineLevel="3" x14ac:dyDescent="0.25">
      <c r="B134" s="197" t="s">
        <v>417</v>
      </c>
      <c r="C134" s="198" t="s">
        <v>351</v>
      </c>
      <c r="D134" s="199">
        <v>11593</v>
      </c>
      <c r="E134" s="199">
        <v>0</v>
      </c>
      <c r="F134" s="199">
        <v>0</v>
      </c>
      <c r="G134" s="199">
        <v>0</v>
      </c>
      <c r="H134" s="199">
        <v>11593</v>
      </c>
      <c r="I134" s="199">
        <v>0</v>
      </c>
      <c r="J134" s="199">
        <v>0</v>
      </c>
      <c r="K134" s="199">
        <v>0</v>
      </c>
      <c r="L134" s="148"/>
    </row>
    <row r="135" spans="2:12" hidden="1" outlineLevel="4" x14ac:dyDescent="0.25">
      <c r="B135" s="200" t="s">
        <v>446</v>
      </c>
      <c r="C135" s="201" t="s">
        <v>798</v>
      </c>
      <c r="D135" s="202">
        <v>11593</v>
      </c>
      <c r="E135" s="202"/>
      <c r="F135" s="202"/>
      <c r="G135" s="202"/>
      <c r="H135" s="202">
        <v>11593</v>
      </c>
      <c r="I135" s="202"/>
      <c r="J135" s="202"/>
      <c r="K135" s="202"/>
    </row>
    <row r="136" spans="2:12" outlineLevel="1" collapsed="1" x14ac:dyDescent="0.25">
      <c r="B136" s="180" t="s">
        <v>48</v>
      </c>
      <c r="C136" s="192" t="s">
        <v>16</v>
      </c>
      <c r="D136" s="193">
        <v>1262913.6074800002</v>
      </c>
      <c r="E136" s="193">
        <v>0</v>
      </c>
      <c r="F136" s="193">
        <v>6570</v>
      </c>
      <c r="G136" s="193">
        <v>1262913.6074800002</v>
      </c>
      <c r="H136" s="193">
        <v>0</v>
      </c>
      <c r="I136" s="193">
        <v>0</v>
      </c>
      <c r="J136" s="193">
        <v>0</v>
      </c>
      <c r="K136" s="193">
        <v>0</v>
      </c>
      <c r="L136" s="148"/>
    </row>
    <row r="137" spans="2:12" hidden="1" outlineLevel="2" x14ac:dyDescent="0.25">
      <c r="B137" s="194" t="s">
        <v>256</v>
      </c>
      <c r="C137" s="195" t="s">
        <v>352</v>
      </c>
      <c r="D137" s="196">
        <v>408064.576</v>
      </c>
      <c r="E137" s="196">
        <v>0</v>
      </c>
      <c r="F137" s="196">
        <v>1600</v>
      </c>
      <c r="G137" s="196">
        <v>408064.576</v>
      </c>
      <c r="H137" s="196">
        <v>0</v>
      </c>
      <c r="I137" s="196">
        <v>0</v>
      </c>
      <c r="J137" s="196">
        <v>0</v>
      </c>
      <c r="K137" s="196">
        <v>0</v>
      </c>
      <c r="L137" s="148"/>
    </row>
    <row r="138" spans="2:12" hidden="1" outlineLevel="3" x14ac:dyDescent="0.25">
      <c r="B138" s="197" t="s">
        <v>420</v>
      </c>
      <c r="C138" s="198" t="s">
        <v>421</v>
      </c>
      <c r="D138" s="199">
        <v>408064.576</v>
      </c>
      <c r="E138" s="199">
        <v>0</v>
      </c>
      <c r="F138" s="199">
        <v>1600</v>
      </c>
      <c r="G138" s="199">
        <v>408064.576</v>
      </c>
      <c r="H138" s="199">
        <v>0</v>
      </c>
      <c r="I138" s="199">
        <v>0</v>
      </c>
      <c r="J138" s="199">
        <v>0</v>
      </c>
      <c r="K138" s="199">
        <v>0</v>
      </c>
      <c r="L138" s="148"/>
    </row>
    <row r="139" spans="2:12" hidden="1" outlineLevel="4" x14ac:dyDescent="0.25">
      <c r="B139" s="200" t="s">
        <v>449</v>
      </c>
      <c r="C139" s="201" t="s">
        <v>799</v>
      </c>
      <c r="D139" s="202">
        <v>408064.576</v>
      </c>
      <c r="E139" s="202"/>
      <c r="F139" s="202">
        <v>1600</v>
      </c>
      <c r="G139" s="202">
        <v>408064.576</v>
      </c>
      <c r="H139" s="202"/>
      <c r="I139" s="202"/>
      <c r="J139" s="202"/>
      <c r="K139" s="202"/>
    </row>
    <row r="140" spans="2:12" hidden="1" outlineLevel="2" x14ac:dyDescent="0.25">
      <c r="B140" s="194" t="s">
        <v>257</v>
      </c>
      <c r="C140" s="195" t="s">
        <v>353</v>
      </c>
      <c r="D140" s="196">
        <v>708545.40480000002</v>
      </c>
      <c r="E140" s="196">
        <v>0</v>
      </c>
      <c r="F140" s="196">
        <v>3200</v>
      </c>
      <c r="G140" s="196">
        <v>708545.40480000002</v>
      </c>
      <c r="H140" s="196">
        <v>0</v>
      </c>
      <c r="I140" s="196">
        <v>0</v>
      </c>
      <c r="J140" s="196">
        <v>0</v>
      </c>
      <c r="K140" s="196">
        <v>0</v>
      </c>
      <c r="L140" s="148"/>
    </row>
    <row r="141" spans="2:12" hidden="1" outlineLevel="3" x14ac:dyDescent="0.25">
      <c r="B141" s="197" t="s">
        <v>423</v>
      </c>
      <c r="C141" s="198" t="s">
        <v>424</v>
      </c>
      <c r="D141" s="199">
        <v>708545.40480000002</v>
      </c>
      <c r="E141" s="199">
        <v>0</v>
      </c>
      <c r="F141" s="199">
        <v>3200</v>
      </c>
      <c r="G141" s="199">
        <v>708545.40480000002</v>
      </c>
      <c r="H141" s="199">
        <v>0</v>
      </c>
      <c r="I141" s="199">
        <v>0</v>
      </c>
      <c r="J141" s="199">
        <v>0</v>
      </c>
      <c r="K141" s="199">
        <v>0</v>
      </c>
      <c r="L141" s="148"/>
    </row>
    <row r="142" spans="2:12" hidden="1" outlineLevel="4" x14ac:dyDescent="0.25">
      <c r="B142" s="200" t="s">
        <v>450</v>
      </c>
      <c r="C142" s="201" t="s">
        <v>800</v>
      </c>
      <c r="D142" s="202">
        <v>708545.40480000002</v>
      </c>
      <c r="E142" s="202"/>
      <c r="F142" s="202">
        <v>3200</v>
      </c>
      <c r="G142" s="202">
        <v>708545.40480000002</v>
      </c>
      <c r="H142" s="202"/>
      <c r="I142" s="202"/>
      <c r="J142" s="202"/>
      <c r="K142" s="202"/>
    </row>
    <row r="143" spans="2:12" hidden="1" outlineLevel="2" x14ac:dyDescent="0.25">
      <c r="B143" s="194" t="s">
        <v>258</v>
      </c>
      <c r="C143" s="195" t="s">
        <v>354</v>
      </c>
      <c r="D143" s="196">
        <v>119733.174</v>
      </c>
      <c r="E143" s="196">
        <v>0</v>
      </c>
      <c r="F143" s="196">
        <v>1650</v>
      </c>
      <c r="G143" s="196">
        <v>119733.174</v>
      </c>
      <c r="H143" s="196">
        <v>0</v>
      </c>
      <c r="I143" s="196">
        <v>0</v>
      </c>
      <c r="J143" s="196">
        <v>0</v>
      </c>
      <c r="K143" s="196">
        <v>0</v>
      </c>
      <c r="L143" s="148"/>
    </row>
    <row r="144" spans="2:12" hidden="1" outlineLevel="3" x14ac:dyDescent="0.25">
      <c r="B144" s="197" t="s">
        <v>259</v>
      </c>
      <c r="C144" s="198" t="s">
        <v>261</v>
      </c>
      <c r="D144" s="199">
        <v>119733.174</v>
      </c>
      <c r="E144" s="199">
        <v>0</v>
      </c>
      <c r="F144" s="199">
        <v>1650</v>
      </c>
      <c r="G144" s="199">
        <v>119733.174</v>
      </c>
      <c r="H144" s="199">
        <v>0</v>
      </c>
      <c r="I144" s="199">
        <v>0</v>
      </c>
      <c r="J144" s="199">
        <v>0</v>
      </c>
      <c r="K144" s="199">
        <v>0</v>
      </c>
      <c r="L144" s="148"/>
    </row>
    <row r="145" spans="2:12" hidden="1" outlineLevel="4" x14ac:dyDescent="0.25">
      <c r="B145" s="200" t="s">
        <v>260</v>
      </c>
      <c r="C145" s="201" t="s">
        <v>801</v>
      </c>
      <c r="D145" s="202">
        <v>119733.174</v>
      </c>
      <c r="E145" s="202"/>
      <c r="F145" s="202">
        <v>1650</v>
      </c>
      <c r="G145" s="202">
        <v>119733.174</v>
      </c>
      <c r="H145" s="202"/>
      <c r="I145" s="202"/>
      <c r="J145" s="202"/>
      <c r="K145" s="202"/>
    </row>
    <row r="146" spans="2:12" hidden="1" outlineLevel="2" x14ac:dyDescent="0.25">
      <c r="B146" s="194" t="s">
        <v>262</v>
      </c>
      <c r="C146" s="195" t="s">
        <v>355</v>
      </c>
      <c r="D146" s="196">
        <v>26570.452679999999</v>
      </c>
      <c r="E146" s="196">
        <v>0</v>
      </c>
      <c r="F146" s="196">
        <v>120</v>
      </c>
      <c r="G146" s="196">
        <v>26570.452679999999</v>
      </c>
      <c r="H146" s="196">
        <v>0</v>
      </c>
      <c r="I146" s="196">
        <v>0</v>
      </c>
      <c r="J146" s="196">
        <v>0</v>
      </c>
      <c r="K146" s="196">
        <v>0</v>
      </c>
      <c r="L146" s="148"/>
    </row>
    <row r="147" spans="2:12" hidden="1" outlineLevel="3" x14ac:dyDescent="0.25">
      <c r="B147" s="197" t="s">
        <v>263</v>
      </c>
      <c r="C147" s="198" t="s">
        <v>265</v>
      </c>
      <c r="D147" s="199">
        <v>26570.452679999999</v>
      </c>
      <c r="E147" s="199">
        <v>0</v>
      </c>
      <c r="F147" s="199">
        <v>120</v>
      </c>
      <c r="G147" s="199">
        <v>26570.452679999999</v>
      </c>
      <c r="H147" s="199">
        <v>0</v>
      </c>
      <c r="I147" s="199">
        <v>0</v>
      </c>
      <c r="J147" s="199">
        <v>0</v>
      </c>
      <c r="K147" s="199">
        <v>0</v>
      </c>
      <c r="L147" s="148"/>
    </row>
    <row r="148" spans="2:12" hidden="1" outlineLevel="4" x14ac:dyDescent="0.25">
      <c r="B148" s="200" t="s">
        <v>264</v>
      </c>
      <c r="C148" s="201" t="s">
        <v>802</v>
      </c>
      <c r="D148" s="202">
        <v>26570.452679999999</v>
      </c>
      <c r="E148" s="202"/>
      <c r="F148" s="202">
        <v>120</v>
      </c>
      <c r="G148" s="202">
        <v>26570.452679999999</v>
      </c>
      <c r="H148" s="202"/>
      <c r="I148" s="202"/>
      <c r="J148" s="202"/>
      <c r="K148" s="202"/>
    </row>
    <row r="149" spans="2:12" outlineLevel="1" collapsed="1" x14ac:dyDescent="0.25">
      <c r="B149" s="180" t="s">
        <v>49</v>
      </c>
      <c r="C149" s="192" t="s">
        <v>17</v>
      </c>
      <c r="D149" s="193">
        <v>1631898.3678082218</v>
      </c>
      <c r="E149" s="193">
        <v>778257.04</v>
      </c>
      <c r="F149" s="193">
        <v>6290</v>
      </c>
      <c r="G149" s="193">
        <v>853641.3278082218</v>
      </c>
      <c r="H149" s="193">
        <v>0</v>
      </c>
      <c r="I149" s="193">
        <v>0</v>
      </c>
      <c r="J149" s="193">
        <v>0</v>
      </c>
      <c r="K149" s="193">
        <v>0</v>
      </c>
      <c r="L149" s="148"/>
    </row>
    <row r="150" spans="2:12" hidden="1" outlineLevel="2" x14ac:dyDescent="0.25">
      <c r="B150" s="194" t="s">
        <v>266</v>
      </c>
      <c r="C150" s="195" t="s">
        <v>356</v>
      </c>
      <c r="D150" s="196">
        <v>1112627.8202183475</v>
      </c>
      <c r="E150" s="196">
        <v>626393.80000000005</v>
      </c>
      <c r="F150" s="196">
        <v>3450</v>
      </c>
      <c r="G150" s="196">
        <v>486234.02021834755</v>
      </c>
      <c r="H150" s="196">
        <v>0</v>
      </c>
      <c r="I150" s="196">
        <v>0</v>
      </c>
      <c r="J150" s="196">
        <v>0</v>
      </c>
      <c r="K150" s="196">
        <v>0</v>
      </c>
      <c r="L150" s="148"/>
    </row>
    <row r="151" spans="2:12" hidden="1" outlineLevel="3" x14ac:dyDescent="0.25">
      <c r="B151" s="197" t="s">
        <v>267</v>
      </c>
      <c r="C151" s="198" t="s">
        <v>269</v>
      </c>
      <c r="D151" s="199">
        <v>491931.86541964789</v>
      </c>
      <c r="E151" s="199">
        <v>399645.01</v>
      </c>
      <c r="F151" s="199">
        <v>1278</v>
      </c>
      <c r="G151" s="199">
        <v>92286.855419647851</v>
      </c>
      <c r="H151" s="199">
        <v>0</v>
      </c>
      <c r="I151" s="199">
        <v>0</v>
      </c>
      <c r="J151" s="199">
        <v>0</v>
      </c>
      <c r="K151" s="199">
        <v>0</v>
      </c>
      <c r="L151" s="148"/>
    </row>
    <row r="152" spans="2:12" hidden="1" outlineLevel="4" x14ac:dyDescent="0.25">
      <c r="B152" s="200" t="s">
        <v>268</v>
      </c>
      <c r="C152" s="201" t="s">
        <v>803</v>
      </c>
      <c r="D152" s="202">
        <v>491931.86541964789</v>
      </c>
      <c r="E152" s="202">
        <v>399645.01</v>
      </c>
      <c r="F152" s="202">
        <v>1278</v>
      </c>
      <c r="G152" s="202">
        <v>92286.855419647851</v>
      </c>
      <c r="H152" s="202"/>
      <c r="I152" s="202"/>
      <c r="J152" s="202"/>
      <c r="K152" s="202"/>
    </row>
    <row r="153" spans="2:12" hidden="1" outlineLevel="3" x14ac:dyDescent="0.25">
      <c r="B153" s="197" t="s">
        <v>270</v>
      </c>
      <c r="C153" s="198" t="s">
        <v>272</v>
      </c>
      <c r="D153" s="199">
        <v>620695.95479869971</v>
      </c>
      <c r="E153" s="199">
        <v>226748.79</v>
      </c>
      <c r="F153" s="199">
        <v>2172</v>
      </c>
      <c r="G153" s="199">
        <v>393947.16479869973</v>
      </c>
      <c r="H153" s="199">
        <v>0</v>
      </c>
      <c r="I153" s="199">
        <v>0</v>
      </c>
      <c r="J153" s="199">
        <v>0</v>
      </c>
      <c r="K153" s="199">
        <v>0</v>
      </c>
      <c r="L153" s="148"/>
    </row>
    <row r="154" spans="2:12" hidden="1" outlineLevel="4" x14ac:dyDescent="0.25">
      <c r="B154" s="200" t="s">
        <v>271</v>
      </c>
      <c r="C154" s="201" t="s">
        <v>804</v>
      </c>
      <c r="D154" s="202">
        <v>620695.95479869971</v>
      </c>
      <c r="E154" s="202">
        <v>226748.79</v>
      </c>
      <c r="F154" s="202">
        <v>2172</v>
      </c>
      <c r="G154" s="202">
        <v>393947.16479869973</v>
      </c>
      <c r="H154" s="202"/>
      <c r="I154" s="202"/>
      <c r="J154" s="202"/>
      <c r="K154" s="202"/>
    </row>
    <row r="155" spans="2:12" hidden="1" outlineLevel="2" x14ac:dyDescent="0.25">
      <c r="B155" s="194" t="s">
        <v>357</v>
      </c>
      <c r="C155" s="195" t="s">
        <v>358</v>
      </c>
      <c r="D155" s="196">
        <v>6352.4927035665914</v>
      </c>
      <c r="E155" s="196">
        <v>0</v>
      </c>
      <c r="F155" s="196">
        <v>120</v>
      </c>
      <c r="G155" s="196">
        <v>6352.4927035665914</v>
      </c>
      <c r="H155" s="196">
        <v>0</v>
      </c>
      <c r="I155" s="196">
        <v>0</v>
      </c>
      <c r="J155" s="196">
        <v>0</v>
      </c>
      <c r="K155" s="196">
        <v>0</v>
      </c>
      <c r="L155" s="148"/>
    </row>
    <row r="156" spans="2:12" hidden="1" outlineLevel="3" x14ac:dyDescent="0.25">
      <c r="B156" s="197" t="s">
        <v>426</v>
      </c>
      <c r="C156" s="198" t="s">
        <v>427</v>
      </c>
      <c r="D156" s="199">
        <v>6352.4927035665914</v>
      </c>
      <c r="E156" s="199">
        <v>0</v>
      </c>
      <c r="F156" s="199">
        <v>120</v>
      </c>
      <c r="G156" s="199">
        <v>6352.4927035665914</v>
      </c>
      <c r="H156" s="199">
        <v>0</v>
      </c>
      <c r="I156" s="199">
        <v>0</v>
      </c>
      <c r="J156" s="199">
        <v>0</v>
      </c>
      <c r="K156" s="199">
        <v>0</v>
      </c>
      <c r="L156" s="148"/>
    </row>
    <row r="157" spans="2:12" hidden="1" outlineLevel="4" x14ac:dyDescent="0.25">
      <c r="B157" s="200" t="s">
        <v>458</v>
      </c>
      <c r="C157" s="201" t="s">
        <v>805</v>
      </c>
      <c r="D157" s="202">
        <v>6352.4927035665914</v>
      </c>
      <c r="E157" s="202"/>
      <c r="F157" s="202">
        <v>120</v>
      </c>
      <c r="G157" s="202">
        <v>6352.4927035665914</v>
      </c>
      <c r="H157" s="202"/>
      <c r="I157" s="202"/>
      <c r="J157" s="202"/>
      <c r="K157" s="202"/>
    </row>
    <row r="158" spans="2:12" hidden="1" outlineLevel="2" x14ac:dyDescent="0.25">
      <c r="B158" s="194" t="s">
        <v>359</v>
      </c>
      <c r="C158" s="195" t="s">
        <v>360</v>
      </c>
      <c r="D158" s="196">
        <v>11934.005497065462</v>
      </c>
      <c r="E158" s="196">
        <v>0</v>
      </c>
      <c r="F158" s="196">
        <v>159.99999999999997</v>
      </c>
      <c r="G158" s="196">
        <v>11934.005497065462</v>
      </c>
      <c r="H158" s="196">
        <v>0</v>
      </c>
      <c r="I158" s="196">
        <v>0</v>
      </c>
      <c r="J158" s="196">
        <v>0</v>
      </c>
      <c r="K158" s="196">
        <v>0</v>
      </c>
      <c r="L158" s="148"/>
    </row>
    <row r="159" spans="2:12" hidden="1" outlineLevel="3" x14ac:dyDescent="0.25">
      <c r="B159" s="197" t="s">
        <v>429</v>
      </c>
      <c r="C159" s="198" t="s">
        <v>430</v>
      </c>
      <c r="D159" s="199">
        <v>11934.005497065462</v>
      </c>
      <c r="E159" s="199">
        <v>0</v>
      </c>
      <c r="F159" s="199">
        <v>159.99999999999997</v>
      </c>
      <c r="G159" s="199">
        <v>11934.005497065462</v>
      </c>
      <c r="H159" s="199">
        <v>0</v>
      </c>
      <c r="I159" s="199">
        <v>0</v>
      </c>
      <c r="J159" s="199">
        <v>0</v>
      </c>
      <c r="K159" s="199">
        <v>0</v>
      </c>
      <c r="L159" s="148"/>
    </row>
    <row r="160" spans="2:12" hidden="1" outlineLevel="4" x14ac:dyDescent="0.25">
      <c r="B160" s="200" t="s">
        <v>461</v>
      </c>
      <c r="C160" s="201" t="s">
        <v>807</v>
      </c>
      <c r="D160" s="202">
        <v>11934.005497065462</v>
      </c>
      <c r="E160" s="202"/>
      <c r="F160" s="202">
        <v>159.99999999999997</v>
      </c>
      <c r="G160" s="202">
        <v>11934.005497065462</v>
      </c>
      <c r="H160" s="202"/>
      <c r="I160" s="202"/>
      <c r="J160" s="202"/>
      <c r="K160" s="202"/>
    </row>
    <row r="161" spans="2:12" hidden="1" outlineLevel="2" x14ac:dyDescent="0.25">
      <c r="B161" s="194" t="s">
        <v>273</v>
      </c>
      <c r="C161" s="195" t="s">
        <v>361</v>
      </c>
      <c r="D161" s="196">
        <v>56633.376135593222</v>
      </c>
      <c r="E161" s="196">
        <v>53528.66</v>
      </c>
      <c r="F161" s="196">
        <v>40</v>
      </c>
      <c r="G161" s="196">
        <v>3104.7161355932203</v>
      </c>
      <c r="H161" s="196">
        <v>0</v>
      </c>
      <c r="I161" s="196">
        <v>0</v>
      </c>
      <c r="J161" s="196">
        <v>0</v>
      </c>
      <c r="K161" s="196">
        <v>0</v>
      </c>
      <c r="L161" s="148"/>
    </row>
    <row r="162" spans="2:12" hidden="1" outlineLevel="3" x14ac:dyDescent="0.25">
      <c r="B162" s="197" t="s">
        <v>274</v>
      </c>
      <c r="C162" s="198" t="s">
        <v>276</v>
      </c>
      <c r="D162" s="199">
        <v>56633.376135593222</v>
      </c>
      <c r="E162" s="199">
        <v>53528.66</v>
      </c>
      <c r="F162" s="199">
        <v>40</v>
      </c>
      <c r="G162" s="199">
        <v>3104.7161355932203</v>
      </c>
      <c r="H162" s="199">
        <v>0</v>
      </c>
      <c r="I162" s="199">
        <v>0</v>
      </c>
      <c r="J162" s="199">
        <v>0</v>
      </c>
      <c r="K162" s="199">
        <v>0</v>
      </c>
      <c r="L162" s="148"/>
    </row>
    <row r="163" spans="2:12" hidden="1" outlineLevel="4" x14ac:dyDescent="0.25">
      <c r="B163" s="200" t="s">
        <v>275</v>
      </c>
      <c r="C163" s="201" t="s">
        <v>808</v>
      </c>
      <c r="D163" s="202">
        <v>56633.376135593222</v>
      </c>
      <c r="E163" s="202">
        <v>53528.66</v>
      </c>
      <c r="F163" s="202">
        <v>40</v>
      </c>
      <c r="G163" s="202">
        <v>3104.7161355932203</v>
      </c>
      <c r="H163" s="202"/>
      <c r="I163" s="202"/>
      <c r="J163" s="202"/>
      <c r="K163" s="202"/>
    </row>
    <row r="164" spans="2:12" hidden="1" outlineLevel="2" x14ac:dyDescent="0.25">
      <c r="B164" s="194" t="s">
        <v>277</v>
      </c>
      <c r="C164" s="195" t="s">
        <v>365</v>
      </c>
      <c r="D164" s="196">
        <v>26046.754067796614</v>
      </c>
      <c r="E164" s="196">
        <v>16244.310000000001</v>
      </c>
      <c r="F164" s="196">
        <v>80</v>
      </c>
      <c r="G164" s="196">
        <v>9802.4440677966122</v>
      </c>
      <c r="H164" s="196">
        <v>0</v>
      </c>
      <c r="I164" s="196">
        <v>0</v>
      </c>
      <c r="J164" s="196">
        <v>0</v>
      </c>
      <c r="K164" s="196">
        <v>0</v>
      </c>
      <c r="L164" s="148"/>
    </row>
    <row r="165" spans="2:12" hidden="1" outlineLevel="3" x14ac:dyDescent="0.25">
      <c r="B165" s="197" t="s">
        <v>278</v>
      </c>
      <c r="C165" s="198" t="s">
        <v>280</v>
      </c>
      <c r="D165" s="199">
        <v>6294.4181016949151</v>
      </c>
      <c r="E165" s="199">
        <v>3588.7</v>
      </c>
      <c r="F165" s="199">
        <v>40</v>
      </c>
      <c r="G165" s="199">
        <v>2705.7181016949153</v>
      </c>
      <c r="H165" s="199">
        <v>0</v>
      </c>
      <c r="I165" s="199">
        <v>0</v>
      </c>
      <c r="J165" s="199">
        <v>0</v>
      </c>
      <c r="K165" s="199">
        <v>0</v>
      </c>
      <c r="L165" s="148"/>
    </row>
    <row r="166" spans="2:12" hidden="1" outlineLevel="4" x14ac:dyDescent="0.25">
      <c r="B166" s="200" t="s">
        <v>279</v>
      </c>
      <c r="C166" s="201" t="s">
        <v>809</v>
      </c>
      <c r="D166" s="202">
        <v>6294.4181016949151</v>
      </c>
      <c r="E166" s="202">
        <v>3588.7</v>
      </c>
      <c r="F166" s="202">
        <v>40</v>
      </c>
      <c r="G166" s="202">
        <v>2705.7181016949153</v>
      </c>
      <c r="H166" s="202"/>
      <c r="I166" s="202"/>
      <c r="J166" s="202"/>
      <c r="K166" s="202"/>
    </row>
    <row r="167" spans="2:12" hidden="1" outlineLevel="3" x14ac:dyDescent="0.25">
      <c r="B167" s="197" t="s">
        <v>281</v>
      </c>
      <c r="C167" s="198" t="s">
        <v>283</v>
      </c>
      <c r="D167" s="199">
        <v>19752.335966101695</v>
      </c>
      <c r="E167" s="199">
        <v>12655.61</v>
      </c>
      <c r="F167" s="199">
        <v>40</v>
      </c>
      <c r="G167" s="199">
        <v>7096.725966101696</v>
      </c>
      <c r="H167" s="199">
        <v>0</v>
      </c>
      <c r="I167" s="199">
        <v>0</v>
      </c>
      <c r="J167" s="199">
        <v>0</v>
      </c>
      <c r="K167" s="199">
        <v>0</v>
      </c>
      <c r="L167" s="148"/>
    </row>
    <row r="168" spans="2:12" hidden="1" outlineLevel="4" x14ac:dyDescent="0.25">
      <c r="B168" s="200" t="s">
        <v>282</v>
      </c>
      <c r="C168" s="201" t="s">
        <v>810</v>
      </c>
      <c r="D168" s="202">
        <v>19752.335966101695</v>
      </c>
      <c r="E168" s="202">
        <v>12655.61</v>
      </c>
      <c r="F168" s="202">
        <v>40</v>
      </c>
      <c r="G168" s="202">
        <v>7096.725966101696</v>
      </c>
      <c r="H168" s="202"/>
      <c r="I168" s="202"/>
      <c r="J168" s="202"/>
      <c r="K168" s="202"/>
    </row>
    <row r="169" spans="2:12" hidden="1" outlineLevel="2" x14ac:dyDescent="0.25">
      <c r="B169" s="194" t="s">
        <v>369</v>
      </c>
      <c r="C169" s="195" t="s">
        <v>370</v>
      </c>
      <c r="D169" s="196">
        <v>29823.046312084432</v>
      </c>
      <c r="E169" s="196">
        <v>0</v>
      </c>
      <c r="F169" s="196">
        <v>560</v>
      </c>
      <c r="G169" s="196">
        <v>29823.046312084432</v>
      </c>
      <c r="H169" s="196">
        <v>0</v>
      </c>
      <c r="I169" s="196">
        <v>0</v>
      </c>
      <c r="J169" s="196">
        <v>0</v>
      </c>
      <c r="K169" s="196">
        <v>0</v>
      </c>
      <c r="L169" s="148"/>
    </row>
    <row r="170" spans="2:12" hidden="1" outlineLevel="3" x14ac:dyDescent="0.25">
      <c r="B170" s="197" t="s">
        <v>432</v>
      </c>
      <c r="C170" s="198" t="s">
        <v>433</v>
      </c>
      <c r="D170" s="199">
        <v>29823.046312084432</v>
      </c>
      <c r="E170" s="199">
        <v>0</v>
      </c>
      <c r="F170" s="199">
        <v>560</v>
      </c>
      <c r="G170" s="199">
        <v>29823.046312084432</v>
      </c>
      <c r="H170" s="199">
        <v>0</v>
      </c>
      <c r="I170" s="199">
        <v>0</v>
      </c>
      <c r="J170" s="199">
        <v>0</v>
      </c>
      <c r="K170" s="199">
        <v>0</v>
      </c>
      <c r="L170" s="148"/>
    </row>
    <row r="171" spans="2:12" hidden="1" outlineLevel="4" x14ac:dyDescent="0.25">
      <c r="B171" s="200" t="s">
        <v>462</v>
      </c>
      <c r="C171" s="201" t="s">
        <v>812</v>
      </c>
      <c r="D171" s="202">
        <v>29823.046312084432</v>
      </c>
      <c r="E171" s="202"/>
      <c r="F171" s="202">
        <v>560</v>
      </c>
      <c r="G171" s="202">
        <v>29823.046312084432</v>
      </c>
      <c r="H171" s="202"/>
      <c r="I171" s="202"/>
      <c r="J171" s="202"/>
      <c r="K171" s="202"/>
    </row>
    <row r="172" spans="2:12" hidden="1" outlineLevel="2" x14ac:dyDescent="0.25">
      <c r="B172" s="194" t="s">
        <v>284</v>
      </c>
      <c r="C172" s="195" t="s">
        <v>374</v>
      </c>
      <c r="D172" s="196">
        <v>2568.9001132075473</v>
      </c>
      <c r="E172" s="196">
        <v>0</v>
      </c>
      <c r="F172" s="196">
        <v>40</v>
      </c>
      <c r="G172" s="196">
        <v>2568.9001132075473</v>
      </c>
      <c r="H172" s="196">
        <v>0</v>
      </c>
      <c r="I172" s="196">
        <v>0</v>
      </c>
      <c r="J172" s="196">
        <v>0</v>
      </c>
      <c r="K172" s="196">
        <v>0</v>
      </c>
      <c r="L172" s="148"/>
    </row>
    <row r="173" spans="2:12" hidden="1" outlineLevel="3" x14ac:dyDescent="0.25">
      <c r="B173" s="197" t="s">
        <v>285</v>
      </c>
      <c r="C173" s="198" t="s">
        <v>287</v>
      </c>
      <c r="D173" s="199">
        <v>2568.9001132075473</v>
      </c>
      <c r="E173" s="199">
        <v>0</v>
      </c>
      <c r="F173" s="199">
        <v>40</v>
      </c>
      <c r="G173" s="199">
        <v>2568.9001132075473</v>
      </c>
      <c r="H173" s="199">
        <v>0</v>
      </c>
      <c r="I173" s="199">
        <v>0</v>
      </c>
      <c r="J173" s="199">
        <v>0</v>
      </c>
      <c r="K173" s="199">
        <v>0</v>
      </c>
      <c r="L173" s="148"/>
    </row>
    <row r="174" spans="2:12" hidden="1" outlineLevel="4" x14ac:dyDescent="0.25">
      <c r="B174" s="200" t="s">
        <v>286</v>
      </c>
      <c r="C174" s="201" t="s">
        <v>813</v>
      </c>
      <c r="D174" s="202">
        <v>2568.9001132075473</v>
      </c>
      <c r="E174" s="202"/>
      <c r="F174" s="202">
        <v>40</v>
      </c>
      <c r="G174" s="202">
        <v>2568.9001132075473</v>
      </c>
      <c r="H174" s="202"/>
      <c r="I174" s="202"/>
      <c r="J174" s="202"/>
      <c r="K174" s="202"/>
    </row>
    <row r="175" spans="2:12" hidden="1" outlineLevel="2" x14ac:dyDescent="0.25">
      <c r="B175" s="194" t="s">
        <v>288</v>
      </c>
      <c r="C175" s="195" t="s">
        <v>375</v>
      </c>
      <c r="D175" s="196">
        <v>377941.21888056037</v>
      </c>
      <c r="E175" s="196">
        <v>82090.27</v>
      </c>
      <c r="F175" s="196">
        <v>1720</v>
      </c>
      <c r="G175" s="196">
        <v>295850.94888056035</v>
      </c>
      <c r="H175" s="196">
        <v>0</v>
      </c>
      <c r="I175" s="196">
        <v>0</v>
      </c>
      <c r="J175" s="196">
        <v>0</v>
      </c>
      <c r="K175" s="196">
        <v>0</v>
      </c>
      <c r="L175" s="148"/>
    </row>
    <row r="176" spans="2:12" hidden="1" outlineLevel="3" x14ac:dyDescent="0.25">
      <c r="B176" s="197" t="s">
        <v>289</v>
      </c>
      <c r="C176" s="198" t="s">
        <v>291</v>
      </c>
      <c r="D176" s="199">
        <v>377941.21888056037</v>
      </c>
      <c r="E176" s="199">
        <v>82090.27</v>
      </c>
      <c r="F176" s="199">
        <v>1720</v>
      </c>
      <c r="G176" s="199">
        <v>295850.94888056035</v>
      </c>
      <c r="H176" s="199">
        <v>0</v>
      </c>
      <c r="I176" s="199">
        <v>0</v>
      </c>
      <c r="J176" s="199">
        <v>0</v>
      </c>
      <c r="K176" s="199">
        <v>0</v>
      </c>
      <c r="L176" s="148"/>
    </row>
    <row r="177" spans="2:12" hidden="1" outlineLevel="4" x14ac:dyDescent="0.25">
      <c r="B177" s="200" t="s">
        <v>290</v>
      </c>
      <c r="C177" s="201" t="s">
        <v>814</v>
      </c>
      <c r="D177" s="202">
        <v>377941.21888056037</v>
      </c>
      <c r="E177" s="202">
        <v>82090.27</v>
      </c>
      <c r="F177" s="202">
        <v>1720</v>
      </c>
      <c r="G177" s="202">
        <v>295850.94888056035</v>
      </c>
      <c r="H177" s="202"/>
      <c r="I177" s="202"/>
      <c r="J177" s="202"/>
      <c r="K177" s="202"/>
    </row>
    <row r="178" spans="2:12" hidden="1" outlineLevel="2" x14ac:dyDescent="0.25">
      <c r="B178" s="194" t="s">
        <v>292</v>
      </c>
      <c r="C178" s="195" t="s">
        <v>379</v>
      </c>
      <c r="D178" s="196">
        <v>7970.7538799999993</v>
      </c>
      <c r="E178" s="196">
        <v>0</v>
      </c>
      <c r="F178" s="196">
        <v>120</v>
      </c>
      <c r="G178" s="196">
        <v>7970.7538799999993</v>
      </c>
      <c r="H178" s="196">
        <v>0</v>
      </c>
      <c r="I178" s="196">
        <v>0</v>
      </c>
      <c r="J178" s="196">
        <v>0</v>
      </c>
      <c r="K178" s="196">
        <v>0</v>
      </c>
      <c r="L178" s="148"/>
    </row>
    <row r="179" spans="2:12" hidden="1" outlineLevel="3" x14ac:dyDescent="0.25">
      <c r="B179" s="197" t="s">
        <v>293</v>
      </c>
      <c r="C179" s="198" t="s">
        <v>295</v>
      </c>
      <c r="D179" s="199">
        <v>7970.7538799999993</v>
      </c>
      <c r="E179" s="199">
        <v>0</v>
      </c>
      <c r="F179" s="199">
        <v>120</v>
      </c>
      <c r="G179" s="199">
        <v>7970.7538799999993</v>
      </c>
      <c r="H179" s="199">
        <v>0</v>
      </c>
      <c r="I179" s="199">
        <v>0</v>
      </c>
      <c r="J179" s="199">
        <v>0</v>
      </c>
      <c r="K179" s="199">
        <v>0</v>
      </c>
      <c r="L179" s="148"/>
    </row>
    <row r="180" spans="2:12" hidden="1" outlineLevel="4" x14ac:dyDescent="0.25">
      <c r="B180" s="200" t="s">
        <v>294</v>
      </c>
      <c r="C180" s="201" t="s">
        <v>815</v>
      </c>
      <c r="D180" s="202">
        <v>7970.7538799999993</v>
      </c>
      <c r="E180" s="202"/>
      <c r="F180" s="202">
        <v>120</v>
      </c>
      <c r="G180" s="202">
        <v>7970.7538799999993</v>
      </c>
      <c r="H180" s="202"/>
      <c r="I180" s="202"/>
      <c r="J180" s="202"/>
      <c r="K180" s="202"/>
    </row>
    <row r="181" spans="2:12" outlineLevel="1" collapsed="1" x14ac:dyDescent="0.25">
      <c r="B181" s="180" t="s">
        <v>51</v>
      </c>
      <c r="C181" s="192" t="s">
        <v>19</v>
      </c>
      <c r="D181" s="193">
        <v>908674.57974602585</v>
      </c>
      <c r="E181" s="193">
        <v>38348.81</v>
      </c>
      <c r="F181" s="193">
        <v>0</v>
      </c>
      <c r="G181" s="193">
        <v>0</v>
      </c>
      <c r="H181" s="193">
        <v>192477.0903983051</v>
      </c>
      <c r="I181" s="193">
        <v>0</v>
      </c>
      <c r="J181" s="193">
        <v>0</v>
      </c>
      <c r="K181" s="193">
        <v>677848.6793477207</v>
      </c>
      <c r="L181" s="148"/>
    </row>
    <row r="182" spans="2:12" hidden="1" outlineLevel="2" x14ac:dyDescent="0.25">
      <c r="B182" s="194" t="s">
        <v>176</v>
      </c>
      <c r="C182" s="195" t="s">
        <v>471</v>
      </c>
      <c r="D182" s="196">
        <v>716197.48934772075</v>
      </c>
      <c r="E182" s="196">
        <v>38348.81</v>
      </c>
      <c r="F182" s="196">
        <v>0</v>
      </c>
      <c r="G182" s="196">
        <v>0</v>
      </c>
      <c r="H182" s="196">
        <v>0</v>
      </c>
      <c r="I182" s="196">
        <v>0</v>
      </c>
      <c r="J182" s="196">
        <v>0</v>
      </c>
      <c r="K182" s="196">
        <v>677848.6793477207</v>
      </c>
      <c r="L182" s="148"/>
    </row>
    <row r="183" spans="2:12" hidden="1" outlineLevel="3" x14ac:dyDescent="0.25">
      <c r="B183" s="197" t="s">
        <v>171</v>
      </c>
      <c r="C183" s="198" t="s">
        <v>471</v>
      </c>
      <c r="D183" s="199">
        <v>716197.48934772075</v>
      </c>
      <c r="E183" s="199">
        <v>38348.81</v>
      </c>
      <c r="F183" s="199">
        <v>0</v>
      </c>
      <c r="G183" s="199">
        <v>0</v>
      </c>
      <c r="H183" s="199">
        <v>0</v>
      </c>
      <c r="I183" s="199">
        <v>0</v>
      </c>
      <c r="J183" s="199">
        <v>0</v>
      </c>
      <c r="K183" s="199">
        <v>677848.6793477207</v>
      </c>
      <c r="L183" s="148"/>
    </row>
    <row r="184" spans="2:12" hidden="1" outlineLevel="4" x14ac:dyDescent="0.25">
      <c r="B184" s="200" t="s">
        <v>173</v>
      </c>
      <c r="C184" s="201" t="s">
        <v>816</v>
      </c>
      <c r="D184" s="202">
        <v>58699.557839687499</v>
      </c>
      <c r="E184" s="202"/>
      <c r="F184" s="202"/>
      <c r="G184" s="202"/>
      <c r="H184" s="202"/>
      <c r="I184" s="202"/>
      <c r="J184" s="202"/>
      <c r="K184" s="202">
        <v>58699.557839687499</v>
      </c>
    </row>
    <row r="185" spans="2:12" hidden="1" outlineLevel="4" x14ac:dyDescent="0.25">
      <c r="B185" s="200" t="s">
        <v>174</v>
      </c>
      <c r="C185" s="201" t="s">
        <v>817</v>
      </c>
      <c r="D185" s="202">
        <v>38348.81</v>
      </c>
      <c r="E185" s="202">
        <v>38348.81</v>
      </c>
      <c r="F185" s="202"/>
      <c r="G185" s="202"/>
      <c r="H185" s="202"/>
      <c r="I185" s="202"/>
      <c r="J185" s="202"/>
      <c r="K185" s="202"/>
    </row>
    <row r="186" spans="2:12" hidden="1" outlineLevel="4" x14ac:dyDescent="0.25">
      <c r="B186" s="200" t="s">
        <v>175</v>
      </c>
      <c r="C186" s="201" t="s">
        <v>818</v>
      </c>
      <c r="D186" s="202">
        <v>619149.12150803325</v>
      </c>
      <c r="E186" s="202"/>
      <c r="F186" s="202"/>
      <c r="G186" s="202"/>
      <c r="H186" s="202"/>
      <c r="I186" s="202"/>
      <c r="J186" s="202"/>
      <c r="K186" s="202">
        <v>619149.12150803325</v>
      </c>
    </row>
    <row r="187" spans="2:12" hidden="1" outlineLevel="2" x14ac:dyDescent="0.25">
      <c r="B187" s="194" t="s">
        <v>645</v>
      </c>
      <c r="C187" s="195" t="e">
        <v>#N/A</v>
      </c>
      <c r="D187" s="196">
        <v>192477.0903983051</v>
      </c>
      <c r="E187" s="196">
        <v>0</v>
      </c>
      <c r="F187" s="196">
        <v>0</v>
      </c>
      <c r="G187" s="196">
        <v>0</v>
      </c>
      <c r="H187" s="196">
        <v>192477.0903983051</v>
      </c>
      <c r="I187" s="196">
        <v>0</v>
      </c>
      <c r="J187" s="196">
        <v>0</v>
      </c>
      <c r="K187" s="196">
        <v>0</v>
      </c>
      <c r="L187" s="148"/>
    </row>
    <row r="188" spans="2:12" hidden="1" outlineLevel="3" x14ac:dyDescent="0.25">
      <c r="B188" s="197" t="s">
        <v>647</v>
      </c>
      <c r="C188" s="198" t="e">
        <v>#N/A</v>
      </c>
      <c r="D188" s="199">
        <v>192477.0903983051</v>
      </c>
      <c r="E188" s="199">
        <v>0</v>
      </c>
      <c r="F188" s="199">
        <v>0</v>
      </c>
      <c r="G188" s="199">
        <v>0</v>
      </c>
      <c r="H188" s="199">
        <v>192477.0903983051</v>
      </c>
      <c r="I188" s="199">
        <v>0</v>
      </c>
      <c r="J188" s="199">
        <v>0</v>
      </c>
      <c r="K188" s="199">
        <v>0</v>
      </c>
      <c r="L188" s="148"/>
    </row>
    <row r="189" spans="2:12" hidden="1" outlineLevel="4" x14ac:dyDescent="0.25">
      <c r="B189" s="200" t="s">
        <v>646</v>
      </c>
      <c r="C189" s="201" t="s">
        <v>819</v>
      </c>
      <c r="D189" s="202">
        <v>192477.0903983051</v>
      </c>
      <c r="E189" s="202"/>
      <c r="F189" s="202"/>
      <c r="G189" s="202"/>
      <c r="H189" s="202">
        <v>192477.0903983051</v>
      </c>
      <c r="I189" s="202"/>
      <c r="J189" s="202"/>
      <c r="K189" s="202"/>
    </row>
    <row r="190" spans="2:12" outlineLevel="1" collapsed="1" x14ac:dyDescent="0.25">
      <c r="B190" s="180" t="s">
        <v>52</v>
      </c>
      <c r="C190" s="192" t="s">
        <v>20</v>
      </c>
      <c r="D190" s="193">
        <v>6000000</v>
      </c>
      <c r="E190" s="193">
        <v>0</v>
      </c>
      <c r="F190" s="193">
        <v>0</v>
      </c>
      <c r="G190" s="193">
        <v>0</v>
      </c>
      <c r="H190" s="193">
        <v>0</v>
      </c>
      <c r="I190" s="193">
        <v>0</v>
      </c>
      <c r="J190" s="193">
        <v>0</v>
      </c>
      <c r="K190" s="193">
        <v>6000000</v>
      </c>
      <c r="L190" s="148"/>
    </row>
    <row r="191" spans="2:12" hidden="1" outlineLevel="2" x14ac:dyDescent="0.25">
      <c r="B191" s="194" t="s">
        <v>381</v>
      </c>
      <c r="C191" s="195" t="s">
        <v>162</v>
      </c>
      <c r="D191" s="196">
        <v>300000</v>
      </c>
      <c r="E191" s="196">
        <v>0</v>
      </c>
      <c r="F191" s="196">
        <v>0</v>
      </c>
      <c r="G191" s="196">
        <v>0</v>
      </c>
      <c r="H191" s="196">
        <v>0</v>
      </c>
      <c r="I191" s="196">
        <v>0</v>
      </c>
      <c r="J191" s="196">
        <v>0</v>
      </c>
      <c r="K191" s="196">
        <v>300000</v>
      </c>
      <c r="L191" s="148"/>
    </row>
    <row r="192" spans="2:12" hidden="1" outlineLevel="3" x14ac:dyDescent="0.25">
      <c r="B192" s="197" t="s">
        <v>442</v>
      </c>
      <c r="C192" s="198" t="s">
        <v>162</v>
      </c>
      <c r="D192" s="199">
        <v>300000</v>
      </c>
      <c r="E192" s="199">
        <v>0</v>
      </c>
      <c r="F192" s="199">
        <v>0</v>
      </c>
      <c r="G192" s="199">
        <v>0</v>
      </c>
      <c r="H192" s="199">
        <v>0</v>
      </c>
      <c r="I192" s="199">
        <v>0</v>
      </c>
      <c r="J192" s="199">
        <v>0</v>
      </c>
      <c r="K192" s="199">
        <v>300000</v>
      </c>
      <c r="L192" s="148"/>
    </row>
    <row r="193" spans="2:12" hidden="1" outlineLevel="4" x14ac:dyDescent="0.25">
      <c r="B193" s="200" t="s">
        <v>139</v>
      </c>
      <c r="C193" s="201" t="s">
        <v>162</v>
      </c>
      <c r="D193" s="202">
        <v>300000</v>
      </c>
      <c r="E193" s="202"/>
      <c r="F193" s="202"/>
      <c r="G193" s="202"/>
      <c r="H193" s="202"/>
      <c r="I193" s="202"/>
      <c r="J193" s="202"/>
      <c r="K193" s="202">
        <v>300000</v>
      </c>
    </row>
    <row r="194" spans="2:12" hidden="1" outlineLevel="2" x14ac:dyDescent="0.25">
      <c r="B194" s="194" t="s">
        <v>384</v>
      </c>
      <c r="C194" s="195" t="s">
        <v>164</v>
      </c>
      <c r="D194" s="196">
        <v>250000</v>
      </c>
      <c r="E194" s="196">
        <v>0</v>
      </c>
      <c r="F194" s="196">
        <v>0</v>
      </c>
      <c r="G194" s="196">
        <v>0</v>
      </c>
      <c r="H194" s="196">
        <v>0</v>
      </c>
      <c r="I194" s="196">
        <v>0</v>
      </c>
      <c r="J194" s="196">
        <v>0</v>
      </c>
      <c r="K194" s="196">
        <v>250000</v>
      </c>
      <c r="L194" s="148"/>
    </row>
    <row r="195" spans="2:12" hidden="1" outlineLevel="3" x14ac:dyDescent="0.25">
      <c r="B195" s="197" t="s">
        <v>444</v>
      </c>
      <c r="C195" s="198" t="s">
        <v>164</v>
      </c>
      <c r="D195" s="199">
        <v>250000</v>
      </c>
      <c r="E195" s="199">
        <v>0</v>
      </c>
      <c r="F195" s="199">
        <v>0</v>
      </c>
      <c r="G195" s="199">
        <v>0</v>
      </c>
      <c r="H195" s="199">
        <v>0</v>
      </c>
      <c r="I195" s="199">
        <v>0</v>
      </c>
      <c r="J195" s="199">
        <v>0</v>
      </c>
      <c r="K195" s="199">
        <v>250000</v>
      </c>
      <c r="L195" s="148"/>
    </row>
    <row r="196" spans="2:12" hidden="1" outlineLevel="4" x14ac:dyDescent="0.25">
      <c r="B196" s="200" t="s">
        <v>163</v>
      </c>
      <c r="C196" s="201" t="s">
        <v>820</v>
      </c>
      <c r="D196" s="202">
        <v>250000</v>
      </c>
      <c r="E196" s="202"/>
      <c r="F196" s="202"/>
      <c r="G196" s="202"/>
      <c r="H196" s="202"/>
      <c r="I196" s="202"/>
      <c r="J196" s="202"/>
      <c r="K196" s="202">
        <v>250000</v>
      </c>
    </row>
    <row r="197" spans="2:12" hidden="1" outlineLevel="2" x14ac:dyDescent="0.25">
      <c r="B197" s="194" t="s">
        <v>389</v>
      </c>
      <c r="C197" s="195" t="s">
        <v>166</v>
      </c>
      <c r="D197" s="196">
        <v>600000</v>
      </c>
      <c r="E197" s="196">
        <v>0</v>
      </c>
      <c r="F197" s="196">
        <v>0</v>
      </c>
      <c r="G197" s="196">
        <v>0</v>
      </c>
      <c r="H197" s="196">
        <v>0</v>
      </c>
      <c r="I197" s="196">
        <v>0</v>
      </c>
      <c r="J197" s="196">
        <v>0</v>
      </c>
      <c r="K197" s="196">
        <v>600000</v>
      </c>
      <c r="L197" s="148"/>
    </row>
    <row r="198" spans="2:12" hidden="1" outlineLevel="3" x14ac:dyDescent="0.25">
      <c r="B198" s="197" t="s">
        <v>447</v>
      </c>
      <c r="C198" s="198" t="s">
        <v>166</v>
      </c>
      <c r="D198" s="199">
        <v>600000</v>
      </c>
      <c r="E198" s="199">
        <v>0</v>
      </c>
      <c r="F198" s="199">
        <v>0</v>
      </c>
      <c r="G198" s="199">
        <v>0</v>
      </c>
      <c r="H198" s="199">
        <v>0</v>
      </c>
      <c r="I198" s="199">
        <v>0</v>
      </c>
      <c r="J198" s="199">
        <v>0</v>
      </c>
      <c r="K198" s="199">
        <v>600000</v>
      </c>
      <c r="L198" s="148"/>
    </row>
    <row r="199" spans="2:12" hidden="1" outlineLevel="4" x14ac:dyDescent="0.25">
      <c r="B199" s="200" t="s">
        <v>165</v>
      </c>
      <c r="C199" s="201" t="s">
        <v>822</v>
      </c>
      <c r="D199" s="202">
        <v>600000</v>
      </c>
      <c r="E199" s="202"/>
      <c r="F199" s="202"/>
      <c r="G199" s="202"/>
      <c r="H199" s="202"/>
      <c r="I199" s="202"/>
      <c r="J199" s="202"/>
      <c r="K199" s="202">
        <v>600000</v>
      </c>
    </row>
    <row r="200" spans="2:12" hidden="1" outlineLevel="2" x14ac:dyDescent="0.25">
      <c r="B200" s="194" t="s">
        <v>391</v>
      </c>
      <c r="C200" s="195" t="s">
        <v>168</v>
      </c>
      <c r="D200" s="196">
        <v>4850000</v>
      </c>
      <c r="E200" s="196">
        <v>0</v>
      </c>
      <c r="F200" s="196">
        <v>0</v>
      </c>
      <c r="G200" s="196">
        <v>0</v>
      </c>
      <c r="H200" s="196">
        <v>0</v>
      </c>
      <c r="I200" s="196">
        <v>0</v>
      </c>
      <c r="J200" s="196">
        <v>0</v>
      </c>
      <c r="K200" s="196">
        <v>4850000</v>
      </c>
      <c r="L200" s="148"/>
    </row>
    <row r="201" spans="2:12" hidden="1" outlineLevel="3" x14ac:dyDescent="0.25">
      <c r="B201" s="197" t="s">
        <v>448</v>
      </c>
      <c r="C201" s="198" t="s">
        <v>168</v>
      </c>
      <c r="D201" s="199">
        <v>4850000</v>
      </c>
      <c r="E201" s="199">
        <v>0</v>
      </c>
      <c r="F201" s="199">
        <v>0</v>
      </c>
      <c r="G201" s="199">
        <v>0</v>
      </c>
      <c r="H201" s="199">
        <v>0</v>
      </c>
      <c r="I201" s="199">
        <v>0</v>
      </c>
      <c r="J201" s="199">
        <v>0</v>
      </c>
      <c r="K201" s="199">
        <v>4850000</v>
      </c>
      <c r="L201" s="148"/>
    </row>
    <row r="202" spans="2:12" hidden="1" outlineLevel="4" x14ac:dyDescent="0.25">
      <c r="B202" s="200" t="s">
        <v>167</v>
      </c>
      <c r="C202" s="201" t="s">
        <v>830</v>
      </c>
      <c r="D202" s="202">
        <v>4850000</v>
      </c>
      <c r="E202" s="202"/>
      <c r="F202" s="202"/>
      <c r="G202" s="202"/>
      <c r="H202" s="202"/>
      <c r="I202" s="202"/>
      <c r="J202" s="202"/>
      <c r="K202" s="202">
        <v>4850000</v>
      </c>
    </row>
    <row r="203" spans="2:12" outlineLevel="1" collapsed="1" x14ac:dyDescent="0.25">
      <c r="B203" s="180" t="s">
        <v>57</v>
      </c>
      <c r="C203" s="192" t="s">
        <v>21</v>
      </c>
      <c r="D203" s="193">
        <v>8866530.0742445514</v>
      </c>
      <c r="E203" s="193">
        <v>1834960.7999999998</v>
      </c>
      <c r="F203" s="193">
        <v>0</v>
      </c>
      <c r="G203" s="193">
        <v>0</v>
      </c>
      <c r="H203" s="193">
        <v>0</v>
      </c>
      <c r="I203" s="193">
        <v>0</v>
      </c>
      <c r="J203" s="193">
        <v>0</v>
      </c>
      <c r="K203" s="193">
        <v>7031569.2742445515</v>
      </c>
      <c r="L203" s="148"/>
    </row>
    <row r="204" spans="2:12" hidden="1" outlineLevel="2" x14ac:dyDescent="0.25">
      <c r="B204" s="194" t="s">
        <v>402</v>
      </c>
      <c r="C204" s="195" t="s">
        <v>149</v>
      </c>
      <c r="D204" s="196">
        <v>613290.12009192794</v>
      </c>
      <c r="E204" s="196">
        <v>173096.25</v>
      </c>
      <c r="F204" s="196">
        <v>0</v>
      </c>
      <c r="G204" s="196">
        <v>0</v>
      </c>
      <c r="H204" s="196">
        <v>0</v>
      </c>
      <c r="I204" s="196">
        <v>0</v>
      </c>
      <c r="J204" s="196">
        <v>0</v>
      </c>
      <c r="K204" s="196">
        <v>440193.87009192794</v>
      </c>
      <c r="L204" s="148"/>
    </row>
    <row r="205" spans="2:12" hidden="1" outlineLevel="3" x14ac:dyDescent="0.25">
      <c r="B205" s="197" t="s">
        <v>451</v>
      </c>
      <c r="C205" s="198" t="s">
        <v>149</v>
      </c>
      <c r="D205" s="199">
        <v>613290.12009192794</v>
      </c>
      <c r="E205" s="199">
        <v>173096.25</v>
      </c>
      <c r="F205" s="199">
        <v>0</v>
      </c>
      <c r="G205" s="199">
        <v>0</v>
      </c>
      <c r="H205" s="199">
        <v>0</v>
      </c>
      <c r="I205" s="199">
        <v>0</v>
      </c>
      <c r="J205" s="199">
        <v>0</v>
      </c>
      <c r="K205" s="199">
        <v>440193.87009192794</v>
      </c>
      <c r="L205" s="148"/>
    </row>
    <row r="206" spans="2:12" hidden="1" outlineLevel="4" x14ac:dyDescent="0.25">
      <c r="B206" s="200" t="s">
        <v>140</v>
      </c>
      <c r="C206" s="201" t="s">
        <v>832</v>
      </c>
      <c r="D206" s="202">
        <v>613290.12009192794</v>
      </c>
      <c r="E206" s="202">
        <v>173096.25</v>
      </c>
      <c r="F206" s="202"/>
      <c r="G206" s="202"/>
      <c r="H206" s="202"/>
      <c r="I206" s="202"/>
      <c r="J206" s="202"/>
      <c r="K206" s="202">
        <v>440193.87009192794</v>
      </c>
    </row>
    <row r="207" spans="2:12" hidden="1" outlineLevel="2" x14ac:dyDescent="0.25">
      <c r="B207" s="194" t="s">
        <v>403</v>
      </c>
      <c r="C207" s="195" t="s">
        <v>150</v>
      </c>
      <c r="D207" s="196">
        <v>207931.18108943824</v>
      </c>
      <c r="E207" s="196">
        <v>6373.45</v>
      </c>
      <c r="F207" s="196">
        <v>0</v>
      </c>
      <c r="G207" s="196">
        <v>0</v>
      </c>
      <c r="H207" s="196">
        <v>0</v>
      </c>
      <c r="I207" s="196">
        <v>0</v>
      </c>
      <c r="J207" s="196">
        <v>0</v>
      </c>
      <c r="K207" s="196">
        <v>201557.73108943822</v>
      </c>
      <c r="L207" s="148"/>
    </row>
    <row r="208" spans="2:12" hidden="1" outlineLevel="3" x14ac:dyDescent="0.25">
      <c r="B208" s="197" t="s">
        <v>452</v>
      </c>
      <c r="C208" s="198" t="s">
        <v>150</v>
      </c>
      <c r="D208" s="199">
        <v>207931.18108943824</v>
      </c>
      <c r="E208" s="199">
        <v>6373.45</v>
      </c>
      <c r="F208" s="199">
        <v>0</v>
      </c>
      <c r="G208" s="199">
        <v>0</v>
      </c>
      <c r="H208" s="199">
        <v>0</v>
      </c>
      <c r="I208" s="199">
        <v>0</v>
      </c>
      <c r="J208" s="199">
        <v>0</v>
      </c>
      <c r="K208" s="199">
        <v>201557.73108943822</v>
      </c>
      <c r="L208" s="148"/>
    </row>
    <row r="209" spans="2:12" hidden="1" outlineLevel="4" x14ac:dyDescent="0.25">
      <c r="B209" s="200" t="s">
        <v>141</v>
      </c>
      <c r="C209" s="201" t="s">
        <v>834</v>
      </c>
      <c r="D209" s="202">
        <v>207931.18108943824</v>
      </c>
      <c r="E209" s="202">
        <v>6373.45</v>
      </c>
      <c r="F209" s="202"/>
      <c r="G209" s="202"/>
      <c r="H209" s="202"/>
      <c r="I209" s="202"/>
      <c r="J209" s="202"/>
      <c r="K209" s="202">
        <v>201557.73108943822</v>
      </c>
    </row>
    <row r="210" spans="2:12" hidden="1" outlineLevel="2" x14ac:dyDescent="0.25">
      <c r="B210" s="194" t="s">
        <v>405</v>
      </c>
      <c r="C210" s="195" t="s">
        <v>151</v>
      </c>
      <c r="D210" s="196">
        <v>869397.33184413076</v>
      </c>
      <c r="E210" s="196">
        <v>703124.87999999989</v>
      </c>
      <c r="F210" s="196">
        <v>0</v>
      </c>
      <c r="G210" s="196">
        <v>0</v>
      </c>
      <c r="H210" s="196">
        <v>0</v>
      </c>
      <c r="I210" s="196">
        <v>0</v>
      </c>
      <c r="J210" s="196">
        <v>0</v>
      </c>
      <c r="K210" s="196">
        <v>166272.45184413085</v>
      </c>
      <c r="L210" s="148"/>
    </row>
    <row r="211" spans="2:12" hidden="1" outlineLevel="3" x14ac:dyDescent="0.25">
      <c r="B211" s="197" t="s">
        <v>453</v>
      </c>
      <c r="C211" s="198" t="s">
        <v>151</v>
      </c>
      <c r="D211" s="199">
        <v>869397.33184413076</v>
      </c>
      <c r="E211" s="199">
        <v>703124.87999999989</v>
      </c>
      <c r="F211" s="199">
        <v>0</v>
      </c>
      <c r="G211" s="199">
        <v>0</v>
      </c>
      <c r="H211" s="199">
        <v>0</v>
      </c>
      <c r="I211" s="199">
        <v>0</v>
      </c>
      <c r="J211" s="199">
        <v>0</v>
      </c>
      <c r="K211" s="199">
        <v>166272.45184413085</v>
      </c>
      <c r="L211" s="148"/>
    </row>
    <row r="212" spans="2:12" hidden="1" outlineLevel="4" x14ac:dyDescent="0.25">
      <c r="B212" s="200" t="s">
        <v>142</v>
      </c>
      <c r="C212" s="201" t="s">
        <v>836</v>
      </c>
      <c r="D212" s="202">
        <v>869397.33184413076</v>
      </c>
      <c r="E212" s="202">
        <v>703124.87999999989</v>
      </c>
      <c r="F212" s="202"/>
      <c r="G212" s="202"/>
      <c r="H212" s="202"/>
      <c r="I212" s="202"/>
      <c r="J212" s="202"/>
      <c r="K212" s="202">
        <v>166272.45184413085</v>
      </c>
    </row>
    <row r="213" spans="2:12" hidden="1" outlineLevel="2" x14ac:dyDescent="0.25">
      <c r="B213" s="194" t="s">
        <v>407</v>
      </c>
      <c r="C213" s="195" t="s">
        <v>152</v>
      </c>
      <c r="D213" s="196">
        <v>5347695.1923454646</v>
      </c>
      <c r="E213" s="196">
        <v>770640.8600000001</v>
      </c>
      <c r="F213" s="196">
        <v>0</v>
      </c>
      <c r="G213" s="196">
        <v>0</v>
      </c>
      <c r="H213" s="196">
        <v>0</v>
      </c>
      <c r="I213" s="196">
        <v>0</v>
      </c>
      <c r="J213" s="196">
        <v>0</v>
      </c>
      <c r="K213" s="196">
        <v>4577054.3323454643</v>
      </c>
      <c r="L213" s="148"/>
    </row>
    <row r="214" spans="2:12" hidden="1" outlineLevel="3" x14ac:dyDescent="0.25">
      <c r="B214" s="197" t="s">
        <v>454</v>
      </c>
      <c r="C214" s="198" t="s">
        <v>152</v>
      </c>
      <c r="D214" s="199">
        <v>5347695.1923454646</v>
      </c>
      <c r="E214" s="199">
        <v>770640.8600000001</v>
      </c>
      <c r="F214" s="199">
        <v>0</v>
      </c>
      <c r="G214" s="199">
        <v>0</v>
      </c>
      <c r="H214" s="199">
        <v>0</v>
      </c>
      <c r="I214" s="199">
        <v>0</v>
      </c>
      <c r="J214" s="199">
        <v>0</v>
      </c>
      <c r="K214" s="199">
        <v>4577054.3323454643</v>
      </c>
      <c r="L214" s="148"/>
    </row>
    <row r="215" spans="2:12" hidden="1" outlineLevel="4" x14ac:dyDescent="0.25">
      <c r="B215" s="200" t="s">
        <v>143</v>
      </c>
      <c r="C215" s="201" t="s">
        <v>838</v>
      </c>
      <c r="D215" s="202">
        <v>5347695.1923454646</v>
      </c>
      <c r="E215" s="202">
        <v>770640.8600000001</v>
      </c>
      <c r="F215" s="202"/>
      <c r="G215" s="202"/>
      <c r="H215" s="202"/>
      <c r="I215" s="202"/>
      <c r="J215" s="202"/>
      <c r="K215" s="202">
        <v>4577054.3323454643</v>
      </c>
    </row>
    <row r="216" spans="2:12" hidden="1" outlineLevel="2" x14ac:dyDescent="0.25">
      <c r="B216" s="194" t="s">
        <v>410</v>
      </c>
      <c r="C216" s="195" t="s">
        <v>153</v>
      </c>
      <c r="D216" s="196">
        <v>419786.58905531798</v>
      </c>
      <c r="E216" s="196">
        <v>27416.69</v>
      </c>
      <c r="F216" s="196">
        <v>0</v>
      </c>
      <c r="G216" s="196">
        <v>0</v>
      </c>
      <c r="H216" s="196">
        <v>0</v>
      </c>
      <c r="I216" s="196">
        <v>0</v>
      </c>
      <c r="J216" s="196">
        <v>0</v>
      </c>
      <c r="K216" s="196">
        <v>392369.89905531798</v>
      </c>
      <c r="L216" s="148"/>
    </row>
    <row r="217" spans="2:12" hidden="1" outlineLevel="3" x14ac:dyDescent="0.25">
      <c r="B217" s="197" t="s">
        <v>455</v>
      </c>
      <c r="C217" s="198" t="s">
        <v>153</v>
      </c>
      <c r="D217" s="199">
        <v>419786.58905531798</v>
      </c>
      <c r="E217" s="199">
        <v>27416.69</v>
      </c>
      <c r="F217" s="199">
        <v>0</v>
      </c>
      <c r="G217" s="199">
        <v>0</v>
      </c>
      <c r="H217" s="199">
        <v>0</v>
      </c>
      <c r="I217" s="199">
        <v>0</v>
      </c>
      <c r="J217" s="199">
        <v>0</v>
      </c>
      <c r="K217" s="199">
        <v>392369.89905531798</v>
      </c>
      <c r="L217" s="148"/>
    </row>
    <row r="218" spans="2:12" hidden="1" outlineLevel="4" x14ac:dyDescent="0.25">
      <c r="B218" s="200" t="s">
        <v>144</v>
      </c>
      <c r="C218" s="201" t="s">
        <v>840</v>
      </c>
      <c r="D218" s="202">
        <v>419786.58905531798</v>
      </c>
      <c r="E218" s="202">
        <v>27416.69</v>
      </c>
      <c r="F218" s="202"/>
      <c r="G218" s="202"/>
      <c r="H218" s="202"/>
      <c r="I218" s="202"/>
      <c r="J218" s="202"/>
      <c r="K218" s="202">
        <v>392369.89905531798</v>
      </c>
    </row>
    <row r="219" spans="2:12" hidden="1" outlineLevel="2" x14ac:dyDescent="0.25">
      <c r="B219" s="194" t="s">
        <v>413</v>
      </c>
      <c r="C219" s="195" t="s">
        <v>154</v>
      </c>
      <c r="D219" s="196">
        <v>64463.49</v>
      </c>
      <c r="E219" s="196">
        <v>64463.49</v>
      </c>
      <c r="F219" s="196">
        <v>0</v>
      </c>
      <c r="G219" s="196">
        <v>0</v>
      </c>
      <c r="H219" s="196">
        <v>0</v>
      </c>
      <c r="I219" s="196">
        <v>0</v>
      </c>
      <c r="J219" s="196">
        <v>0</v>
      </c>
      <c r="K219" s="196">
        <v>0</v>
      </c>
      <c r="L219" s="148"/>
    </row>
    <row r="220" spans="2:12" hidden="1" outlineLevel="3" x14ac:dyDescent="0.25">
      <c r="B220" s="197" t="s">
        <v>456</v>
      </c>
      <c r="C220" s="198" t="s">
        <v>154</v>
      </c>
      <c r="D220" s="199">
        <v>64463.49</v>
      </c>
      <c r="E220" s="199">
        <v>64463.49</v>
      </c>
      <c r="F220" s="199">
        <v>0</v>
      </c>
      <c r="G220" s="199">
        <v>0</v>
      </c>
      <c r="H220" s="199">
        <v>0</v>
      </c>
      <c r="I220" s="199">
        <v>0</v>
      </c>
      <c r="J220" s="199">
        <v>0</v>
      </c>
      <c r="K220" s="199">
        <v>0</v>
      </c>
      <c r="L220" s="148"/>
    </row>
    <row r="221" spans="2:12" hidden="1" outlineLevel="4" x14ac:dyDescent="0.25">
      <c r="B221" s="200" t="s">
        <v>145</v>
      </c>
      <c r="C221" s="201" t="s">
        <v>842</v>
      </c>
      <c r="D221" s="202">
        <v>64463.49</v>
      </c>
      <c r="E221" s="202">
        <v>64463.49</v>
      </c>
      <c r="F221" s="202"/>
      <c r="G221" s="202"/>
      <c r="H221" s="202"/>
      <c r="I221" s="202"/>
      <c r="J221" s="202"/>
      <c r="K221" s="202">
        <v>0</v>
      </c>
    </row>
    <row r="222" spans="2:12" hidden="1" outlineLevel="2" x14ac:dyDescent="0.25">
      <c r="B222" s="194" t="s">
        <v>416</v>
      </c>
      <c r="C222" s="195" t="s">
        <v>155</v>
      </c>
      <c r="D222" s="196">
        <v>832557.57444867154</v>
      </c>
      <c r="E222" s="196">
        <v>88134.75</v>
      </c>
      <c r="F222" s="196">
        <v>0</v>
      </c>
      <c r="G222" s="196">
        <v>0</v>
      </c>
      <c r="H222" s="196">
        <v>0</v>
      </c>
      <c r="I222" s="196">
        <v>0</v>
      </c>
      <c r="J222" s="196">
        <v>0</v>
      </c>
      <c r="K222" s="196">
        <v>744422.82444867154</v>
      </c>
      <c r="L222" s="148"/>
    </row>
    <row r="223" spans="2:12" hidden="1" outlineLevel="3" x14ac:dyDescent="0.25">
      <c r="B223" s="197" t="s">
        <v>457</v>
      </c>
      <c r="C223" s="198" t="s">
        <v>155</v>
      </c>
      <c r="D223" s="199">
        <v>832557.57444867154</v>
      </c>
      <c r="E223" s="199">
        <v>88134.75</v>
      </c>
      <c r="F223" s="199">
        <v>0</v>
      </c>
      <c r="G223" s="199">
        <v>0</v>
      </c>
      <c r="H223" s="199">
        <v>0</v>
      </c>
      <c r="I223" s="199">
        <v>0</v>
      </c>
      <c r="J223" s="199">
        <v>0</v>
      </c>
      <c r="K223" s="199">
        <v>744422.82444867154</v>
      </c>
      <c r="L223" s="148"/>
    </row>
    <row r="224" spans="2:12" hidden="1" outlineLevel="4" x14ac:dyDescent="0.25">
      <c r="B224" s="200" t="s">
        <v>146</v>
      </c>
      <c r="C224" s="201" t="s">
        <v>844</v>
      </c>
      <c r="D224" s="202">
        <v>832557.57444867154</v>
      </c>
      <c r="E224" s="202">
        <v>88134.75</v>
      </c>
      <c r="F224" s="202"/>
      <c r="G224" s="202"/>
      <c r="H224" s="202"/>
      <c r="I224" s="202"/>
      <c r="J224" s="202"/>
      <c r="K224" s="202">
        <v>744422.82444867154</v>
      </c>
    </row>
    <row r="225" spans="2:12" hidden="1" outlineLevel="2" x14ac:dyDescent="0.25">
      <c r="B225" s="194" t="s">
        <v>418</v>
      </c>
      <c r="C225" s="195" t="s">
        <v>156</v>
      </c>
      <c r="D225" s="196">
        <v>511408.59536960069</v>
      </c>
      <c r="E225" s="196">
        <v>1710.43</v>
      </c>
      <c r="F225" s="196">
        <v>0</v>
      </c>
      <c r="G225" s="196">
        <v>0</v>
      </c>
      <c r="H225" s="196">
        <v>0</v>
      </c>
      <c r="I225" s="196">
        <v>0</v>
      </c>
      <c r="J225" s="196">
        <v>0</v>
      </c>
      <c r="K225" s="196">
        <v>509698.1653696007</v>
      </c>
      <c r="L225" s="148"/>
    </row>
    <row r="226" spans="2:12" hidden="1" outlineLevel="3" x14ac:dyDescent="0.25">
      <c r="B226" s="197" t="s">
        <v>459</v>
      </c>
      <c r="C226" s="198" t="s">
        <v>156</v>
      </c>
      <c r="D226" s="199">
        <v>511408.59536960069</v>
      </c>
      <c r="E226" s="199">
        <v>1710.43</v>
      </c>
      <c r="F226" s="199">
        <v>0</v>
      </c>
      <c r="G226" s="199">
        <v>0</v>
      </c>
      <c r="H226" s="199">
        <v>0</v>
      </c>
      <c r="I226" s="199">
        <v>0</v>
      </c>
      <c r="J226" s="199">
        <v>0</v>
      </c>
      <c r="K226" s="199">
        <v>509698.1653696007</v>
      </c>
      <c r="L226" s="148"/>
    </row>
    <row r="227" spans="2:12" hidden="1" outlineLevel="4" x14ac:dyDescent="0.25">
      <c r="B227" s="200" t="s">
        <v>147</v>
      </c>
      <c r="C227" s="201" t="s">
        <v>846</v>
      </c>
      <c r="D227" s="202">
        <v>511408.59536960069</v>
      </c>
      <c r="E227" s="202">
        <v>1710.43</v>
      </c>
      <c r="F227" s="202"/>
      <c r="G227" s="202"/>
      <c r="H227" s="202"/>
      <c r="I227" s="202"/>
      <c r="J227" s="202"/>
      <c r="K227" s="202">
        <v>509698.1653696007</v>
      </c>
    </row>
    <row r="228" spans="2:12" outlineLevel="1" collapsed="1" x14ac:dyDescent="0.25">
      <c r="B228" s="180" t="s">
        <v>58</v>
      </c>
      <c r="C228" s="192" t="s">
        <v>22</v>
      </c>
      <c r="D228" s="193">
        <v>5248796.2774669044</v>
      </c>
      <c r="E228" s="193">
        <v>348153.31</v>
      </c>
      <c r="F228" s="193">
        <v>0</v>
      </c>
      <c r="G228" s="193">
        <v>0</v>
      </c>
      <c r="H228" s="193">
        <v>0</v>
      </c>
      <c r="I228" s="193">
        <v>0</v>
      </c>
      <c r="J228" s="193">
        <v>0</v>
      </c>
      <c r="K228" s="193">
        <v>4900642.9674669048</v>
      </c>
      <c r="L228" s="148"/>
    </row>
    <row r="229" spans="2:12" hidden="1" outlineLevel="2" x14ac:dyDescent="0.25">
      <c r="B229" s="194" t="s">
        <v>419</v>
      </c>
      <c r="C229" s="195" t="s">
        <v>22</v>
      </c>
      <c r="D229" s="196">
        <v>5248796.2774669044</v>
      </c>
      <c r="E229" s="196">
        <v>348153.31</v>
      </c>
      <c r="F229" s="196">
        <v>0</v>
      </c>
      <c r="G229" s="196">
        <v>0</v>
      </c>
      <c r="H229" s="196">
        <v>0</v>
      </c>
      <c r="I229" s="196">
        <v>0</v>
      </c>
      <c r="J229" s="196">
        <v>0</v>
      </c>
      <c r="K229" s="196">
        <v>4900642.9674669048</v>
      </c>
      <c r="L229" s="148"/>
    </row>
    <row r="230" spans="2:12" hidden="1" outlineLevel="3" x14ac:dyDescent="0.25">
      <c r="B230" s="197" t="s">
        <v>460</v>
      </c>
      <c r="C230" s="198" t="s">
        <v>22</v>
      </c>
      <c r="D230" s="199">
        <v>5248796.2774669044</v>
      </c>
      <c r="E230" s="199">
        <v>348153.31</v>
      </c>
      <c r="F230" s="199">
        <v>0</v>
      </c>
      <c r="G230" s="199">
        <v>0</v>
      </c>
      <c r="H230" s="199">
        <v>0</v>
      </c>
      <c r="I230" s="199">
        <v>0</v>
      </c>
      <c r="J230" s="199">
        <v>0</v>
      </c>
      <c r="K230" s="199">
        <v>4900642.9674669048</v>
      </c>
      <c r="L230" s="148"/>
    </row>
    <row r="231" spans="2:12" hidden="1" outlineLevel="4" x14ac:dyDescent="0.25">
      <c r="B231" s="200" t="s">
        <v>464</v>
      </c>
      <c r="C231" s="201" t="s">
        <v>22</v>
      </c>
      <c r="D231" s="202">
        <v>5248796.2774669044</v>
      </c>
      <c r="E231" s="202">
        <v>348153.31</v>
      </c>
      <c r="F231" s="202"/>
      <c r="G231" s="202"/>
      <c r="H231" s="202"/>
      <c r="I231" s="202"/>
      <c r="J231" s="202"/>
      <c r="K231" s="202">
        <v>4900642.9674669048</v>
      </c>
    </row>
    <row r="232" spans="2:12" outlineLevel="1" collapsed="1" x14ac:dyDescent="0.25">
      <c r="B232" s="180" t="s">
        <v>59</v>
      </c>
      <c r="C232" s="192" t="s">
        <v>1</v>
      </c>
      <c r="D232" s="193">
        <v>2580141</v>
      </c>
      <c r="E232" s="193">
        <v>0</v>
      </c>
      <c r="F232" s="193">
        <v>0</v>
      </c>
      <c r="G232" s="193">
        <v>0</v>
      </c>
      <c r="H232" s="193">
        <v>0</v>
      </c>
      <c r="I232" s="193">
        <v>0</v>
      </c>
      <c r="J232" s="193">
        <v>0</v>
      </c>
      <c r="K232" s="193">
        <v>2580141</v>
      </c>
      <c r="L232" s="148"/>
    </row>
    <row r="233" spans="2:12" hidden="1" outlineLevel="2" x14ac:dyDescent="0.25">
      <c r="B233" s="194" t="s">
        <v>472</v>
      </c>
      <c r="C233" s="195" t="s">
        <v>425</v>
      </c>
      <c r="D233" s="196">
        <v>2580141</v>
      </c>
      <c r="E233" s="196">
        <v>0</v>
      </c>
      <c r="F233" s="196">
        <v>0</v>
      </c>
      <c r="G233" s="196">
        <v>0</v>
      </c>
      <c r="H233" s="196">
        <v>0</v>
      </c>
      <c r="I233" s="196">
        <v>0</v>
      </c>
      <c r="J233" s="196">
        <v>0</v>
      </c>
      <c r="K233" s="196">
        <v>2580141</v>
      </c>
      <c r="L233" s="148"/>
    </row>
    <row r="234" spans="2:12" hidden="1" outlineLevel="3" x14ac:dyDescent="0.25">
      <c r="B234" s="197" t="s">
        <v>473</v>
      </c>
      <c r="C234" s="198" t="s">
        <v>425</v>
      </c>
      <c r="D234" s="199">
        <v>2580141</v>
      </c>
      <c r="E234" s="199">
        <v>0</v>
      </c>
      <c r="F234" s="199">
        <v>0</v>
      </c>
      <c r="G234" s="199">
        <v>0</v>
      </c>
      <c r="H234" s="199">
        <v>0</v>
      </c>
      <c r="I234" s="199">
        <v>0</v>
      </c>
      <c r="J234" s="199">
        <v>0</v>
      </c>
      <c r="K234" s="199">
        <v>2580141</v>
      </c>
      <c r="L234" s="148"/>
    </row>
    <row r="235" spans="2:12" hidden="1" outlineLevel="4" x14ac:dyDescent="0.25">
      <c r="B235" s="200" t="s">
        <v>470</v>
      </c>
      <c r="C235" s="201" t="s">
        <v>847</v>
      </c>
      <c r="D235" s="202">
        <v>2580141</v>
      </c>
      <c r="E235" s="202"/>
      <c r="F235" s="202"/>
      <c r="G235" s="202"/>
      <c r="H235" s="202"/>
      <c r="I235" s="202"/>
      <c r="J235" s="202"/>
      <c r="K235" s="202">
        <v>2580141</v>
      </c>
    </row>
    <row r="236" spans="2:12" x14ac:dyDescent="0.25">
      <c r="B236" s="212" t="s">
        <v>553</v>
      </c>
      <c r="C236" s="213"/>
      <c r="D236" s="214">
        <v>7253161.7452909239</v>
      </c>
      <c r="E236" s="214">
        <v>0</v>
      </c>
      <c r="F236" s="214">
        <v>16646.2</v>
      </c>
      <c r="G236" s="214">
        <v>3553540.0516044381</v>
      </c>
      <c r="H236" s="214">
        <v>146936.84671327434</v>
      </c>
      <c r="I236" s="214">
        <v>0</v>
      </c>
      <c r="J236" s="214">
        <v>119526.765296</v>
      </c>
      <c r="K236" s="214">
        <v>3433158.0816772119</v>
      </c>
      <c r="L236" s="148"/>
    </row>
    <row r="237" spans="2:12" outlineLevel="1" x14ac:dyDescent="0.25">
      <c r="B237" s="180" t="s">
        <v>43</v>
      </c>
      <c r="C237" s="192" t="s">
        <v>186</v>
      </c>
      <c r="D237" s="193">
        <v>13642.180580894914</v>
      </c>
      <c r="E237" s="193">
        <v>0</v>
      </c>
      <c r="F237" s="193">
        <v>0</v>
      </c>
      <c r="G237" s="193">
        <v>13642.180580894914</v>
      </c>
      <c r="H237" s="193">
        <v>0</v>
      </c>
      <c r="I237" s="193">
        <v>0</v>
      </c>
      <c r="J237" s="193">
        <v>0</v>
      </c>
      <c r="K237" s="193">
        <v>0</v>
      </c>
      <c r="L237" s="148"/>
    </row>
    <row r="238" spans="2:12" hidden="1" outlineLevel="2" x14ac:dyDescent="0.25">
      <c r="B238" s="194" t="s">
        <v>187</v>
      </c>
      <c r="C238" s="195" t="s">
        <v>190</v>
      </c>
      <c r="D238" s="196">
        <v>5456.8722323579659</v>
      </c>
      <c r="E238" s="196">
        <v>0</v>
      </c>
      <c r="F238" s="196">
        <v>0</v>
      </c>
      <c r="G238" s="196">
        <v>5456.8722323579659</v>
      </c>
      <c r="H238" s="196">
        <v>0</v>
      </c>
      <c r="I238" s="196">
        <v>0</v>
      </c>
      <c r="J238" s="196">
        <v>0</v>
      </c>
      <c r="K238" s="196">
        <v>0</v>
      </c>
      <c r="L238" s="148"/>
    </row>
    <row r="239" spans="2:12" hidden="1" outlineLevel="3" x14ac:dyDescent="0.25">
      <c r="B239" s="197" t="s">
        <v>188</v>
      </c>
      <c r="C239" s="198" t="s">
        <v>190</v>
      </c>
      <c r="D239" s="199">
        <v>5456.8722323579659</v>
      </c>
      <c r="E239" s="199">
        <v>0</v>
      </c>
      <c r="F239" s="199">
        <v>0</v>
      </c>
      <c r="G239" s="199">
        <v>5456.8722323579659</v>
      </c>
      <c r="H239" s="199">
        <v>0</v>
      </c>
      <c r="I239" s="199">
        <v>0</v>
      </c>
      <c r="J239" s="199">
        <v>0</v>
      </c>
      <c r="K239" s="199">
        <v>0</v>
      </c>
      <c r="L239" s="148"/>
    </row>
    <row r="240" spans="2:12" hidden="1" outlineLevel="4" x14ac:dyDescent="0.25">
      <c r="B240" s="200" t="s">
        <v>189</v>
      </c>
      <c r="C240" s="201" t="s">
        <v>667</v>
      </c>
      <c r="D240" s="202">
        <v>5456.8722323579659</v>
      </c>
      <c r="E240" s="202"/>
      <c r="F240" s="202">
        <v>0</v>
      </c>
      <c r="G240" s="202">
        <v>5456.8722323579659</v>
      </c>
      <c r="H240" s="202"/>
      <c r="I240" s="202"/>
      <c r="J240" s="202"/>
      <c r="K240" s="202"/>
    </row>
    <row r="241" spans="2:12" hidden="1" outlineLevel="2" x14ac:dyDescent="0.25">
      <c r="B241" s="194" t="s">
        <v>191</v>
      </c>
      <c r="C241" s="195" t="s">
        <v>194</v>
      </c>
      <c r="D241" s="196">
        <v>8185.308348536948</v>
      </c>
      <c r="E241" s="196">
        <v>0</v>
      </c>
      <c r="F241" s="196">
        <v>0</v>
      </c>
      <c r="G241" s="196">
        <v>8185.308348536948</v>
      </c>
      <c r="H241" s="196">
        <v>0</v>
      </c>
      <c r="I241" s="196">
        <v>0</v>
      </c>
      <c r="J241" s="196">
        <v>0</v>
      </c>
      <c r="K241" s="196">
        <v>0</v>
      </c>
      <c r="L241" s="148"/>
    </row>
    <row r="242" spans="2:12" hidden="1" outlineLevel="3" x14ac:dyDescent="0.25">
      <c r="B242" s="197" t="s">
        <v>192</v>
      </c>
      <c r="C242" s="198" t="s">
        <v>194</v>
      </c>
      <c r="D242" s="199">
        <v>8185.308348536948</v>
      </c>
      <c r="E242" s="199">
        <v>0</v>
      </c>
      <c r="F242" s="199">
        <v>0</v>
      </c>
      <c r="G242" s="199">
        <v>8185.308348536948</v>
      </c>
      <c r="H242" s="199">
        <v>0</v>
      </c>
      <c r="I242" s="199">
        <v>0</v>
      </c>
      <c r="J242" s="199">
        <v>0</v>
      </c>
      <c r="K242" s="199">
        <v>0</v>
      </c>
      <c r="L242" s="148"/>
    </row>
    <row r="243" spans="2:12" hidden="1" outlineLevel="4" x14ac:dyDescent="0.25">
      <c r="B243" s="200" t="s">
        <v>193</v>
      </c>
      <c r="C243" s="201" t="s">
        <v>670</v>
      </c>
      <c r="D243" s="202">
        <v>8185.308348536948</v>
      </c>
      <c r="E243" s="202"/>
      <c r="F243" s="202">
        <v>0</v>
      </c>
      <c r="G243" s="202">
        <v>8185.308348536948</v>
      </c>
      <c r="H243" s="202"/>
      <c r="I243" s="202"/>
      <c r="J243" s="202"/>
      <c r="K243" s="202"/>
    </row>
    <row r="244" spans="2:12" outlineLevel="1" collapsed="1" x14ac:dyDescent="0.25">
      <c r="B244" s="180" t="s">
        <v>44</v>
      </c>
      <c r="C244" s="192" t="s">
        <v>14</v>
      </c>
      <c r="D244" s="193">
        <v>173937.80240641013</v>
      </c>
      <c r="E244" s="193">
        <v>0</v>
      </c>
      <c r="F244" s="193">
        <v>0</v>
      </c>
      <c r="G244" s="193">
        <v>173937.80240641013</v>
      </c>
      <c r="H244" s="193">
        <v>0</v>
      </c>
      <c r="I244" s="193">
        <v>0</v>
      </c>
      <c r="J244" s="193">
        <v>0</v>
      </c>
      <c r="K244" s="193">
        <v>0</v>
      </c>
      <c r="L244" s="148"/>
    </row>
    <row r="245" spans="2:12" hidden="1" outlineLevel="2" x14ac:dyDescent="0.25">
      <c r="B245" s="194" t="s">
        <v>195</v>
      </c>
      <c r="C245" s="195" t="s">
        <v>309</v>
      </c>
      <c r="D245" s="196">
        <v>17393.780240641016</v>
      </c>
      <c r="E245" s="196">
        <v>0</v>
      </c>
      <c r="F245" s="196">
        <v>0</v>
      </c>
      <c r="G245" s="196">
        <v>17393.780240641016</v>
      </c>
      <c r="H245" s="196">
        <v>0</v>
      </c>
      <c r="I245" s="196">
        <v>0</v>
      </c>
      <c r="J245" s="196">
        <v>0</v>
      </c>
      <c r="K245" s="196">
        <v>0</v>
      </c>
      <c r="L245" s="148"/>
    </row>
    <row r="246" spans="2:12" hidden="1" outlineLevel="3" x14ac:dyDescent="0.25">
      <c r="B246" s="197" t="s">
        <v>196</v>
      </c>
      <c r="C246" s="198" t="s">
        <v>198</v>
      </c>
      <c r="D246" s="199">
        <v>17393.780240641016</v>
      </c>
      <c r="E246" s="199">
        <v>0</v>
      </c>
      <c r="F246" s="199">
        <v>0</v>
      </c>
      <c r="G246" s="199">
        <v>17393.780240641016</v>
      </c>
      <c r="H246" s="199">
        <v>0</v>
      </c>
      <c r="I246" s="199">
        <v>0</v>
      </c>
      <c r="J246" s="199">
        <v>0</v>
      </c>
      <c r="K246" s="199">
        <v>0</v>
      </c>
      <c r="L246" s="148"/>
    </row>
    <row r="247" spans="2:12" hidden="1" outlineLevel="4" x14ac:dyDescent="0.25">
      <c r="B247" s="200" t="s">
        <v>197</v>
      </c>
      <c r="C247" s="201" t="s">
        <v>673</v>
      </c>
      <c r="D247" s="202">
        <v>17393.780240641016</v>
      </c>
      <c r="E247" s="202"/>
      <c r="F247" s="202">
        <v>0</v>
      </c>
      <c r="G247" s="202">
        <v>17393.780240641016</v>
      </c>
      <c r="H247" s="202"/>
      <c r="I247" s="202"/>
      <c r="J247" s="202"/>
      <c r="K247" s="202"/>
    </row>
    <row r="248" spans="2:12" hidden="1" outlineLevel="2" x14ac:dyDescent="0.25">
      <c r="B248" s="194" t="s">
        <v>199</v>
      </c>
      <c r="C248" s="195" t="s">
        <v>310</v>
      </c>
      <c r="D248" s="196">
        <v>156544.02216576913</v>
      </c>
      <c r="E248" s="196">
        <v>0</v>
      </c>
      <c r="F248" s="196">
        <v>0</v>
      </c>
      <c r="G248" s="196">
        <v>156544.02216576913</v>
      </c>
      <c r="H248" s="196">
        <v>0</v>
      </c>
      <c r="I248" s="196">
        <v>0</v>
      </c>
      <c r="J248" s="196">
        <v>0</v>
      </c>
      <c r="K248" s="196">
        <v>0</v>
      </c>
      <c r="L248" s="148"/>
    </row>
    <row r="249" spans="2:12" hidden="1" outlineLevel="3" x14ac:dyDescent="0.25">
      <c r="B249" s="197" t="s">
        <v>200</v>
      </c>
      <c r="C249" s="198" t="s">
        <v>202</v>
      </c>
      <c r="D249" s="199">
        <v>156544.02216576913</v>
      </c>
      <c r="E249" s="199">
        <v>0</v>
      </c>
      <c r="F249" s="199">
        <v>0</v>
      </c>
      <c r="G249" s="199">
        <v>156544.02216576913</v>
      </c>
      <c r="H249" s="199">
        <v>0</v>
      </c>
      <c r="I249" s="199">
        <v>0</v>
      </c>
      <c r="J249" s="199">
        <v>0</v>
      </c>
      <c r="K249" s="199">
        <v>0</v>
      </c>
      <c r="L249" s="148"/>
    </row>
    <row r="250" spans="2:12" hidden="1" outlineLevel="4" x14ac:dyDescent="0.25">
      <c r="B250" s="200" t="s">
        <v>201</v>
      </c>
      <c r="C250" s="201" t="s">
        <v>675</v>
      </c>
      <c r="D250" s="202">
        <v>156544.02216576913</v>
      </c>
      <c r="E250" s="202"/>
      <c r="F250" s="202">
        <v>0</v>
      </c>
      <c r="G250" s="202">
        <v>156544.02216576913</v>
      </c>
      <c r="H250" s="202"/>
      <c r="I250" s="202"/>
      <c r="J250" s="202"/>
      <c r="K250" s="202"/>
    </row>
    <row r="251" spans="2:12" outlineLevel="1" collapsed="1" x14ac:dyDescent="0.25">
      <c r="B251" s="180" t="s">
        <v>45</v>
      </c>
      <c r="C251" s="192" t="s">
        <v>15</v>
      </c>
      <c r="D251" s="193">
        <v>61167.489238709684</v>
      </c>
      <c r="E251" s="193">
        <v>0</v>
      </c>
      <c r="F251" s="193">
        <v>440</v>
      </c>
      <c r="G251" s="193">
        <v>61167.489238709684</v>
      </c>
      <c r="H251" s="193">
        <v>0</v>
      </c>
      <c r="I251" s="193">
        <v>0</v>
      </c>
      <c r="J251" s="193">
        <v>0</v>
      </c>
      <c r="K251" s="193">
        <v>0</v>
      </c>
      <c r="L251" s="148"/>
    </row>
    <row r="252" spans="2:12" hidden="1" outlineLevel="2" x14ac:dyDescent="0.25">
      <c r="B252" s="194" t="s">
        <v>203</v>
      </c>
      <c r="C252" s="195" t="s">
        <v>313</v>
      </c>
      <c r="D252" s="196">
        <v>24079.053367741933</v>
      </c>
      <c r="E252" s="196">
        <v>0</v>
      </c>
      <c r="F252" s="196">
        <v>160</v>
      </c>
      <c r="G252" s="196">
        <v>24079.053367741933</v>
      </c>
      <c r="H252" s="196">
        <v>0</v>
      </c>
      <c r="I252" s="196">
        <v>0</v>
      </c>
      <c r="J252" s="196">
        <v>0</v>
      </c>
      <c r="K252" s="196">
        <v>0</v>
      </c>
      <c r="L252" s="148"/>
    </row>
    <row r="253" spans="2:12" hidden="1" outlineLevel="3" x14ac:dyDescent="0.25">
      <c r="B253" s="197" t="s">
        <v>204</v>
      </c>
      <c r="C253" s="198" t="s">
        <v>206</v>
      </c>
      <c r="D253" s="199">
        <v>2719.5623225806457</v>
      </c>
      <c r="E253" s="199">
        <v>0</v>
      </c>
      <c r="F253" s="199">
        <v>40</v>
      </c>
      <c r="G253" s="199">
        <v>2719.5623225806457</v>
      </c>
      <c r="H253" s="199">
        <v>0</v>
      </c>
      <c r="I253" s="199">
        <v>0</v>
      </c>
      <c r="J253" s="199">
        <v>0</v>
      </c>
      <c r="K253" s="199">
        <v>0</v>
      </c>
      <c r="L253" s="148"/>
    </row>
    <row r="254" spans="2:12" hidden="1" outlineLevel="4" x14ac:dyDescent="0.25">
      <c r="B254" s="200" t="s">
        <v>205</v>
      </c>
      <c r="C254" s="201" t="s">
        <v>678</v>
      </c>
      <c r="D254" s="202">
        <v>2719.5623225806457</v>
      </c>
      <c r="E254" s="202"/>
      <c r="F254" s="202">
        <v>40</v>
      </c>
      <c r="G254" s="202">
        <v>2719.5623225806457</v>
      </c>
      <c r="H254" s="202"/>
      <c r="I254" s="202"/>
      <c r="J254" s="202"/>
      <c r="K254" s="202"/>
    </row>
    <row r="255" spans="2:12" hidden="1" outlineLevel="3" x14ac:dyDescent="0.25">
      <c r="B255" s="197" t="s">
        <v>207</v>
      </c>
      <c r="C255" s="198" t="s">
        <v>209</v>
      </c>
      <c r="D255" s="199">
        <v>21359.491045161289</v>
      </c>
      <c r="E255" s="199">
        <v>0</v>
      </c>
      <c r="F255" s="199">
        <v>120</v>
      </c>
      <c r="G255" s="199">
        <v>21359.491045161289</v>
      </c>
      <c r="H255" s="199">
        <v>0</v>
      </c>
      <c r="I255" s="199">
        <v>0</v>
      </c>
      <c r="J255" s="199">
        <v>0</v>
      </c>
      <c r="K255" s="199">
        <v>0</v>
      </c>
      <c r="L255" s="148"/>
    </row>
    <row r="256" spans="2:12" hidden="1" outlineLevel="4" x14ac:dyDescent="0.25">
      <c r="B256" s="200" t="s">
        <v>208</v>
      </c>
      <c r="C256" s="201" t="s">
        <v>679</v>
      </c>
      <c r="D256" s="202">
        <v>21359.491045161289</v>
      </c>
      <c r="E256" s="202"/>
      <c r="F256" s="202">
        <v>120</v>
      </c>
      <c r="G256" s="202">
        <v>21359.491045161289</v>
      </c>
      <c r="H256" s="202"/>
      <c r="I256" s="202"/>
      <c r="J256" s="202"/>
      <c r="K256" s="202"/>
    </row>
    <row r="257" spans="2:12" hidden="1" outlineLevel="2" x14ac:dyDescent="0.25">
      <c r="B257" s="194" t="s">
        <v>210</v>
      </c>
      <c r="C257" s="195" t="s">
        <v>322</v>
      </c>
      <c r="D257" s="196">
        <v>34271.341625806454</v>
      </c>
      <c r="E257" s="196">
        <v>0</v>
      </c>
      <c r="F257" s="196">
        <v>240</v>
      </c>
      <c r="G257" s="196">
        <v>34271.341625806454</v>
      </c>
      <c r="H257" s="196">
        <v>0</v>
      </c>
      <c r="I257" s="196">
        <v>0</v>
      </c>
      <c r="J257" s="196">
        <v>0</v>
      </c>
      <c r="K257" s="196">
        <v>0</v>
      </c>
      <c r="L257" s="148"/>
    </row>
    <row r="258" spans="2:12" hidden="1" outlineLevel="3" x14ac:dyDescent="0.25">
      <c r="B258" s="197" t="s">
        <v>330</v>
      </c>
      <c r="C258" s="198" t="s">
        <v>213</v>
      </c>
      <c r="D258" s="199">
        <v>5439.1246451612915</v>
      </c>
      <c r="E258" s="199">
        <v>0</v>
      </c>
      <c r="F258" s="199">
        <v>80</v>
      </c>
      <c r="G258" s="199">
        <v>5439.1246451612915</v>
      </c>
      <c r="H258" s="199">
        <v>0</v>
      </c>
      <c r="I258" s="199">
        <v>0</v>
      </c>
      <c r="J258" s="199">
        <v>0</v>
      </c>
      <c r="K258" s="199">
        <v>0</v>
      </c>
      <c r="L258" s="148"/>
    </row>
    <row r="259" spans="2:12" hidden="1" outlineLevel="4" x14ac:dyDescent="0.25">
      <c r="B259" s="200" t="s">
        <v>331</v>
      </c>
      <c r="C259" s="201" t="s">
        <v>681</v>
      </c>
      <c r="D259" s="202">
        <v>5439.1246451612915</v>
      </c>
      <c r="E259" s="202"/>
      <c r="F259" s="202">
        <v>80</v>
      </c>
      <c r="G259" s="202">
        <v>5439.1246451612915</v>
      </c>
      <c r="H259" s="202"/>
      <c r="I259" s="202"/>
      <c r="J259" s="202"/>
      <c r="K259" s="202"/>
    </row>
    <row r="260" spans="2:12" hidden="1" outlineLevel="3" x14ac:dyDescent="0.25">
      <c r="B260" s="197" t="s">
        <v>211</v>
      </c>
      <c r="C260" s="198" t="s">
        <v>213</v>
      </c>
      <c r="D260" s="199">
        <v>28832.216980645164</v>
      </c>
      <c r="E260" s="199">
        <v>0</v>
      </c>
      <c r="F260" s="199">
        <v>160</v>
      </c>
      <c r="G260" s="199">
        <v>28832.216980645164</v>
      </c>
      <c r="H260" s="199">
        <v>0</v>
      </c>
      <c r="I260" s="199">
        <v>0</v>
      </c>
      <c r="J260" s="199">
        <v>0</v>
      </c>
      <c r="K260" s="199">
        <v>0</v>
      </c>
      <c r="L260" s="148"/>
    </row>
    <row r="261" spans="2:12" hidden="1" outlineLevel="4" x14ac:dyDescent="0.25">
      <c r="B261" s="200" t="s">
        <v>212</v>
      </c>
      <c r="C261" s="201" t="s">
        <v>682</v>
      </c>
      <c r="D261" s="202">
        <v>28832.216980645164</v>
      </c>
      <c r="E261" s="202"/>
      <c r="F261" s="202">
        <v>160</v>
      </c>
      <c r="G261" s="202">
        <v>28832.216980645164</v>
      </c>
      <c r="H261" s="202"/>
      <c r="I261" s="202"/>
      <c r="J261" s="202"/>
      <c r="K261" s="202"/>
    </row>
    <row r="262" spans="2:12" hidden="1" outlineLevel="2" x14ac:dyDescent="0.25">
      <c r="B262" s="194" t="s">
        <v>328</v>
      </c>
      <c r="C262" s="195" t="s">
        <v>329</v>
      </c>
      <c r="D262" s="196">
        <v>2817.0942451612909</v>
      </c>
      <c r="E262" s="196">
        <v>0</v>
      </c>
      <c r="F262" s="196">
        <v>40</v>
      </c>
      <c r="G262" s="196">
        <v>2817.0942451612909</v>
      </c>
      <c r="H262" s="196">
        <v>0</v>
      </c>
      <c r="I262" s="196">
        <v>0</v>
      </c>
      <c r="J262" s="196">
        <v>0</v>
      </c>
      <c r="K262" s="196">
        <v>0</v>
      </c>
      <c r="L262" s="148"/>
    </row>
    <row r="263" spans="2:12" hidden="1" outlineLevel="3" x14ac:dyDescent="0.25">
      <c r="B263" s="197" t="s">
        <v>340</v>
      </c>
      <c r="C263" s="198" t="s">
        <v>341</v>
      </c>
      <c r="D263" s="199">
        <v>2817.0942451612909</v>
      </c>
      <c r="E263" s="199">
        <v>0</v>
      </c>
      <c r="F263" s="199">
        <v>40</v>
      </c>
      <c r="G263" s="199">
        <v>2817.0942451612909</v>
      </c>
      <c r="H263" s="199">
        <v>0</v>
      </c>
      <c r="I263" s="199">
        <v>0</v>
      </c>
      <c r="J263" s="199">
        <v>0</v>
      </c>
      <c r="K263" s="199">
        <v>0</v>
      </c>
      <c r="L263" s="148"/>
    </row>
    <row r="264" spans="2:12" hidden="1" outlineLevel="4" x14ac:dyDescent="0.25">
      <c r="B264" s="200" t="s">
        <v>342</v>
      </c>
      <c r="C264" s="201" t="s">
        <v>687</v>
      </c>
      <c r="D264" s="202">
        <v>2817.0942451612909</v>
      </c>
      <c r="E264" s="202"/>
      <c r="F264" s="202">
        <v>40</v>
      </c>
      <c r="G264" s="202">
        <v>2817.0942451612909</v>
      </c>
      <c r="H264" s="202"/>
      <c r="I264" s="202"/>
      <c r="J264" s="202"/>
      <c r="K264" s="202"/>
    </row>
    <row r="265" spans="2:12" outlineLevel="1" collapsed="1" x14ac:dyDescent="0.25">
      <c r="B265" s="180" t="s">
        <v>46</v>
      </c>
      <c r="C265" s="192" t="s">
        <v>224</v>
      </c>
      <c r="D265" s="193">
        <v>146936.84671327434</v>
      </c>
      <c r="E265" s="193">
        <v>0</v>
      </c>
      <c r="F265" s="193">
        <v>0</v>
      </c>
      <c r="G265" s="193">
        <v>0</v>
      </c>
      <c r="H265" s="193">
        <v>146936.84671327434</v>
      </c>
      <c r="I265" s="193">
        <v>0</v>
      </c>
      <c r="J265" s="193">
        <v>0</v>
      </c>
      <c r="K265" s="193">
        <v>0</v>
      </c>
      <c r="L265" s="148"/>
    </row>
    <row r="266" spans="2:12" hidden="1" outlineLevel="2" x14ac:dyDescent="0.25">
      <c r="B266" s="194" t="s">
        <v>338</v>
      </c>
      <c r="C266" s="195" t="s">
        <v>339</v>
      </c>
      <c r="D266" s="196">
        <v>146936.84671327434</v>
      </c>
      <c r="E266" s="196">
        <v>0</v>
      </c>
      <c r="F266" s="196">
        <v>0</v>
      </c>
      <c r="G266" s="196">
        <v>0</v>
      </c>
      <c r="H266" s="196">
        <v>146936.84671327434</v>
      </c>
      <c r="I266" s="196">
        <v>0</v>
      </c>
      <c r="J266" s="196">
        <v>0</v>
      </c>
      <c r="K266" s="196">
        <v>0</v>
      </c>
      <c r="L266" s="148"/>
    </row>
    <row r="267" spans="2:12" hidden="1" outlineLevel="3" x14ac:dyDescent="0.25">
      <c r="B267" s="197" t="s">
        <v>382</v>
      </c>
      <c r="C267" s="198" t="s">
        <v>383</v>
      </c>
      <c r="D267" s="199">
        <v>127011.56413097345</v>
      </c>
      <c r="E267" s="199">
        <v>0</v>
      </c>
      <c r="F267" s="199">
        <v>0</v>
      </c>
      <c r="G267" s="199">
        <v>0</v>
      </c>
      <c r="H267" s="199">
        <v>127011.56413097345</v>
      </c>
      <c r="I267" s="199">
        <v>0</v>
      </c>
      <c r="J267" s="199">
        <v>0</v>
      </c>
      <c r="K267" s="199">
        <v>0</v>
      </c>
      <c r="L267" s="148"/>
    </row>
    <row r="268" spans="2:12" hidden="1" outlineLevel="4" x14ac:dyDescent="0.25">
      <c r="B268" s="200" t="s">
        <v>387</v>
      </c>
      <c r="C268" s="201" t="s">
        <v>852</v>
      </c>
      <c r="D268" s="202">
        <v>127011.56413097345</v>
      </c>
      <c r="E268" s="202"/>
      <c r="F268" s="202"/>
      <c r="G268" s="202"/>
      <c r="H268" s="202">
        <v>127011.56413097345</v>
      </c>
      <c r="I268" s="202"/>
      <c r="J268" s="202"/>
      <c r="K268" s="202"/>
    </row>
    <row r="269" spans="2:12" hidden="1" outlineLevel="3" x14ac:dyDescent="0.25">
      <c r="B269" s="197" t="s">
        <v>385</v>
      </c>
      <c r="C269" s="198" t="s">
        <v>386</v>
      </c>
      <c r="D269" s="199">
        <v>19925.28258230089</v>
      </c>
      <c r="E269" s="199">
        <v>0</v>
      </c>
      <c r="F269" s="199">
        <v>0</v>
      </c>
      <c r="G269" s="199">
        <v>0</v>
      </c>
      <c r="H269" s="199">
        <v>19925.28258230089</v>
      </c>
      <c r="I269" s="199">
        <v>0</v>
      </c>
      <c r="J269" s="199">
        <v>0</v>
      </c>
      <c r="K269" s="199">
        <v>0</v>
      </c>
      <c r="L269" s="148"/>
    </row>
    <row r="270" spans="2:12" hidden="1" outlineLevel="4" x14ac:dyDescent="0.25">
      <c r="B270" s="200" t="s">
        <v>388</v>
      </c>
      <c r="C270" s="201" t="s">
        <v>710</v>
      </c>
      <c r="D270" s="202">
        <v>19925.28258230089</v>
      </c>
      <c r="E270" s="202"/>
      <c r="F270" s="202"/>
      <c r="G270" s="202"/>
      <c r="H270" s="202">
        <v>19925.28258230089</v>
      </c>
      <c r="I270" s="202"/>
      <c r="J270" s="202"/>
      <c r="K270" s="202"/>
    </row>
    <row r="271" spans="2:12" outlineLevel="1" collapsed="1" x14ac:dyDescent="0.25">
      <c r="B271" s="180" t="s">
        <v>47</v>
      </c>
      <c r="C271" s="192" t="s">
        <v>237</v>
      </c>
      <c r="D271" s="193">
        <v>1389426.2274102001</v>
      </c>
      <c r="E271" s="193">
        <v>0</v>
      </c>
      <c r="F271" s="193">
        <v>7090.2</v>
      </c>
      <c r="G271" s="193">
        <v>1280252.1486742001</v>
      </c>
      <c r="H271" s="193">
        <v>0</v>
      </c>
      <c r="I271" s="193">
        <v>0</v>
      </c>
      <c r="J271" s="193">
        <v>109174.078736</v>
      </c>
      <c r="K271" s="193">
        <v>0</v>
      </c>
      <c r="L271" s="148"/>
    </row>
    <row r="272" spans="2:12" hidden="1" outlineLevel="2" x14ac:dyDescent="0.25">
      <c r="B272" s="194" t="s">
        <v>238</v>
      </c>
      <c r="C272" s="195" t="s">
        <v>347</v>
      </c>
      <c r="D272" s="196">
        <v>87309.861206200017</v>
      </c>
      <c r="E272" s="196">
        <v>0</v>
      </c>
      <c r="F272" s="196">
        <v>320</v>
      </c>
      <c r="G272" s="196">
        <v>87309.861206200017</v>
      </c>
      <c r="H272" s="196">
        <v>0</v>
      </c>
      <c r="I272" s="196">
        <v>0</v>
      </c>
      <c r="J272" s="196">
        <v>0</v>
      </c>
      <c r="K272" s="196">
        <v>0</v>
      </c>
      <c r="L272" s="148"/>
    </row>
    <row r="273" spans="2:12" hidden="1" outlineLevel="3" x14ac:dyDescent="0.25">
      <c r="B273" s="197" t="s">
        <v>239</v>
      </c>
      <c r="C273" s="198" t="s">
        <v>400</v>
      </c>
      <c r="D273" s="199">
        <v>21146.70752</v>
      </c>
      <c r="E273" s="199">
        <v>0</v>
      </c>
      <c r="F273" s="199">
        <v>320</v>
      </c>
      <c r="G273" s="199">
        <v>21146.70752</v>
      </c>
      <c r="H273" s="199">
        <v>0</v>
      </c>
      <c r="I273" s="199">
        <v>0</v>
      </c>
      <c r="J273" s="199">
        <v>0</v>
      </c>
      <c r="K273" s="199">
        <v>0</v>
      </c>
      <c r="L273" s="148"/>
    </row>
    <row r="274" spans="2:12" hidden="1" outlineLevel="4" x14ac:dyDescent="0.25">
      <c r="B274" s="200" t="s">
        <v>240</v>
      </c>
      <c r="C274" s="201" t="s">
        <v>727</v>
      </c>
      <c r="D274" s="202">
        <v>21146.70752</v>
      </c>
      <c r="E274" s="202"/>
      <c r="F274" s="202">
        <v>320</v>
      </c>
      <c r="G274" s="202">
        <v>21146.70752</v>
      </c>
      <c r="H274" s="202"/>
      <c r="I274" s="202"/>
      <c r="J274" s="202"/>
      <c r="K274" s="202"/>
    </row>
    <row r="275" spans="2:12" hidden="1" outlineLevel="3" x14ac:dyDescent="0.25">
      <c r="B275" s="197" t="s">
        <v>241</v>
      </c>
      <c r="C275" s="198" t="s">
        <v>243</v>
      </c>
      <c r="D275" s="199">
        <v>66163.153686200021</v>
      </c>
      <c r="E275" s="199">
        <v>0</v>
      </c>
      <c r="F275" s="199">
        <v>0</v>
      </c>
      <c r="G275" s="199">
        <v>66163.153686200021</v>
      </c>
      <c r="H275" s="199">
        <v>0</v>
      </c>
      <c r="I275" s="199">
        <v>0</v>
      </c>
      <c r="J275" s="199">
        <v>0</v>
      </c>
      <c r="K275" s="199">
        <v>0</v>
      </c>
      <c r="L275" s="148"/>
    </row>
    <row r="276" spans="2:12" hidden="1" outlineLevel="4" x14ac:dyDescent="0.25">
      <c r="B276" s="200" t="s">
        <v>242</v>
      </c>
      <c r="C276" s="201" t="s">
        <v>729</v>
      </c>
      <c r="D276" s="202">
        <v>66163.153686200021</v>
      </c>
      <c r="E276" s="202"/>
      <c r="F276" s="202">
        <v>0</v>
      </c>
      <c r="G276" s="202">
        <v>66163.153686200021</v>
      </c>
      <c r="H276" s="202"/>
      <c r="I276" s="202"/>
      <c r="J276" s="202"/>
      <c r="K276" s="202"/>
    </row>
    <row r="277" spans="2:12" hidden="1" outlineLevel="2" x14ac:dyDescent="0.25">
      <c r="B277" s="194" t="s">
        <v>249</v>
      </c>
      <c r="C277" s="195" t="s">
        <v>349</v>
      </c>
      <c r="D277" s="196">
        <v>1302116.3662039998</v>
      </c>
      <c r="E277" s="196">
        <v>0</v>
      </c>
      <c r="F277" s="196">
        <v>6770.2</v>
      </c>
      <c r="G277" s="196">
        <v>1192942.2874679998</v>
      </c>
      <c r="H277" s="196">
        <v>0</v>
      </c>
      <c r="I277" s="196">
        <v>0</v>
      </c>
      <c r="J277" s="196">
        <v>109174.078736</v>
      </c>
      <c r="K277" s="196">
        <v>0</v>
      </c>
      <c r="L277" s="148"/>
    </row>
    <row r="278" spans="2:12" hidden="1" outlineLevel="3" x14ac:dyDescent="0.25">
      <c r="B278" s="197" t="s">
        <v>254</v>
      </c>
      <c r="C278" s="198" t="s">
        <v>412</v>
      </c>
      <c r="D278" s="199">
        <v>50429.075215999997</v>
      </c>
      <c r="E278" s="199">
        <v>0</v>
      </c>
      <c r="F278" s="199">
        <v>262.2</v>
      </c>
      <c r="G278" s="199">
        <v>46200.921919999993</v>
      </c>
      <c r="H278" s="199">
        <v>0</v>
      </c>
      <c r="I278" s="199">
        <v>0</v>
      </c>
      <c r="J278" s="199">
        <v>4228.1532960000004</v>
      </c>
      <c r="K278" s="199">
        <v>0</v>
      </c>
      <c r="L278" s="148"/>
    </row>
    <row r="279" spans="2:12" hidden="1" outlineLevel="4" x14ac:dyDescent="0.25">
      <c r="B279" s="200" t="s">
        <v>440</v>
      </c>
      <c r="C279" s="201" t="s">
        <v>783</v>
      </c>
      <c r="D279" s="202">
        <v>50429.075215999997</v>
      </c>
      <c r="E279" s="202"/>
      <c r="F279" s="202">
        <v>262.2</v>
      </c>
      <c r="G279" s="202">
        <v>46200.921919999993</v>
      </c>
      <c r="H279" s="202"/>
      <c r="I279" s="202"/>
      <c r="J279" s="202">
        <v>4228.1532960000004</v>
      </c>
      <c r="K279" s="202"/>
    </row>
    <row r="280" spans="2:12" hidden="1" outlineLevel="3" x14ac:dyDescent="0.25">
      <c r="B280" s="197" t="s">
        <v>414</v>
      </c>
      <c r="C280" s="198" t="s">
        <v>415</v>
      </c>
      <c r="D280" s="199">
        <v>1251687.2909879999</v>
      </c>
      <c r="E280" s="199">
        <v>0</v>
      </c>
      <c r="F280" s="199">
        <v>6508</v>
      </c>
      <c r="G280" s="199">
        <v>1146741.365548</v>
      </c>
      <c r="H280" s="199">
        <v>0</v>
      </c>
      <c r="I280" s="199">
        <v>0</v>
      </c>
      <c r="J280" s="199">
        <v>104945.92543999999</v>
      </c>
      <c r="K280" s="199">
        <v>0</v>
      </c>
      <c r="L280" s="148"/>
    </row>
    <row r="281" spans="2:12" hidden="1" outlineLevel="4" x14ac:dyDescent="0.25">
      <c r="B281" s="200" t="s">
        <v>443</v>
      </c>
      <c r="C281" s="201" t="s">
        <v>865</v>
      </c>
      <c r="D281" s="202">
        <v>1251687.2909879999</v>
      </c>
      <c r="E281" s="202"/>
      <c r="F281" s="202">
        <v>6508</v>
      </c>
      <c r="G281" s="202">
        <v>1146741.365548</v>
      </c>
      <c r="H281" s="202"/>
      <c r="I281" s="202"/>
      <c r="J281" s="202">
        <v>104945.92543999999</v>
      </c>
      <c r="K281" s="202"/>
    </row>
    <row r="282" spans="2:12" outlineLevel="1" collapsed="1" x14ac:dyDescent="0.25">
      <c r="B282" s="180" t="s">
        <v>48</v>
      </c>
      <c r="C282" s="192" t="s">
        <v>16</v>
      </c>
      <c r="D282" s="193">
        <v>1814491.2187999999</v>
      </c>
      <c r="E282" s="193">
        <v>0</v>
      </c>
      <c r="F282" s="193">
        <v>7800</v>
      </c>
      <c r="G282" s="193">
        <v>1814491.2187999999</v>
      </c>
      <c r="H282" s="193">
        <v>0</v>
      </c>
      <c r="I282" s="193">
        <v>0</v>
      </c>
      <c r="J282" s="193">
        <v>0</v>
      </c>
      <c r="K282" s="193">
        <v>0</v>
      </c>
      <c r="L282" s="148"/>
    </row>
    <row r="283" spans="2:12" hidden="1" outlineLevel="2" x14ac:dyDescent="0.25">
      <c r="B283" s="194" t="s">
        <v>256</v>
      </c>
      <c r="C283" s="195" t="s">
        <v>352</v>
      </c>
      <c r="D283" s="196">
        <v>663104.93599999999</v>
      </c>
      <c r="E283" s="196">
        <v>0</v>
      </c>
      <c r="F283" s="196">
        <v>2600</v>
      </c>
      <c r="G283" s="196">
        <v>663104.93599999999</v>
      </c>
      <c r="H283" s="196">
        <v>0</v>
      </c>
      <c r="I283" s="196">
        <v>0</v>
      </c>
      <c r="J283" s="196">
        <v>0</v>
      </c>
      <c r="K283" s="196">
        <v>0</v>
      </c>
      <c r="L283" s="148"/>
    </row>
    <row r="284" spans="2:12" hidden="1" outlineLevel="3" x14ac:dyDescent="0.25">
      <c r="B284" s="197" t="s">
        <v>420</v>
      </c>
      <c r="C284" s="198" t="s">
        <v>421</v>
      </c>
      <c r="D284" s="199">
        <v>663104.93599999999</v>
      </c>
      <c r="E284" s="199">
        <v>0</v>
      </c>
      <c r="F284" s="199">
        <v>2600</v>
      </c>
      <c r="G284" s="199">
        <v>663104.93599999999</v>
      </c>
      <c r="H284" s="199">
        <v>0</v>
      </c>
      <c r="I284" s="199">
        <v>0</v>
      </c>
      <c r="J284" s="199">
        <v>0</v>
      </c>
      <c r="K284" s="199">
        <v>0</v>
      </c>
      <c r="L284" s="148"/>
    </row>
    <row r="285" spans="2:12" hidden="1" outlineLevel="4" x14ac:dyDescent="0.25">
      <c r="B285" s="200" t="s">
        <v>449</v>
      </c>
      <c r="C285" s="201" t="s">
        <v>799</v>
      </c>
      <c r="D285" s="202">
        <v>663104.93599999999</v>
      </c>
      <c r="E285" s="202"/>
      <c r="F285" s="202">
        <v>2600</v>
      </c>
      <c r="G285" s="202">
        <v>663104.93599999999</v>
      </c>
      <c r="H285" s="202"/>
      <c r="I285" s="202"/>
      <c r="J285" s="202"/>
      <c r="K285" s="202"/>
    </row>
    <row r="286" spans="2:12" hidden="1" outlineLevel="2" x14ac:dyDescent="0.25">
      <c r="B286" s="194" t="s">
        <v>257</v>
      </c>
      <c r="C286" s="195" t="s">
        <v>353</v>
      </c>
      <c r="D286" s="196">
        <v>1151386.2827999999</v>
      </c>
      <c r="E286" s="196">
        <v>0</v>
      </c>
      <c r="F286" s="196">
        <v>5200</v>
      </c>
      <c r="G286" s="196">
        <v>1151386.2827999999</v>
      </c>
      <c r="H286" s="196">
        <v>0</v>
      </c>
      <c r="I286" s="196">
        <v>0</v>
      </c>
      <c r="J286" s="196">
        <v>0</v>
      </c>
      <c r="K286" s="196">
        <v>0</v>
      </c>
      <c r="L286" s="148"/>
    </row>
    <row r="287" spans="2:12" hidden="1" outlineLevel="3" x14ac:dyDescent="0.25">
      <c r="B287" s="197" t="s">
        <v>423</v>
      </c>
      <c r="C287" s="198" t="s">
        <v>424</v>
      </c>
      <c r="D287" s="199">
        <v>1151386.2827999999</v>
      </c>
      <c r="E287" s="199">
        <v>0</v>
      </c>
      <c r="F287" s="199">
        <v>5200</v>
      </c>
      <c r="G287" s="199">
        <v>1151386.2827999999</v>
      </c>
      <c r="H287" s="199">
        <v>0</v>
      </c>
      <c r="I287" s="199">
        <v>0</v>
      </c>
      <c r="J287" s="199">
        <v>0</v>
      </c>
      <c r="K287" s="199">
        <v>0</v>
      </c>
      <c r="L287" s="148"/>
    </row>
    <row r="288" spans="2:12" hidden="1" outlineLevel="4" x14ac:dyDescent="0.25">
      <c r="B288" s="200" t="s">
        <v>450</v>
      </c>
      <c r="C288" s="201" t="s">
        <v>800</v>
      </c>
      <c r="D288" s="202">
        <v>1151386.2827999999</v>
      </c>
      <c r="E288" s="202"/>
      <c r="F288" s="202">
        <v>5200</v>
      </c>
      <c r="G288" s="202">
        <v>1151386.2827999999</v>
      </c>
      <c r="H288" s="202"/>
      <c r="I288" s="202"/>
      <c r="J288" s="202"/>
      <c r="K288" s="202"/>
    </row>
    <row r="289" spans="2:12" outlineLevel="1" collapsed="1" x14ac:dyDescent="0.25">
      <c r="B289" s="180" t="s">
        <v>49</v>
      </c>
      <c r="C289" s="192" t="s">
        <v>17</v>
      </c>
      <c r="D289" s="193">
        <v>96925.678302223372</v>
      </c>
      <c r="E289" s="193">
        <v>0</v>
      </c>
      <c r="F289" s="193">
        <v>674</v>
      </c>
      <c r="G289" s="193">
        <v>96925.678302223372</v>
      </c>
      <c r="H289" s="193">
        <v>0</v>
      </c>
      <c r="I289" s="193">
        <v>0</v>
      </c>
      <c r="J289" s="193">
        <v>0</v>
      </c>
      <c r="K289" s="193">
        <v>0</v>
      </c>
      <c r="L289" s="148"/>
    </row>
    <row r="290" spans="2:12" hidden="1" outlineLevel="2" x14ac:dyDescent="0.25">
      <c r="B290" s="194" t="s">
        <v>266</v>
      </c>
      <c r="C290" s="195" t="s">
        <v>356</v>
      </c>
      <c r="D290" s="196">
        <v>25029.792238591417</v>
      </c>
      <c r="E290" s="196">
        <v>0</v>
      </c>
      <c r="F290" s="196">
        <v>138</v>
      </c>
      <c r="G290" s="196">
        <v>25029.792238591417</v>
      </c>
      <c r="H290" s="196">
        <v>0</v>
      </c>
      <c r="I290" s="196">
        <v>0</v>
      </c>
      <c r="J290" s="196">
        <v>0</v>
      </c>
      <c r="K290" s="196">
        <v>0</v>
      </c>
      <c r="L290" s="148"/>
    </row>
    <row r="291" spans="2:12" hidden="1" outlineLevel="3" x14ac:dyDescent="0.25">
      <c r="B291" s="197" t="s">
        <v>270</v>
      </c>
      <c r="C291" s="198" t="s">
        <v>272</v>
      </c>
      <c r="D291" s="199">
        <v>25029.792238591417</v>
      </c>
      <c r="E291" s="199">
        <v>0</v>
      </c>
      <c r="F291" s="199">
        <v>138</v>
      </c>
      <c r="G291" s="199">
        <v>25029.792238591417</v>
      </c>
      <c r="H291" s="199">
        <v>0</v>
      </c>
      <c r="I291" s="199">
        <v>0</v>
      </c>
      <c r="J291" s="199">
        <v>0</v>
      </c>
      <c r="K291" s="199">
        <v>0</v>
      </c>
      <c r="L291" s="148"/>
    </row>
    <row r="292" spans="2:12" hidden="1" outlineLevel="4" x14ac:dyDescent="0.25">
      <c r="B292" s="200" t="s">
        <v>271</v>
      </c>
      <c r="C292" s="201" t="s">
        <v>804</v>
      </c>
      <c r="D292" s="202">
        <v>25029.792238591417</v>
      </c>
      <c r="E292" s="202"/>
      <c r="F292" s="202">
        <v>138</v>
      </c>
      <c r="G292" s="202">
        <v>25029.792238591417</v>
      </c>
      <c r="H292" s="202"/>
      <c r="I292" s="202"/>
      <c r="J292" s="202"/>
      <c r="K292" s="202"/>
    </row>
    <row r="293" spans="2:12" hidden="1" outlineLevel="2" x14ac:dyDescent="0.25">
      <c r="B293" s="194" t="s">
        <v>359</v>
      </c>
      <c r="C293" s="195" t="s">
        <v>360</v>
      </c>
      <c r="D293" s="196">
        <v>1790.1008245598191</v>
      </c>
      <c r="E293" s="196">
        <v>0</v>
      </c>
      <c r="F293" s="196">
        <v>24</v>
      </c>
      <c r="G293" s="196">
        <v>1790.1008245598191</v>
      </c>
      <c r="H293" s="196">
        <v>0</v>
      </c>
      <c r="I293" s="196">
        <v>0</v>
      </c>
      <c r="J293" s="196">
        <v>0</v>
      </c>
      <c r="K293" s="196">
        <v>0</v>
      </c>
      <c r="L293" s="148"/>
    </row>
    <row r="294" spans="2:12" hidden="1" outlineLevel="3" x14ac:dyDescent="0.25">
      <c r="B294" s="197" t="s">
        <v>429</v>
      </c>
      <c r="C294" s="198" t="s">
        <v>430</v>
      </c>
      <c r="D294" s="199">
        <v>1790.1008245598191</v>
      </c>
      <c r="E294" s="199">
        <v>0</v>
      </c>
      <c r="F294" s="199">
        <v>24</v>
      </c>
      <c r="G294" s="199">
        <v>1790.1008245598191</v>
      </c>
      <c r="H294" s="199">
        <v>0</v>
      </c>
      <c r="I294" s="199">
        <v>0</v>
      </c>
      <c r="J294" s="199">
        <v>0</v>
      </c>
      <c r="K294" s="199">
        <v>0</v>
      </c>
      <c r="L294" s="148"/>
    </row>
    <row r="295" spans="2:12" hidden="1" outlineLevel="4" x14ac:dyDescent="0.25">
      <c r="B295" s="200" t="s">
        <v>461</v>
      </c>
      <c r="C295" s="201" t="s">
        <v>807</v>
      </c>
      <c r="D295" s="202">
        <v>1790.1008245598191</v>
      </c>
      <c r="E295" s="202"/>
      <c r="F295" s="202">
        <v>24</v>
      </c>
      <c r="G295" s="202">
        <v>1790.1008245598191</v>
      </c>
      <c r="H295" s="202"/>
      <c r="I295" s="202"/>
      <c r="J295" s="202"/>
      <c r="K295" s="202"/>
    </row>
    <row r="296" spans="2:12" hidden="1" outlineLevel="2" x14ac:dyDescent="0.25">
      <c r="B296" s="194" t="s">
        <v>273</v>
      </c>
      <c r="C296" s="195" t="s">
        <v>361</v>
      </c>
      <c r="D296" s="196">
        <v>3104.7161355932203</v>
      </c>
      <c r="E296" s="196">
        <v>0</v>
      </c>
      <c r="F296" s="196">
        <v>40</v>
      </c>
      <c r="G296" s="196">
        <v>3104.7161355932203</v>
      </c>
      <c r="H296" s="196">
        <v>0</v>
      </c>
      <c r="I296" s="196">
        <v>0</v>
      </c>
      <c r="J296" s="196">
        <v>0</v>
      </c>
      <c r="K296" s="196">
        <v>0</v>
      </c>
      <c r="L296" s="148"/>
    </row>
    <row r="297" spans="2:12" hidden="1" outlineLevel="3" x14ac:dyDescent="0.25">
      <c r="B297" s="197" t="s">
        <v>274</v>
      </c>
      <c r="C297" s="198" t="s">
        <v>276</v>
      </c>
      <c r="D297" s="199">
        <v>3104.7161355932203</v>
      </c>
      <c r="E297" s="199">
        <v>0</v>
      </c>
      <c r="F297" s="199">
        <v>40</v>
      </c>
      <c r="G297" s="199">
        <v>3104.7161355932203</v>
      </c>
      <c r="H297" s="199">
        <v>0</v>
      </c>
      <c r="I297" s="199">
        <v>0</v>
      </c>
      <c r="J297" s="199">
        <v>0</v>
      </c>
      <c r="K297" s="199">
        <v>0</v>
      </c>
      <c r="L297" s="148"/>
    </row>
    <row r="298" spans="2:12" hidden="1" outlineLevel="4" x14ac:dyDescent="0.25">
      <c r="B298" s="200" t="s">
        <v>275</v>
      </c>
      <c r="C298" s="201" t="s">
        <v>808</v>
      </c>
      <c r="D298" s="202">
        <v>3104.7161355932203</v>
      </c>
      <c r="E298" s="202"/>
      <c r="F298" s="202">
        <v>40</v>
      </c>
      <c r="G298" s="202">
        <v>3104.7161355932203</v>
      </c>
      <c r="H298" s="202"/>
      <c r="I298" s="202"/>
      <c r="J298" s="202"/>
      <c r="K298" s="202"/>
    </row>
    <row r="299" spans="2:12" hidden="1" outlineLevel="2" x14ac:dyDescent="0.25">
      <c r="B299" s="194" t="s">
        <v>277</v>
      </c>
      <c r="C299" s="195" t="s">
        <v>365</v>
      </c>
      <c r="D299" s="196">
        <v>2705.7181016949153</v>
      </c>
      <c r="E299" s="196">
        <v>0</v>
      </c>
      <c r="F299" s="196">
        <v>40</v>
      </c>
      <c r="G299" s="196">
        <v>2705.7181016949153</v>
      </c>
      <c r="H299" s="196">
        <v>0</v>
      </c>
      <c r="I299" s="196">
        <v>0</v>
      </c>
      <c r="J299" s="196">
        <v>0</v>
      </c>
      <c r="K299" s="196">
        <v>0</v>
      </c>
      <c r="L299" s="148"/>
    </row>
    <row r="300" spans="2:12" hidden="1" outlineLevel="3" x14ac:dyDescent="0.25">
      <c r="B300" s="197" t="s">
        <v>278</v>
      </c>
      <c r="C300" s="198" t="s">
        <v>280</v>
      </c>
      <c r="D300" s="199">
        <v>2705.7181016949153</v>
      </c>
      <c r="E300" s="199">
        <v>0</v>
      </c>
      <c r="F300" s="199">
        <v>40</v>
      </c>
      <c r="G300" s="199">
        <v>2705.7181016949153</v>
      </c>
      <c r="H300" s="199">
        <v>0</v>
      </c>
      <c r="I300" s="199">
        <v>0</v>
      </c>
      <c r="J300" s="199">
        <v>0</v>
      </c>
      <c r="K300" s="199">
        <v>0</v>
      </c>
      <c r="L300" s="148"/>
    </row>
    <row r="301" spans="2:12" hidden="1" outlineLevel="4" x14ac:dyDescent="0.25">
      <c r="B301" s="200" t="s">
        <v>279</v>
      </c>
      <c r="C301" s="201" t="s">
        <v>809</v>
      </c>
      <c r="D301" s="202">
        <v>2705.7181016949153</v>
      </c>
      <c r="E301" s="202"/>
      <c r="F301" s="202">
        <v>40</v>
      </c>
      <c r="G301" s="202">
        <v>2705.7181016949153</v>
      </c>
      <c r="H301" s="202"/>
      <c r="I301" s="202"/>
      <c r="J301" s="202"/>
      <c r="K301" s="202"/>
    </row>
    <row r="302" spans="2:12" hidden="1" outlineLevel="2" x14ac:dyDescent="0.25">
      <c r="B302" s="194" t="s">
        <v>369</v>
      </c>
      <c r="C302" s="195" t="s">
        <v>370</v>
      </c>
      <c r="D302" s="196">
        <v>2556.2611124643799</v>
      </c>
      <c r="E302" s="196">
        <v>0</v>
      </c>
      <c r="F302" s="196">
        <v>48</v>
      </c>
      <c r="G302" s="196">
        <v>2556.2611124643799</v>
      </c>
      <c r="H302" s="196">
        <v>0</v>
      </c>
      <c r="I302" s="196">
        <v>0</v>
      </c>
      <c r="J302" s="196">
        <v>0</v>
      </c>
      <c r="K302" s="196">
        <v>0</v>
      </c>
      <c r="L302" s="148"/>
    </row>
    <row r="303" spans="2:12" hidden="1" outlineLevel="3" x14ac:dyDescent="0.25">
      <c r="B303" s="197" t="s">
        <v>432</v>
      </c>
      <c r="C303" s="198" t="s">
        <v>433</v>
      </c>
      <c r="D303" s="199">
        <v>2556.2611124643799</v>
      </c>
      <c r="E303" s="199">
        <v>0</v>
      </c>
      <c r="F303" s="199">
        <v>48</v>
      </c>
      <c r="G303" s="199">
        <v>2556.2611124643799</v>
      </c>
      <c r="H303" s="199">
        <v>0</v>
      </c>
      <c r="I303" s="199">
        <v>0</v>
      </c>
      <c r="J303" s="199">
        <v>0</v>
      </c>
      <c r="K303" s="199">
        <v>0</v>
      </c>
      <c r="L303" s="148"/>
    </row>
    <row r="304" spans="2:12" hidden="1" outlineLevel="4" x14ac:dyDescent="0.25">
      <c r="B304" s="200" t="s">
        <v>462</v>
      </c>
      <c r="C304" s="201" t="s">
        <v>812</v>
      </c>
      <c r="D304" s="202">
        <v>2556.2611124643799</v>
      </c>
      <c r="E304" s="202"/>
      <c r="F304" s="202">
        <v>48</v>
      </c>
      <c r="G304" s="202">
        <v>2556.2611124643799</v>
      </c>
      <c r="H304" s="202"/>
      <c r="I304" s="202"/>
      <c r="J304" s="202"/>
      <c r="K304" s="202"/>
    </row>
    <row r="305" spans="2:12" hidden="1" outlineLevel="2" x14ac:dyDescent="0.25">
      <c r="B305" s="194" t="s">
        <v>284</v>
      </c>
      <c r="C305" s="195" t="s">
        <v>374</v>
      </c>
      <c r="D305" s="196">
        <v>2568.9001132075473</v>
      </c>
      <c r="E305" s="196">
        <v>0</v>
      </c>
      <c r="F305" s="196">
        <v>40</v>
      </c>
      <c r="G305" s="196">
        <v>2568.9001132075473</v>
      </c>
      <c r="H305" s="196">
        <v>0</v>
      </c>
      <c r="I305" s="196">
        <v>0</v>
      </c>
      <c r="J305" s="196">
        <v>0</v>
      </c>
      <c r="K305" s="196">
        <v>0</v>
      </c>
      <c r="L305" s="148"/>
    </row>
    <row r="306" spans="2:12" hidden="1" outlineLevel="3" x14ac:dyDescent="0.25">
      <c r="B306" s="197" t="s">
        <v>285</v>
      </c>
      <c r="C306" s="198" t="s">
        <v>287</v>
      </c>
      <c r="D306" s="199">
        <v>2568.9001132075473</v>
      </c>
      <c r="E306" s="199">
        <v>0</v>
      </c>
      <c r="F306" s="199">
        <v>40</v>
      </c>
      <c r="G306" s="199">
        <v>2568.9001132075473</v>
      </c>
      <c r="H306" s="199">
        <v>0</v>
      </c>
      <c r="I306" s="199">
        <v>0</v>
      </c>
      <c r="J306" s="199">
        <v>0</v>
      </c>
      <c r="K306" s="199">
        <v>0</v>
      </c>
      <c r="L306" s="148"/>
    </row>
    <row r="307" spans="2:12" hidden="1" outlineLevel="4" x14ac:dyDescent="0.25">
      <c r="B307" s="200" t="s">
        <v>286</v>
      </c>
      <c r="C307" s="201" t="s">
        <v>813</v>
      </c>
      <c r="D307" s="202">
        <v>2568.9001132075473</v>
      </c>
      <c r="E307" s="202"/>
      <c r="F307" s="202">
        <v>40</v>
      </c>
      <c r="G307" s="202">
        <v>2568.9001132075473</v>
      </c>
      <c r="H307" s="202"/>
      <c r="I307" s="202"/>
      <c r="J307" s="202"/>
      <c r="K307" s="202"/>
    </row>
    <row r="308" spans="2:12" hidden="1" outlineLevel="2" x14ac:dyDescent="0.25">
      <c r="B308" s="194" t="s">
        <v>288</v>
      </c>
      <c r="C308" s="195" t="s">
        <v>375</v>
      </c>
      <c r="D308" s="196">
        <v>59170.189776112071</v>
      </c>
      <c r="E308" s="196">
        <v>0</v>
      </c>
      <c r="F308" s="196">
        <v>344</v>
      </c>
      <c r="G308" s="196">
        <v>59170.189776112071</v>
      </c>
      <c r="H308" s="196">
        <v>0</v>
      </c>
      <c r="I308" s="196">
        <v>0</v>
      </c>
      <c r="J308" s="196">
        <v>0</v>
      </c>
      <c r="K308" s="196">
        <v>0</v>
      </c>
      <c r="L308" s="148"/>
    </row>
    <row r="309" spans="2:12" hidden="1" outlineLevel="3" x14ac:dyDescent="0.25">
      <c r="B309" s="197" t="s">
        <v>289</v>
      </c>
      <c r="C309" s="198" t="s">
        <v>291</v>
      </c>
      <c r="D309" s="199">
        <v>59170.189776112071</v>
      </c>
      <c r="E309" s="199">
        <v>0</v>
      </c>
      <c r="F309" s="199">
        <v>344</v>
      </c>
      <c r="G309" s="199">
        <v>59170.189776112071</v>
      </c>
      <c r="H309" s="199">
        <v>0</v>
      </c>
      <c r="I309" s="199">
        <v>0</v>
      </c>
      <c r="J309" s="199">
        <v>0</v>
      </c>
      <c r="K309" s="199">
        <v>0</v>
      </c>
      <c r="L309" s="148"/>
    </row>
    <row r="310" spans="2:12" hidden="1" outlineLevel="4" x14ac:dyDescent="0.25">
      <c r="B310" s="200" t="s">
        <v>290</v>
      </c>
      <c r="C310" s="201" t="s">
        <v>814</v>
      </c>
      <c r="D310" s="202">
        <v>59170.189776112071</v>
      </c>
      <c r="E310" s="202"/>
      <c r="F310" s="202">
        <v>344</v>
      </c>
      <c r="G310" s="202">
        <v>59170.189776112071</v>
      </c>
      <c r="H310" s="202"/>
      <c r="I310" s="202"/>
      <c r="J310" s="202"/>
      <c r="K310" s="202"/>
    </row>
    <row r="311" spans="2:12" outlineLevel="1" collapsed="1" x14ac:dyDescent="0.25">
      <c r="B311" s="180" t="s">
        <v>50</v>
      </c>
      <c r="C311" s="192" t="s">
        <v>18</v>
      </c>
      <c r="D311" s="193">
        <v>123476.220162</v>
      </c>
      <c r="E311" s="193">
        <v>0</v>
      </c>
      <c r="F311" s="193">
        <v>642</v>
      </c>
      <c r="G311" s="193">
        <v>113123.533602</v>
      </c>
      <c r="H311" s="193">
        <v>0</v>
      </c>
      <c r="I311" s="193">
        <v>0</v>
      </c>
      <c r="J311" s="193">
        <v>10352.686559999998</v>
      </c>
      <c r="K311" s="193">
        <v>0</v>
      </c>
      <c r="L311" s="148"/>
    </row>
    <row r="312" spans="2:12" hidden="1" outlineLevel="2" x14ac:dyDescent="0.25">
      <c r="B312" s="194" t="s">
        <v>380</v>
      </c>
      <c r="C312" s="195" t="s">
        <v>18</v>
      </c>
      <c r="D312" s="196">
        <v>123476.220162</v>
      </c>
      <c r="E312" s="196">
        <v>0</v>
      </c>
      <c r="F312" s="196">
        <v>642</v>
      </c>
      <c r="G312" s="196">
        <v>113123.533602</v>
      </c>
      <c r="H312" s="196">
        <v>0</v>
      </c>
      <c r="I312" s="196">
        <v>0</v>
      </c>
      <c r="J312" s="196">
        <v>10352.686559999998</v>
      </c>
      <c r="K312" s="196">
        <v>0</v>
      </c>
      <c r="L312" s="148"/>
    </row>
    <row r="313" spans="2:12" hidden="1" outlineLevel="3" x14ac:dyDescent="0.25">
      <c r="B313" s="197" t="s">
        <v>439</v>
      </c>
      <c r="C313" s="198" t="s">
        <v>18</v>
      </c>
      <c r="D313" s="199">
        <v>123476.220162</v>
      </c>
      <c r="E313" s="199">
        <v>0</v>
      </c>
      <c r="F313" s="199">
        <v>642</v>
      </c>
      <c r="G313" s="199">
        <v>113123.533602</v>
      </c>
      <c r="H313" s="199">
        <v>0</v>
      </c>
      <c r="I313" s="199">
        <v>0</v>
      </c>
      <c r="J313" s="199">
        <v>10352.686559999998</v>
      </c>
      <c r="K313" s="199">
        <v>0</v>
      </c>
      <c r="L313" s="148"/>
    </row>
    <row r="314" spans="2:12" hidden="1" outlineLevel="4" x14ac:dyDescent="0.25">
      <c r="B314" s="200" t="s">
        <v>463</v>
      </c>
      <c r="C314" s="201" t="s">
        <v>869</v>
      </c>
      <c r="D314" s="202">
        <v>123476.220162</v>
      </c>
      <c r="E314" s="202"/>
      <c r="F314" s="202">
        <v>642</v>
      </c>
      <c r="G314" s="202">
        <v>113123.533602</v>
      </c>
      <c r="H314" s="202"/>
      <c r="I314" s="202"/>
      <c r="J314" s="202">
        <v>10352.686559999998</v>
      </c>
      <c r="K314" s="202"/>
    </row>
    <row r="315" spans="2:12" outlineLevel="1" collapsed="1" x14ac:dyDescent="0.25">
      <c r="B315" s="180" t="s">
        <v>51</v>
      </c>
      <c r="C315" s="192" t="s">
        <v>19</v>
      </c>
      <c r="D315" s="193">
        <v>76400.07327227424</v>
      </c>
      <c r="E315" s="193">
        <v>0</v>
      </c>
      <c r="F315" s="193">
        <v>0</v>
      </c>
      <c r="G315" s="193">
        <v>0</v>
      </c>
      <c r="H315" s="193">
        <v>0</v>
      </c>
      <c r="I315" s="193">
        <v>0</v>
      </c>
      <c r="J315" s="193">
        <v>0</v>
      </c>
      <c r="K315" s="193">
        <v>76400.07327227424</v>
      </c>
      <c r="L315" s="148"/>
    </row>
    <row r="316" spans="2:12" hidden="1" outlineLevel="2" x14ac:dyDescent="0.25">
      <c r="B316" s="194" t="s">
        <v>176</v>
      </c>
      <c r="C316" s="195" t="s">
        <v>471</v>
      </c>
      <c r="D316" s="196">
        <v>76400.07327227424</v>
      </c>
      <c r="E316" s="196">
        <v>0</v>
      </c>
      <c r="F316" s="196">
        <v>0</v>
      </c>
      <c r="G316" s="196">
        <v>0</v>
      </c>
      <c r="H316" s="196">
        <v>0</v>
      </c>
      <c r="I316" s="196">
        <v>0</v>
      </c>
      <c r="J316" s="196">
        <v>0</v>
      </c>
      <c r="K316" s="196">
        <v>76400.07327227424</v>
      </c>
      <c r="L316" s="148"/>
    </row>
    <row r="317" spans="2:12" hidden="1" outlineLevel="3" x14ac:dyDescent="0.25">
      <c r="B317" s="197" t="s">
        <v>171</v>
      </c>
      <c r="C317" s="198" t="s">
        <v>471</v>
      </c>
      <c r="D317" s="199">
        <v>76400.07327227424</v>
      </c>
      <c r="E317" s="199">
        <v>0</v>
      </c>
      <c r="F317" s="199">
        <v>0</v>
      </c>
      <c r="G317" s="199">
        <v>0</v>
      </c>
      <c r="H317" s="199">
        <v>0</v>
      </c>
      <c r="I317" s="199">
        <v>0</v>
      </c>
      <c r="J317" s="199">
        <v>0</v>
      </c>
      <c r="K317" s="199">
        <v>76400.07327227424</v>
      </c>
      <c r="L317" s="148"/>
    </row>
    <row r="318" spans="2:12" hidden="1" outlineLevel="4" x14ac:dyDescent="0.25">
      <c r="B318" s="200" t="s">
        <v>175</v>
      </c>
      <c r="C318" s="201" t="s">
        <v>818</v>
      </c>
      <c r="D318" s="202">
        <v>76400.07327227424</v>
      </c>
      <c r="E318" s="202"/>
      <c r="F318" s="202"/>
      <c r="G318" s="202"/>
      <c r="H318" s="202"/>
      <c r="I318" s="202"/>
      <c r="J318" s="202"/>
      <c r="K318" s="202">
        <v>76400.07327227424</v>
      </c>
    </row>
    <row r="319" spans="2:12" outlineLevel="1" collapsed="1" x14ac:dyDescent="0.25">
      <c r="B319" s="180" t="s">
        <v>52</v>
      </c>
      <c r="C319" s="192" t="s">
        <v>20</v>
      </c>
      <c r="D319" s="193">
        <v>770000</v>
      </c>
      <c r="E319" s="193">
        <v>0</v>
      </c>
      <c r="F319" s="193">
        <v>0</v>
      </c>
      <c r="G319" s="193">
        <v>0</v>
      </c>
      <c r="H319" s="193">
        <v>0</v>
      </c>
      <c r="I319" s="193">
        <v>0</v>
      </c>
      <c r="J319" s="193">
        <v>0</v>
      </c>
      <c r="K319" s="193">
        <v>770000</v>
      </c>
      <c r="L319" s="148"/>
    </row>
    <row r="320" spans="2:12" hidden="1" outlineLevel="2" x14ac:dyDescent="0.25">
      <c r="B320" s="194" t="s">
        <v>391</v>
      </c>
      <c r="C320" s="195" t="s">
        <v>168</v>
      </c>
      <c r="D320" s="196">
        <v>770000</v>
      </c>
      <c r="E320" s="196">
        <v>0</v>
      </c>
      <c r="F320" s="196">
        <v>0</v>
      </c>
      <c r="G320" s="196">
        <v>0</v>
      </c>
      <c r="H320" s="196">
        <v>0</v>
      </c>
      <c r="I320" s="196">
        <v>0</v>
      </c>
      <c r="J320" s="196">
        <v>0</v>
      </c>
      <c r="K320" s="196">
        <v>770000</v>
      </c>
      <c r="L320" s="148"/>
    </row>
    <row r="321" spans="2:12" hidden="1" outlineLevel="3" x14ac:dyDescent="0.25">
      <c r="B321" s="197" t="s">
        <v>448</v>
      </c>
      <c r="C321" s="198" t="s">
        <v>168</v>
      </c>
      <c r="D321" s="199">
        <v>770000</v>
      </c>
      <c r="E321" s="199">
        <v>0</v>
      </c>
      <c r="F321" s="199">
        <v>0</v>
      </c>
      <c r="G321" s="199">
        <v>0</v>
      </c>
      <c r="H321" s="199">
        <v>0</v>
      </c>
      <c r="I321" s="199">
        <v>0</v>
      </c>
      <c r="J321" s="199">
        <v>0</v>
      </c>
      <c r="K321" s="199">
        <v>770000</v>
      </c>
      <c r="L321" s="148"/>
    </row>
    <row r="322" spans="2:12" hidden="1" outlineLevel="4" x14ac:dyDescent="0.25">
      <c r="B322" s="200" t="s">
        <v>167</v>
      </c>
      <c r="C322" s="201" t="s">
        <v>830</v>
      </c>
      <c r="D322" s="202">
        <v>770000</v>
      </c>
      <c r="E322" s="202"/>
      <c r="F322" s="202"/>
      <c r="G322" s="202"/>
      <c r="H322" s="202"/>
      <c r="I322" s="202"/>
      <c r="J322" s="202"/>
      <c r="K322" s="202">
        <v>770000</v>
      </c>
    </row>
    <row r="323" spans="2:12" outlineLevel="1" collapsed="1" x14ac:dyDescent="0.25">
      <c r="B323" s="180" t="s">
        <v>57</v>
      </c>
      <c r="C323" s="192" t="s">
        <v>21</v>
      </c>
      <c r="D323" s="193">
        <v>1921974.5197775369</v>
      </c>
      <c r="E323" s="193">
        <v>0</v>
      </c>
      <c r="F323" s="193">
        <v>0</v>
      </c>
      <c r="G323" s="193">
        <v>0</v>
      </c>
      <c r="H323" s="193">
        <v>0</v>
      </c>
      <c r="I323" s="193">
        <v>0</v>
      </c>
      <c r="J323" s="193">
        <v>0</v>
      </c>
      <c r="K323" s="193">
        <v>1921974.5197775369</v>
      </c>
      <c r="L323" s="148"/>
    </row>
    <row r="324" spans="2:12" hidden="1" outlineLevel="2" x14ac:dyDescent="0.25">
      <c r="B324" s="194" t="s">
        <v>402</v>
      </c>
      <c r="C324" s="195" t="s">
        <v>149</v>
      </c>
      <c r="D324" s="196">
        <v>55403.687978929644</v>
      </c>
      <c r="E324" s="196">
        <v>0</v>
      </c>
      <c r="F324" s="196">
        <v>0</v>
      </c>
      <c r="G324" s="196">
        <v>0</v>
      </c>
      <c r="H324" s="196">
        <v>0</v>
      </c>
      <c r="I324" s="196">
        <v>0</v>
      </c>
      <c r="J324" s="196">
        <v>0</v>
      </c>
      <c r="K324" s="196">
        <v>55403.687978929644</v>
      </c>
      <c r="L324" s="148"/>
    </row>
    <row r="325" spans="2:12" hidden="1" outlineLevel="3" x14ac:dyDescent="0.25">
      <c r="B325" s="197" t="s">
        <v>451</v>
      </c>
      <c r="C325" s="198" t="s">
        <v>149</v>
      </c>
      <c r="D325" s="199">
        <v>55403.687978929644</v>
      </c>
      <c r="E325" s="199">
        <v>0</v>
      </c>
      <c r="F325" s="199">
        <v>0</v>
      </c>
      <c r="G325" s="199">
        <v>0</v>
      </c>
      <c r="H325" s="199">
        <v>0</v>
      </c>
      <c r="I325" s="199">
        <v>0</v>
      </c>
      <c r="J325" s="199">
        <v>0</v>
      </c>
      <c r="K325" s="199">
        <v>55403.687978929644</v>
      </c>
      <c r="L325" s="148"/>
    </row>
    <row r="326" spans="2:12" hidden="1" outlineLevel="4" x14ac:dyDescent="0.25">
      <c r="B326" s="200" t="s">
        <v>140</v>
      </c>
      <c r="C326" s="201" t="s">
        <v>831</v>
      </c>
      <c r="D326" s="202">
        <v>55403.687978929644</v>
      </c>
      <c r="E326" s="202"/>
      <c r="F326" s="202"/>
      <c r="G326" s="202"/>
      <c r="H326" s="202"/>
      <c r="I326" s="202"/>
      <c r="J326" s="202"/>
      <c r="K326" s="202">
        <v>55403.687978929644</v>
      </c>
    </row>
    <row r="327" spans="2:12" hidden="1" outlineLevel="2" x14ac:dyDescent="0.25">
      <c r="B327" s="194" t="s">
        <v>403</v>
      </c>
      <c r="C327" s="195" t="s">
        <v>150</v>
      </c>
      <c r="D327" s="196">
        <v>26548.6773744497</v>
      </c>
      <c r="E327" s="196">
        <v>0</v>
      </c>
      <c r="F327" s="196">
        <v>0</v>
      </c>
      <c r="G327" s="196">
        <v>0</v>
      </c>
      <c r="H327" s="196">
        <v>0</v>
      </c>
      <c r="I327" s="196">
        <v>0</v>
      </c>
      <c r="J327" s="196">
        <v>0</v>
      </c>
      <c r="K327" s="196">
        <v>26548.6773744497</v>
      </c>
      <c r="L327" s="148"/>
    </row>
    <row r="328" spans="2:12" hidden="1" outlineLevel="3" x14ac:dyDescent="0.25">
      <c r="B328" s="197" t="s">
        <v>452</v>
      </c>
      <c r="C328" s="198" t="s">
        <v>150</v>
      </c>
      <c r="D328" s="199">
        <v>26548.6773744497</v>
      </c>
      <c r="E328" s="199">
        <v>0</v>
      </c>
      <c r="F328" s="199">
        <v>0</v>
      </c>
      <c r="G328" s="199">
        <v>0</v>
      </c>
      <c r="H328" s="199">
        <v>0</v>
      </c>
      <c r="I328" s="199">
        <v>0</v>
      </c>
      <c r="J328" s="199">
        <v>0</v>
      </c>
      <c r="K328" s="199">
        <v>26548.6773744497</v>
      </c>
      <c r="L328" s="148"/>
    </row>
    <row r="329" spans="2:12" hidden="1" outlineLevel="4" x14ac:dyDescent="0.25">
      <c r="B329" s="200" t="s">
        <v>141</v>
      </c>
      <c r="C329" s="201" t="s">
        <v>833</v>
      </c>
      <c r="D329" s="202">
        <v>26548.6773744497</v>
      </c>
      <c r="E329" s="202"/>
      <c r="F329" s="202"/>
      <c r="G329" s="202"/>
      <c r="H329" s="202"/>
      <c r="I329" s="202"/>
      <c r="J329" s="202"/>
      <c r="K329" s="202">
        <v>26548.6773744497</v>
      </c>
    </row>
    <row r="330" spans="2:12" hidden="1" outlineLevel="2" x14ac:dyDescent="0.25">
      <c r="B330" s="194" t="s">
        <v>405</v>
      </c>
      <c r="C330" s="195" t="s">
        <v>151</v>
      </c>
      <c r="D330" s="196">
        <v>10600.50500750406</v>
      </c>
      <c r="E330" s="196">
        <v>0</v>
      </c>
      <c r="F330" s="196">
        <v>0</v>
      </c>
      <c r="G330" s="196">
        <v>0</v>
      </c>
      <c r="H330" s="196">
        <v>0</v>
      </c>
      <c r="I330" s="196">
        <v>0</v>
      </c>
      <c r="J330" s="196">
        <v>0</v>
      </c>
      <c r="K330" s="196">
        <v>10600.50500750406</v>
      </c>
      <c r="L330" s="148"/>
    </row>
    <row r="331" spans="2:12" hidden="1" outlineLevel="3" x14ac:dyDescent="0.25">
      <c r="B331" s="197" t="s">
        <v>453</v>
      </c>
      <c r="C331" s="198" t="s">
        <v>151</v>
      </c>
      <c r="D331" s="199">
        <v>10600.50500750406</v>
      </c>
      <c r="E331" s="199">
        <v>0</v>
      </c>
      <c r="F331" s="199">
        <v>0</v>
      </c>
      <c r="G331" s="199">
        <v>0</v>
      </c>
      <c r="H331" s="199">
        <v>0</v>
      </c>
      <c r="I331" s="199">
        <v>0</v>
      </c>
      <c r="J331" s="199">
        <v>0</v>
      </c>
      <c r="K331" s="199">
        <v>10600.50500750406</v>
      </c>
      <c r="L331" s="148"/>
    </row>
    <row r="332" spans="2:12" hidden="1" outlineLevel="4" x14ac:dyDescent="0.25">
      <c r="B332" s="200" t="s">
        <v>142</v>
      </c>
      <c r="C332" s="201" t="s">
        <v>835</v>
      </c>
      <c r="D332" s="202">
        <v>10600.50500750406</v>
      </c>
      <c r="E332" s="202"/>
      <c r="F332" s="202"/>
      <c r="G332" s="202"/>
      <c r="H332" s="202"/>
      <c r="I332" s="202"/>
      <c r="J332" s="202"/>
      <c r="K332" s="202">
        <v>10600.50500750406</v>
      </c>
    </row>
    <row r="333" spans="2:12" hidden="1" outlineLevel="2" x14ac:dyDescent="0.25">
      <c r="B333" s="194" t="s">
        <v>407</v>
      </c>
      <c r="C333" s="195" t="s">
        <v>152</v>
      </c>
      <c r="D333" s="196">
        <v>1458437.1687861285</v>
      </c>
      <c r="E333" s="196">
        <v>0</v>
      </c>
      <c r="F333" s="196">
        <v>0</v>
      </c>
      <c r="G333" s="196">
        <v>0</v>
      </c>
      <c r="H333" s="196">
        <v>0</v>
      </c>
      <c r="I333" s="196">
        <v>0</v>
      </c>
      <c r="J333" s="196">
        <v>0</v>
      </c>
      <c r="K333" s="196">
        <v>1458437.1687861285</v>
      </c>
      <c r="L333" s="148"/>
    </row>
    <row r="334" spans="2:12" hidden="1" outlineLevel="3" x14ac:dyDescent="0.25">
      <c r="B334" s="197" t="s">
        <v>454</v>
      </c>
      <c r="C334" s="198" t="s">
        <v>152</v>
      </c>
      <c r="D334" s="199">
        <v>1458437.1687861285</v>
      </c>
      <c r="E334" s="199">
        <v>0</v>
      </c>
      <c r="F334" s="199">
        <v>0</v>
      </c>
      <c r="G334" s="199">
        <v>0</v>
      </c>
      <c r="H334" s="199">
        <v>0</v>
      </c>
      <c r="I334" s="199">
        <v>0</v>
      </c>
      <c r="J334" s="199">
        <v>0</v>
      </c>
      <c r="K334" s="199">
        <v>1458437.1687861285</v>
      </c>
      <c r="L334" s="148"/>
    </row>
    <row r="335" spans="2:12" hidden="1" outlineLevel="4" x14ac:dyDescent="0.25">
      <c r="B335" s="200" t="s">
        <v>143</v>
      </c>
      <c r="C335" s="201" t="s">
        <v>837</v>
      </c>
      <c r="D335" s="202">
        <v>1458437.1687861285</v>
      </c>
      <c r="E335" s="202"/>
      <c r="F335" s="202"/>
      <c r="G335" s="202"/>
      <c r="H335" s="202"/>
      <c r="I335" s="202"/>
      <c r="J335" s="202"/>
      <c r="K335" s="202">
        <v>1458437.1687861285</v>
      </c>
    </row>
    <row r="336" spans="2:12" hidden="1" outlineLevel="2" x14ac:dyDescent="0.25">
      <c r="B336" s="194" t="s">
        <v>410</v>
      </c>
      <c r="C336" s="195" t="s">
        <v>153</v>
      </c>
      <c r="D336" s="196">
        <v>58085.03830576934</v>
      </c>
      <c r="E336" s="196">
        <v>0</v>
      </c>
      <c r="F336" s="196">
        <v>0</v>
      </c>
      <c r="G336" s="196">
        <v>0</v>
      </c>
      <c r="H336" s="196">
        <v>0</v>
      </c>
      <c r="I336" s="196">
        <v>0</v>
      </c>
      <c r="J336" s="196">
        <v>0</v>
      </c>
      <c r="K336" s="196">
        <v>58085.03830576934</v>
      </c>
      <c r="L336" s="148"/>
    </row>
    <row r="337" spans="2:12" hidden="1" outlineLevel="3" x14ac:dyDescent="0.25">
      <c r="B337" s="197" t="s">
        <v>455</v>
      </c>
      <c r="C337" s="198" t="s">
        <v>153</v>
      </c>
      <c r="D337" s="199">
        <v>58085.03830576934</v>
      </c>
      <c r="E337" s="199">
        <v>0</v>
      </c>
      <c r="F337" s="199">
        <v>0</v>
      </c>
      <c r="G337" s="199">
        <v>0</v>
      </c>
      <c r="H337" s="199">
        <v>0</v>
      </c>
      <c r="I337" s="199">
        <v>0</v>
      </c>
      <c r="J337" s="199">
        <v>0</v>
      </c>
      <c r="K337" s="199">
        <v>58085.03830576934</v>
      </c>
      <c r="L337" s="148"/>
    </row>
    <row r="338" spans="2:12" hidden="1" outlineLevel="4" x14ac:dyDescent="0.25">
      <c r="B338" s="200" t="s">
        <v>144</v>
      </c>
      <c r="C338" s="201" t="s">
        <v>839</v>
      </c>
      <c r="D338" s="202">
        <v>58085.03830576934</v>
      </c>
      <c r="E338" s="202"/>
      <c r="F338" s="202"/>
      <c r="G338" s="202"/>
      <c r="H338" s="202"/>
      <c r="I338" s="202"/>
      <c r="J338" s="202"/>
      <c r="K338" s="202">
        <v>58085.03830576934</v>
      </c>
    </row>
    <row r="339" spans="2:12" hidden="1" outlineLevel="2" x14ac:dyDescent="0.25">
      <c r="B339" s="194" t="s">
        <v>413</v>
      </c>
      <c r="C339" s="195" t="s">
        <v>154</v>
      </c>
      <c r="D339" s="196">
        <v>0</v>
      </c>
      <c r="E339" s="196">
        <v>0</v>
      </c>
      <c r="F339" s="196">
        <v>0</v>
      </c>
      <c r="G339" s="196">
        <v>0</v>
      </c>
      <c r="H339" s="196">
        <v>0</v>
      </c>
      <c r="I339" s="196">
        <v>0</v>
      </c>
      <c r="J339" s="196">
        <v>0</v>
      </c>
      <c r="K339" s="196">
        <v>0</v>
      </c>
      <c r="L339" s="148"/>
    </row>
    <row r="340" spans="2:12" hidden="1" outlineLevel="3" x14ac:dyDescent="0.25">
      <c r="B340" s="197" t="s">
        <v>456</v>
      </c>
      <c r="C340" s="198" t="s">
        <v>154</v>
      </c>
      <c r="D340" s="199">
        <v>0</v>
      </c>
      <c r="E340" s="199">
        <v>0</v>
      </c>
      <c r="F340" s="199">
        <v>0</v>
      </c>
      <c r="G340" s="199">
        <v>0</v>
      </c>
      <c r="H340" s="199">
        <v>0</v>
      </c>
      <c r="I340" s="199">
        <v>0</v>
      </c>
      <c r="J340" s="199">
        <v>0</v>
      </c>
      <c r="K340" s="199">
        <v>0</v>
      </c>
      <c r="L340" s="148"/>
    </row>
    <row r="341" spans="2:12" hidden="1" outlineLevel="4" x14ac:dyDescent="0.25">
      <c r="B341" s="200" t="s">
        <v>145</v>
      </c>
      <c r="C341" s="201" t="s">
        <v>841</v>
      </c>
      <c r="D341" s="202">
        <v>0</v>
      </c>
      <c r="E341" s="202"/>
      <c r="F341" s="202"/>
      <c r="G341" s="202"/>
      <c r="H341" s="202"/>
      <c r="I341" s="202"/>
      <c r="J341" s="202"/>
      <c r="K341" s="202">
        <v>0</v>
      </c>
    </row>
    <row r="342" spans="2:12" hidden="1" outlineLevel="2" x14ac:dyDescent="0.25">
      <c r="B342" s="194" t="s">
        <v>416</v>
      </c>
      <c r="C342" s="195" t="s">
        <v>155</v>
      </c>
      <c r="D342" s="196">
        <v>248747.80361231067</v>
      </c>
      <c r="E342" s="196">
        <v>0</v>
      </c>
      <c r="F342" s="196">
        <v>0</v>
      </c>
      <c r="G342" s="196">
        <v>0</v>
      </c>
      <c r="H342" s="196">
        <v>0</v>
      </c>
      <c r="I342" s="196">
        <v>0</v>
      </c>
      <c r="J342" s="196">
        <v>0</v>
      </c>
      <c r="K342" s="196">
        <v>248747.80361231067</v>
      </c>
      <c r="L342" s="148"/>
    </row>
    <row r="343" spans="2:12" hidden="1" outlineLevel="3" x14ac:dyDescent="0.25">
      <c r="B343" s="197" t="s">
        <v>457</v>
      </c>
      <c r="C343" s="198" t="s">
        <v>155</v>
      </c>
      <c r="D343" s="199">
        <v>248747.80361231067</v>
      </c>
      <c r="E343" s="199">
        <v>0</v>
      </c>
      <c r="F343" s="199">
        <v>0</v>
      </c>
      <c r="G343" s="199">
        <v>0</v>
      </c>
      <c r="H343" s="199">
        <v>0</v>
      </c>
      <c r="I343" s="199">
        <v>0</v>
      </c>
      <c r="J343" s="199">
        <v>0</v>
      </c>
      <c r="K343" s="199">
        <v>248747.80361231067</v>
      </c>
      <c r="L343" s="148"/>
    </row>
    <row r="344" spans="2:12" hidden="1" outlineLevel="4" x14ac:dyDescent="0.25">
      <c r="B344" s="200" t="s">
        <v>146</v>
      </c>
      <c r="C344" s="201" t="s">
        <v>843</v>
      </c>
      <c r="D344" s="202">
        <v>248747.80361231067</v>
      </c>
      <c r="E344" s="202"/>
      <c r="F344" s="202"/>
      <c r="G344" s="202"/>
      <c r="H344" s="202"/>
      <c r="I344" s="202"/>
      <c r="J344" s="202"/>
      <c r="K344" s="202">
        <v>248747.80361231067</v>
      </c>
    </row>
    <row r="345" spans="2:12" hidden="1" outlineLevel="2" x14ac:dyDescent="0.25">
      <c r="B345" s="194" t="s">
        <v>418</v>
      </c>
      <c r="C345" s="195" t="s">
        <v>156</v>
      </c>
      <c r="D345" s="196">
        <v>64151.638712444852</v>
      </c>
      <c r="E345" s="196">
        <v>0</v>
      </c>
      <c r="F345" s="196">
        <v>0</v>
      </c>
      <c r="G345" s="196">
        <v>0</v>
      </c>
      <c r="H345" s="196">
        <v>0</v>
      </c>
      <c r="I345" s="196">
        <v>0</v>
      </c>
      <c r="J345" s="196">
        <v>0</v>
      </c>
      <c r="K345" s="196">
        <v>64151.638712444852</v>
      </c>
      <c r="L345" s="148"/>
    </row>
    <row r="346" spans="2:12" hidden="1" outlineLevel="3" x14ac:dyDescent="0.25">
      <c r="B346" s="197" t="s">
        <v>459</v>
      </c>
      <c r="C346" s="198" t="s">
        <v>156</v>
      </c>
      <c r="D346" s="199">
        <v>64151.638712444852</v>
      </c>
      <c r="E346" s="199">
        <v>0</v>
      </c>
      <c r="F346" s="199">
        <v>0</v>
      </c>
      <c r="G346" s="199">
        <v>0</v>
      </c>
      <c r="H346" s="199">
        <v>0</v>
      </c>
      <c r="I346" s="199">
        <v>0</v>
      </c>
      <c r="J346" s="199">
        <v>0</v>
      </c>
      <c r="K346" s="199">
        <v>64151.638712444852</v>
      </c>
      <c r="L346" s="148"/>
    </row>
    <row r="347" spans="2:12" hidden="1" outlineLevel="4" x14ac:dyDescent="0.25">
      <c r="B347" s="200" t="s">
        <v>147</v>
      </c>
      <c r="C347" s="201" t="s">
        <v>845</v>
      </c>
      <c r="D347" s="202">
        <v>64151.638712444852</v>
      </c>
      <c r="E347" s="202"/>
      <c r="F347" s="202"/>
      <c r="G347" s="202"/>
      <c r="H347" s="202"/>
      <c r="I347" s="202"/>
      <c r="J347" s="202"/>
      <c r="K347" s="202">
        <v>64151.638712444852</v>
      </c>
    </row>
    <row r="348" spans="2:12" outlineLevel="1" collapsed="1" x14ac:dyDescent="0.25">
      <c r="B348" s="180" t="s">
        <v>58</v>
      </c>
      <c r="C348" s="192" t="s">
        <v>22</v>
      </c>
      <c r="D348" s="193">
        <v>333060.48862740124</v>
      </c>
      <c r="E348" s="193">
        <v>0</v>
      </c>
      <c r="F348" s="193">
        <v>0</v>
      </c>
      <c r="G348" s="193">
        <v>0</v>
      </c>
      <c r="H348" s="193">
        <v>0</v>
      </c>
      <c r="I348" s="193">
        <v>0</v>
      </c>
      <c r="J348" s="193">
        <v>0</v>
      </c>
      <c r="K348" s="193">
        <v>333060.48862740124</v>
      </c>
      <c r="L348" s="148"/>
    </row>
    <row r="349" spans="2:12" hidden="1" outlineLevel="2" x14ac:dyDescent="0.25">
      <c r="B349" s="194" t="s">
        <v>419</v>
      </c>
      <c r="C349" s="195" t="s">
        <v>22</v>
      </c>
      <c r="D349" s="196">
        <v>333060.48862740124</v>
      </c>
      <c r="E349" s="196">
        <v>0</v>
      </c>
      <c r="F349" s="196">
        <v>0</v>
      </c>
      <c r="G349" s="196">
        <v>0</v>
      </c>
      <c r="H349" s="196">
        <v>0</v>
      </c>
      <c r="I349" s="196">
        <v>0</v>
      </c>
      <c r="J349" s="196">
        <v>0</v>
      </c>
      <c r="K349" s="196">
        <v>333060.48862740124</v>
      </c>
      <c r="L349" s="148"/>
    </row>
    <row r="350" spans="2:12" hidden="1" outlineLevel="3" x14ac:dyDescent="0.25">
      <c r="B350" s="197" t="s">
        <v>460</v>
      </c>
      <c r="C350" s="198" t="s">
        <v>22</v>
      </c>
      <c r="D350" s="199">
        <v>333060.48862740124</v>
      </c>
      <c r="E350" s="199">
        <v>0</v>
      </c>
      <c r="F350" s="199">
        <v>0</v>
      </c>
      <c r="G350" s="199">
        <v>0</v>
      </c>
      <c r="H350" s="199">
        <v>0</v>
      </c>
      <c r="I350" s="199">
        <v>0</v>
      </c>
      <c r="J350" s="199">
        <v>0</v>
      </c>
      <c r="K350" s="199">
        <v>333060.48862740124</v>
      </c>
      <c r="L350" s="148"/>
    </row>
    <row r="351" spans="2:12" hidden="1" outlineLevel="4" x14ac:dyDescent="0.25">
      <c r="B351" s="200" t="s">
        <v>464</v>
      </c>
      <c r="C351" s="201" t="s">
        <v>22</v>
      </c>
      <c r="D351" s="202">
        <v>333060.48862740124</v>
      </c>
      <c r="E351" s="202"/>
      <c r="F351" s="202"/>
      <c r="G351" s="202"/>
      <c r="H351" s="202"/>
      <c r="I351" s="202"/>
      <c r="J351" s="202"/>
      <c r="K351" s="202">
        <v>333060.48862740124</v>
      </c>
    </row>
    <row r="352" spans="2:12" ht="15.75" outlineLevel="1" collapsed="1" thickBot="1" x14ac:dyDescent="0.3">
      <c r="B352" s="180" t="s">
        <v>59</v>
      </c>
      <c r="C352" s="192" t="s">
        <v>1</v>
      </c>
      <c r="D352" s="193">
        <v>331723</v>
      </c>
      <c r="E352" s="193">
        <v>0</v>
      </c>
      <c r="F352" s="193">
        <v>0</v>
      </c>
      <c r="G352" s="193">
        <v>0</v>
      </c>
      <c r="H352" s="193">
        <v>0</v>
      </c>
      <c r="I352" s="193">
        <v>0</v>
      </c>
      <c r="J352" s="193">
        <v>0</v>
      </c>
      <c r="K352" s="193">
        <v>331723</v>
      </c>
      <c r="L352" s="148"/>
    </row>
    <row r="353" spans="2:12" ht="15.75" hidden="1" outlineLevel="2" thickBot="1" x14ac:dyDescent="0.3">
      <c r="B353" s="194" t="s">
        <v>472</v>
      </c>
      <c r="C353" s="195" t="s">
        <v>425</v>
      </c>
      <c r="D353" s="196">
        <v>331723</v>
      </c>
      <c r="E353" s="196">
        <v>0</v>
      </c>
      <c r="F353" s="196">
        <v>0</v>
      </c>
      <c r="G353" s="196">
        <v>0</v>
      </c>
      <c r="H353" s="196">
        <v>0</v>
      </c>
      <c r="I353" s="196">
        <v>0</v>
      </c>
      <c r="J353" s="196">
        <v>0</v>
      </c>
      <c r="K353" s="196">
        <v>331723</v>
      </c>
      <c r="L353" s="148"/>
    </row>
    <row r="354" spans="2:12" ht="15.75" hidden="1" outlineLevel="3" thickBot="1" x14ac:dyDescent="0.3">
      <c r="B354" s="197" t="s">
        <v>473</v>
      </c>
      <c r="C354" s="198" t="s">
        <v>425</v>
      </c>
      <c r="D354" s="199">
        <v>331723</v>
      </c>
      <c r="E354" s="199">
        <v>0</v>
      </c>
      <c r="F354" s="199">
        <v>0</v>
      </c>
      <c r="G354" s="199">
        <v>0</v>
      </c>
      <c r="H354" s="199">
        <v>0</v>
      </c>
      <c r="I354" s="199">
        <v>0</v>
      </c>
      <c r="J354" s="199">
        <v>0</v>
      </c>
      <c r="K354" s="199">
        <v>331723</v>
      </c>
      <c r="L354" s="148"/>
    </row>
    <row r="355" spans="2:12" ht="15.75" hidden="1" outlineLevel="4" thickBot="1" x14ac:dyDescent="0.3">
      <c r="B355" s="200" t="s">
        <v>470</v>
      </c>
      <c r="C355" s="201" t="s">
        <v>847</v>
      </c>
      <c r="D355" s="202">
        <v>331723</v>
      </c>
      <c r="E355" s="202"/>
      <c r="F355" s="202"/>
      <c r="G355" s="202"/>
      <c r="H355" s="202"/>
      <c r="I355" s="202"/>
      <c r="J355" s="202"/>
      <c r="K355" s="202">
        <v>331723</v>
      </c>
    </row>
    <row r="356" spans="2:12" s="92" customFormat="1" x14ac:dyDescent="0.25">
      <c r="B356" s="161" t="s">
        <v>61</v>
      </c>
      <c r="C356" s="162"/>
      <c r="D356" s="163">
        <v>63640583.343912065</v>
      </c>
      <c r="E356" s="163">
        <v>4298463.16</v>
      </c>
      <c r="F356" s="163">
        <v>72158.608999999997</v>
      </c>
      <c r="G356" s="163">
        <v>14188151.8294426</v>
      </c>
      <c r="H356" s="163">
        <v>19747141.948310334</v>
      </c>
      <c r="I356" s="163">
        <v>0</v>
      </c>
      <c r="J356" s="163">
        <v>714295.72342274396</v>
      </c>
      <c r="K356" s="163">
        <v>24692530.682736386</v>
      </c>
    </row>
  </sheetData>
  <sheetProtection sheet="1" objects="1" scenarios="1"/>
  <hyperlinks>
    <hyperlink ref="K1" location="'Table of contents'!A1" display="Return to TOC" xr:uid="{00000000-0004-0000-0600-000000000000}"/>
  </hyperlinks>
  <printOptions horizontalCentered="1"/>
  <pageMargins left="0.25" right="0.25" top="0.5" bottom="0.5" header="0.25" footer="0.25"/>
  <pageSetup scale="18"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dule">
    <tabColor theme="5" tint="-0.249977111117893"/>
    <pageSetUpPr fitToPage="1"/>
  </sheetPr>
  <dimension ref="B1:I356"/>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8" width="12.7109375" style="155" customWidth="1"/>
    <col min="9" max="9" width="4.7109375" style="5" customWidth="1"/>
    <col min="10" max="16384" width="8.85546875" style="5"/>
  </cols>
  <sheetData>
    <row r="1" spans="2:9" x14ac:dyDescent="0.25">
      <c r="B1" s="175"/>
      <c r="I1" s="70" t="s">
        <v>66</v>
      </c>
    </row>
    <row r="2" spans="2:9" s="80" customFormat="1" ht="36" customHeight="1" thickBot="1" x14ac:dyDescent="0.3">
      <c r="B2" s="190" t="s">
        <v>63</v>
      </c>
      <c r="C2" s="157" t="s">
        <v>3</v>
      </c>
      <c r="D2" s="158" t="s">
        <v>64</v>
      </c>
      <c r="E2" s="158" t="s">
        <v>76</v>
      </c>
      <c r="F2" s="189" t="s">
        <v>877</v>
      </c>
      <c r="G2" s="189" t="s">
        <v>878</v>
      </c>
      <c r="H2" s="189" t="s">
        <v>879</v>
      </c>
    </row>
    <row r="3" spans="2:9" x14ac:dyDescent="0.25">
      <c r="B3" s="234" t="s">
        <v>544</v>
      </c>
      <c r="C3" s="235"/>
      <c r="D3" s="237">
        <v>63640583.343912072</v>
      </c>
      <c r="E3" s="237">
        <v>4298463.16</v>
      </c>
      <c r="F3" s="237">
        <v>16028589.445019305</v>
      </c>
      <c r="G3" s="237">
        <v>14609949.899661403</v>
      </c>
      <c r="H3" s="237">
        <v>28703580.839231361</v>
      </c>
    </row>
    <row r="4" spans="2:9" x14ac:dyDescent="0.25">
      <c r="B4" s="212" t="s">
        <v>552</v>
      </c>
      <c r="C4" s="213"/>
      <c r="D4" s="215">
        <v>56387421.598621152</v>
      </c>
      <c r="E4" s="215">
        <v>4298463.16</v>
      </c>
      <c r="F4" s="215">
        <v>15554822.136523902</v>
      </c>
      <c r="G4" s="215">
        <v>14044141.384321993</v>
      </c>
      <c r="H4" s="215">
        <v>22489994.917775251</v>
      </c>
    </row>
    <row r="5" spans="2:9" outlineLevel="1" x14ac:dyDescent="0.25">
      <c r="B5" s="180" t="s">
        <v>41</v>
      </c>
      <c r="C5" s="192" t="s">
        <v>12</v>
      </c>
      <c r="D5" s="179">
        <v>3035.56</v>
      </c>
      <c r="E5" s="179">
        <v>3035.56</v>
      </c>
      <c r="F5" s="179">
        <v>0</v>
      </c>
      <c r="G5" s="179">
        <v>0</v>
      </c>
      <c r="H5" s="179">
        <v>0</v>
      </c>
    </row>
    <row r="6" spans="2:9" hidden="1" outlineLevel="2" x14ac:dyDescent="0.25">
      <c r="B6" s="182" t="s">
        <v>296</v>
      </c>
      <c r="C6" s="195" t="s">
        <v>297</v>
      </c>
      <c r="D6" s="183">
        <v>3035.56</v>
      </c>
      <c r="E6" s="183">
        <v>3035.56</v>
      </c>
      <c r="F6" s="181">
        <v>0</v>
      </c>
      <c r="G6" s="181">
        <v>0</v>
      </c>
      <c r="H6" s="181">
        <v>0</v>
      </c>
    </row>
    <row r="7" spans="2:9" hidden="1" outlineLevel="3" x14ac:dyDescent="0.25">
      <c r="B7" s="182" t="s">
        <v>298</v>
      </c>
      <c r="C7" s="198" t="s">
        <v>297</v>
      </c>
      <c r="D7" s="185">
        <v>3035.56</v>
      </c>
      <c r="E7" s="185">
        <v>3035.56</v>
      </c>
      <c r="F7" s="184">
        <v>0</v>
      </c>
      <c r="G7" s="184">
        <v>0</v>
      </c>
      <c r="H7" s="184">
        <v>0</v>
      </c>
    </row>
    <row r="8" spans="2:9" hidden="1" outlineLevel="4" x14ac:dyDescent="0.25">
      <c r="B8" s="187" t="s">
        <v>299</v>
      </c>
      <c r="C8" s="242"/>
      <c r="D8" s="188">
        <v>3035.56</v>
      </c>
      <c r="E8" s="188">
        <v>3035.56</v>
      </c>
      <c r="F8" s="186"/>
      <c r="G8" s="186"/>
      <c r="H8" s="186"/>
    </row>
    <row r="9" spans="2:9" outlineLevel="1" collapsed="1" x14ac:dyDescent="0.25">
      <c r="B9" s="180" t="s">
        <v>42</v>
      </c>
      <c r="C9" s="192" t="s">
        <v>13</v>
      </c>
      <c r="D9" s="179">
        <v>132500.69736271189</v>
      </c>
      <c r="E9" s="179">
        <v>34276.230000000003</v>
      </c>
      <c r="F9" s="179">
        <v>49218.874576271191</v>
      </c>
      <c r="G9" s="179">
        <v>49005.592786440691</v>
      </c>
      <c r="H9" s="179">
        <v>0</v>
      </c>
    </row>
    <row r="10" spans="2:9" hidden="1" outlineLevel="2" x14ac:dyDescent="0.25">
      <c r="B10" s="182" t="s">
        <v>178</v>
      </c>
      <c r="C10" s="195" t="s">
        <v>181</v>
      </c>
      <c r="D10" s="183">
        <v>9793.5143050847473</v>
      </c>
      <c r="E10" s="183">
        <v>0</v>
      </c>
      <c r="F10" s="181">
        <v>4907.3898305084749</v>
      </c>
      <c r="G10" s="181">
        <v>4886.1244745762715</v>
      </c>
      <c r="H10" s="181">
        <v>0</v>
      </c>
    </row>
    <row r="11" spans="2:9" hidden="1" outlineLevel="3" x14ac:dyDescent="0.25">
      <c r="B11" s="182" t="s">
        <v>179</v>
      </c>
      <c r="C11" s="198" t="s">
        <v>181</v>
      </c>
      <c r="D11" s="185">
        <v>9793.5143050847473</v>
      </c>
      <c r="E11" s="185">
        <v>0</v>
      </c>
      <c r="F11" s="184">
        <v>4907.3898305084749</v>
      </c>
      <c r="G11" s="184">
        <v>4886.1244745762715</v>
      </c>
      <c r="H11" s="184">
        <v>0</v>
      </c>
    </row>
    <row r="12" spans="2:9" hidden="1" outlineLevel="4" x14ac:dyDescent="0.25">
      <c r="B12" s="187" t="s">
        <v>180</v>
      </c>
      <c r="C12" s="242"/>
      <c r="D12" s="188">
        <v>9793.5143050847473</v>
      </c>
      <c r="E12" s="188"/>
      <c r="F12" s="186">
        <v>4907.3898305084749</v>
      </c>
      <c r="G12" s="186">
        <v>4886.1244745762715</v>
      </c>
      <c r="H12" s="186"/>
    </row>
    <row r="13" spans="2:9" hidden="1" outlineLevel="2" x14ac:dyDescent="0.25">
      <c r="B13" s="182" t="s">
        <v>182</v>
      </c>
      <c r="C13" s="195" t="s">
        <v>185</v>
      </c>
      <c r="D13" s="183">
        <v>88430.953057627135</v>
      </c>
      <c r="E13" s="183">
        <v>0</v>
      </c>
      <c r="F13" s="181">
        <v>44311.484745762718</v>
      </c>
      <c r="G13" s="181">
        <v>44119.468311864417</v>
      </c>
      <c r="H13" s="181">
        <v>0</v>
      </c>
    </row>
    <row r="14" spans="2:9" hidden="1" outlineLevel="3" x14ac:dyDescent="0.25">
      <c r="B14" s="182" t="s">
        <v>183</v>
      </c>
      <c r="C14" s="198" t="s">
        <v>185</v>
      </c>
      <c r="D14" s="185">
        <v>88430.953057627135</v>
      </c>
      <c r="E14" s="185">
        <v>0</v>
      </c>
      <c r="F14" s="184">
        <v>44311.484745762718</v>
      </c>
      <c r="G14" s="184">
        <v>44119.468311864417</v>
      </c>
      <c r="H14" s="184">
        <v>0</v>
      </c>
    </row>
    <row r="15" spans="2:9" hidden="1" outlineLevel="4" x14ac:dyDescent="0.25">
      <c r="B15" s="187" t="s">
        <v>184</v>
      </c>
      <c r="C15" s="242"/>
      <c r="D15" s="188">
        <v>88430.953057627135</v>
      </c>
      <c r="E15" s="188"/>
      <c r="F15" s="186">
        <v>44311.484745762718</v>
      </c>
      <c r="G15" s="186">
        <v>44119.468311864417</v>
      </c>
      <c r="H15" s="186"/>
    </row>
    <row r="16" spans="2:9" hidden="1" outlineLevel="2" x14ac:dyDescent="0.25">
      <c r="B16" s="182" t="s">
        <v>304</v>
      </c>
      <c r="C16" s="195" t="s">
        <v>303</v>
      </c>
      <c r="D16" s="183">
        <v>31692.16</v>
      </c>
      <c r="E16" s="183">
        <v>31692.16</v>
      </c>
      <c r="F16" s="181">
        <v>0</v>
      </c>
      <c r="G16" s="181">
        <v>0</v>
      </c>
      <c r="H16" s="181">
        <v>0</v>
      </c>
    </row>
    <row r="17" spans="2:8" hidden="1" outlineLevel="3" x14ac:dyDescent="0.25">
      <c r="B17" s="182" t="s">
        <v>300</v>
      </c>
      <c r="C17" s="198" t="s">
        <v>301</v>
      </c>
      <c r="D17" s="185">
        <v>31692.16</v>
      </c>
      <c r="E17" s="185">
        <v>31692.16</v>
      </c>
      <c r="F17" s="184">
        <v>0</v>
      </c>
      <c r="G17" s="184">
        <v>0</v>
      </c>
      <c r="H17" s="184">
        <v>0</v>
      </c>
    </row>
    <row r="18" spans="2:8" hidden="1" outlineLevel="4" x14ac:dyDescent="0.25">
      <c r="B18" s="187" t="s">
        <v>302</v>
      </c>
      <c r="C18" s="242"/>
      <c r="D18" s="188">
        <v>31692.16</v>
      </c>
      <c r="E18" s="188">
        <v>31692.16</v>
      </c>
      <c r="F18" s="186"/>
      <c r="G18" s="186"/>
      <c r="H18" s="186"/>
    </row>
    <row r="19" spans="2:8" hidden="1" outlineLevel="2" x14ac:dyDescent="0.25">
      <c r="B19" s="182" t="s">
        <v>305</v>
      </c>
      <c r="C19" s="195" t="s">
        <v>306</v>
      </c>
      <c r="D19" s="183">
        <v>2584.0700000000002</v>
      </c>
      <c r="E19" s="183">
        <v>2584.0700000000002</v>
      </c>
      <c r="F19" s="181">
        <v>0</v>
      </c>
      <c r="G19" s="181">
        <v>0</v>
      </c>
      <c r="H19" s="181">
        <v>0</v>
      </c>
    </row>
    <row r="20" spans="2:8" hidden="1" outlineLevel="3" x14ac:dyDescent="0.25">
      <c r="B20" s="182" t="s">
        <v>307</v>
      </c>
      <c r="C20" s="198" t="s">
        <v>306</v>
      </c>
      <c r="D20" s="185">
        <v>2584.0700000000002</v>
      </c>
      <c r="E20" s="185">
        <v>2584.0700000000002</v>
      </c>
      <c r="F20" s="184">
        <v>0</v>
      </c>
      <c r="G20" s="184">
        <v>0</v>
      </c>
      <c r="H20" s="184">
        <v>0</v>
      </c>
    </row>
    <row r="21" spans="2:8" hidden="1" outlineLevel="4" x14ac:dyDescent="0.25">
      <c r="B21" s="187" t="s">
        <v>308</v>
      </c>
      <c r="C21" s="242"/>
      <c r="D21" s="188">
        <v>2584.0700000000002</v>
      </c>
      <c r="E21" s="188">
        <v>2584.0700000000002</v>
      </c>
      <c r="F21" s="186"/>
      <c r="G21" s="186"/>
      <c r="H21" s="186"/>
    </row>
    <row r="22" spans="2:8" outlineLevel="1" collapsed="1" x14ac:dyDescent="0.25">
      <c r="B22" s="180" t="s">
        <v>43</v>
      </c>
      <c r="C22" s="192" t="s">
        <v>186</v>
      </c>
      <c r="D22" s="179">
        <v>312248.33588338306</v>
      </c>
      <c r="E22" s="179">
        <v>89515.64</v>
      </c>
      <c r="F22" s="179">
        <v>111608.16563389829</v>
      </c>
      <c r="G22" s="179">
        <v>111124.53024948476</v>
      </c>
      <c r="H22" s="179">
        <v>0</v>
      </c>
    </row>
    <row r="23" spans="2:8" hidden="1" outlineLevel="2" x14ac:dyDescent="0.25">
      <c r="B23" s="182" t="s">
        <v>187</v>
      </c>
      <c r="C23" s="195" t="s">
        <v>190</v>
      </c>
      <c r="D23" s="183">
        <v>134441.25946521762</v>
      </c>
      <c r="E23" s="183">
        <v>61784.14</v>
      </c>
      <c r="F23" s="181">
        <v>36407.442524745762</v>
      </c>
      <c r="G23" s="181">
        <v>36249.676940471873</v>
      </c>
      <c r="H23" s="181">
        <v>0</v>
      </c>
    </row>
    <row r="24" spans="2:8" hidden="1" outlineLevel="3" x14ac:dyDescent="0.25">
      <c r="B24" s="182" t="s">
        <v>188</v>
      </c>
      <c r="C24" s="198" t="s">
        <v>190</v>
      </c>
      <c r="D24" s="185">
        <v>134441.25946521762</v>
      </c>
      <c r="E24" s="185">
        <v>61784.14</v>
      </c>
      <c r="F24" s="184">
        <v>36407.442524745762</v>
      </c>
      <c r="G24" s="184">
        <v>36249.676940471873</v>
      </c>
      <c r="H24" s="184">
        <v>0</v>
      </c>
    </row>
    <row r="25" spans="2:8" hidden="1" outlineLevel="4" x14ac:dyDescent="0.25">
      <c r="B25" s="187" t="s">
        <v>189</v>
      </c>
      <c r="C25" s="242"/>
      <c r="D25" s="188">
        <v>134441.25946521762</v>
      </c>
      <c r="E25" s="188">
        <v>61784.14</v>
      </c>
      <c r="F25" s="186">
        <v>36407.442524745762</v>
      </c>
      <c r="G25" s="186">
        <v>36249.676940471873</v>
      </c>
      <c r="H25" s="186"/>
    </row>
    <row r="26" spans="2:8" hidden="1" outlineLevel="2" x14ac:dyDescent="0.25">
      <c r="B26" s="182" t="s">
        <v>191</v>
      </c>
      <c r="C26" s="195" t="s">
        <v>194</v>
      </c>
      <c r="D26" s="183">
        <v>177807.07641816541</v>
      </c>
      <c r="E26" s="183">
        <v>27731.5</v>
      </c>
      <c r="F26" s="181">
        <v>75200.723109152532</v>
      </c>
      <c r="G26" s="181">
        <v>74874.853309012891</v>
      </c>
      <c r="H26" s="181">
        <v>0</v>
      </c>
    </row>
    <row r="27" spans="2:8" hidden="1" outlineLevel="3" x14ac:dyDescent="0.25">
      <c r="B27" s="182" t="s">
        <v>192</v>
      </c>
      <c r="C27" s="198" t="s">
        <v>194</v>
      </c>
      <c r="D27" s="185">
        <v>177807.07641816541</v>
      </c>
      <c r="E27" s="185">
        <v>27731.5</v>
      </c>
      <c r="F27" s="184">
        <v>75200.723109152532</v>
      </c>
      <c r="G27" s="184">
        <v>74874.853309012891</v>
      </c>
      <c r="H27" s="184">
        <v>0</v>
      </c>
    </row>
    <row r="28" spans="2:8" hidden="1" outlineLevel="4" x14ac:dyDescent="0.25">
      <c r="B28" s="187" t="s">
        <v>193</v>
      </c>
      <c r="C28" s="242"/>
      <c r="D28" s="188">
        <v>177807.07641816541</v>
      </c>
      <c r="E28" s="188">
        <v>27731.5</v>
      </c>
      <c r="F28" s="186">
        <v>75200.723109152532</v>
      </c>
      <c r="G28" s="186">
        <v>74874.853309012891</v>
      </c>
      <c r="H28" s="186"/>
    </row>
    <row r="29" spans="2:8" outlineLevel="1" collapsed="1" x14ac:dyDescent="0.25">
      <c r="B29" s="180" t="s">
        <v>44</v>
      </c>
      <c r="C29" s="192" t="s">
        <v>14</v>
      </c>
      <c r="D29" s="179">
        <v>1470642.0309538117</v>
      </c>
      <c r="E29" s="179">
        <v>79544.159999999989</v>
      </c>
      <c r="F29" s="179">
        <v>697059.23047627113</v>
      </c>
      <c r="G29" s="179">
        <v>694038.64047754067</v>
      </c>
      <c r="H29" s="179">
        <v>0</v>
      </c>
    </row>
    <row r="30" spans="2:8" hidden="1" outlineLevel="2" x14ac:dyDescent="0.25">
      <c r="B30" s="182" t="s">
        <v>195</v>
      </c>
      <c r="C30" s="195" t="s">
        <v>309</v>
      </c>
      <c r="D30" s="183">
        <v>221377.01117673708</v>
      </c>
      <c r="E30" s="183">
        <v>71775.929999999993</v>
      </c>
      <c r="F30" s="181">
        <v>74962.960335762706</v>
      </c>
      <c r="G30" s="181">
        <v>74638.120840974399</v>
      </c>
      <c r="H30" s="181">
        <v>0</v>
      </c>
    </row>
    <row r="31" spans="2:8" hidden="1" outlineLevel="3" x14ac:dyDescent="0.25">
      <c r="B31" s="182" t="s">
        <v>196</v>
      </c>
      <c r="C31" s="198" t="s">
        <v>198</v>
      </c>
      <c r="D31" s="185">
        <v>221377.01117673708</v>
      </c>
      <c r="E31" s="185">
        <v>71775.929999999993</v>
      </c>
      <c r="F31" s="184">
        <v>74962.960335762706</v>
      </c>
      <c r="G31" s="184">
        <v>74638.120840974399</v>
      </c>
      <c r="H31" s="184">
        <v>0</v>
      </c>
    </row>
    <row r="32" spans="2:8" hidden="1" outlineLevel="4" x14ac:dyDescent="0.25">
      <c r="B32" s="187" t="s">
        <v>197</v>
      </c>
      <c r="C32" s="242"/>
      <c r="D32" s="188">
        <v>221377.01117673708</v>
      </c>
      <c r="E32" s="188">
        <v>71775.929999999993</v>
      </c>
      <c r="F32" s="186">
        <v>74962.960335762706</v>
      </c>
      <c r="G32" s="186">
        <v>74638.120840974399</v>
      </c>
      <c r="H32" s="186"/>
    </row>
    <row r="33" spans="2:8" hidden="1" outlineLevel="2" x14ac:dyDescent="0.25">
      <c r="B33" s="182" t="s">
        <v>199</v>
      </c>
      <c r="C33" s="195" t="s">
        <v>310</v>
      </c>
      <c r="D33" s="183">
        <v>1249265.0197770747</v>
      </c>
      <c r="E33" s="183">
        <v>7768.23</v>
      </c>
      <c r="F33" s="181">
        <v>622096.27014050842</v>
      </c>
      <c r="G33" s="181">
        <v>619400.51963656629</v>
      </c>
      <c r="H33" s="181">
        <v>0</v>
      </c>
    </row>
    <row r="34" spans="2:8" hidden="1" outlineLevel="3" x14ac:dyDescent="0.25">
      <c r="B34" s="182" t="s">
        <v>200</v>
      </c>
      <c r="C34" s="198" t="s">
        <v>202</v>
      </c>
      <c r="D34" s="185">
        <v>1249265.0197770747</v>
      </c>
      <c r="E34" s="185">
        <v>7768.23</v>
      </c>
      <c r="F34" s="184">
        <v>622096.27014050842</v>
      </c>
      <c r="G34" s="184">
        <v>619400.51963656629</v>
      </c>
      <c r="H34" s="184">
        <v>0</v>
      </c>
    </row>
    <row r="35" spans="2:8" hidden="1" outlineLevel="4" x14ac:dyDescent="0.25">
      <c r="B35" s="187" t="s">
        <v>201</v>
      </c>
      <c r="C35" s="242"/>
      <c r="D35" s="188">
        <v>1249265.0197770747</v>
      </c>
      <c r="E35" s="188">
        <v>7768.23</v>
      </c>
      <c r="F35" s="186">
        <v>622096.27014050842</v>
      </c>
      <c r="G35" s="186">
        <v>619400.51963656629</v>
      </c>
      <c r="H35" s="186"/>
    </row>
    <row r="36" spans="2:8" outlineLevel="1" collapsed="1" x14ac:dyDescent="0.25">
      <c r="B36" s="180" t="s">
        <v>45</v>
      </c>
      <c r="C36" s="192" t="s">
        <v>15</v>
      </c>
      <c r="D36" s="179">
        <v>1307834.5724774194</v>
      </c>
      <c r="E36" s="179">
        <v>483228.27</v>
      </c>
      <c r="F36" s="179">
        <v>496032.78408602154</v>
      </c>
      <c r="G36" s="179">
        <v>328573.51839139784</v>
      </c>
      <c r="H36" s="179">
        <v>0</v>
      </c>
    </row>
    <row r="37" spans="2:8" hidden="1" outlineLevel="2" x14ac:dyDescent="0.25">
      <c r="B37" s="182" t="s">
        <v>311</v>
      </c>
      <c r="C37" s="195" t="s">
        <v>312</v>
      </c>
      <c r="D37" s="183">
        <v>70719.817935483879</v>
      </c>
      <c r="E37" s="183">
        <v>41041.379999999997</v>
      </c>
      <c r="F37" s="181">
        <v>17852.735483870969</v>
      </c>
      <c r="G37" s="181">
        <v>11825.702451612904</v>
      </c>
      <c r="H37" s="181">
        <v>0</v>
      </c>
    </row>
    <row r="38" spans="2:8" hidden="1" outlineLevel="3" x14ac:dyDescent="0.25">
      <c r="B38" s="182" t="s">
        <v>314</v>
      </c>
      <c r="C38" s="198" t="s">
        <v>315</v>
      </c>
      <c r="D38" s="185">
        <v>8451.2827354838737</v>
      </c>
      <c r="E38" s="185">
        <v>0</v>
      </c>
      <c r="F38" s="184">
        <v>5083.7754838709689</v>
      </c>
      <c r="G38" s="184">
        <v>3367.5072516129039</v>
      </c>
      <c r="H38" s="184">
        <v>0</v>
      </c>
    </row>
    <row r="39" spans="2:8" hidden="1" outlineLevel="4" x14ac:dyDescent="0.25">
      <c r="B39" s="187" t="s">
        <v>316</v>
      </c>
      <c r="C39" s="242"/>
      <c r="D39" s="188">
        <v>8451.2827354838737</v>
      </c>
      <c r="E39" s="188"/>
      <c r="F39" s="186">
        <v>5083.7754838709689</v>
      </c>
      <c r="G39" s="186">
        <v>3367.5072516129039</v>
      </c>
      <c r="H39" s="186"/>
    </row>
    <row r="40" spans="2:8" hidden="1" outlineLevel="3" x14ac:dyDescent="0.25">
      <c r="B40" s="182" t="s">
        <v>319</v>
      </c>
      <c r="C40" s="198" t="s">
        <v>320</v>
      </c>
      <c r="D40" s="185">
        <v>62268.535199999998</v>
      </c>
      <c r="E40" s="185">
        <v>41041.379999999997</v>
      </c>
      <c r="F40" s="184">
        <v>12768.960000000001</v>
      </c>
      <c r="G40" s="184">
        <v>8458.1952000000001</v>
      </c>
      <c r="H40" s="184">
        <v>0</v>
      </c>
    </row>
    <row r="41" spans="2:8" hidden="1" outlineLevel="4" x14ac:dyDescent="0.25">
      <c r="B41" s="187" t="s">
        <v>321</v>
      </c>
      <c r="C41" s="242"/>
      <c r="D41" s="188">
        <v>62268.535199999998</v>
      </c>
      <c r="E41" s="188">
        <v>41041.379999999997</v>
      </c>
      <c r="F41" s="186">
        <v>12768.960000000001</v>
      </c>
      <c r="G41" s="186">
        <v>8458.1952000000001</v>
      </c>
      <c r="H41" s="186"/>
    </row>
    <row r="42" spans="2:8" hidden="1" outlineLevel="2" x14ac:dyDescent="0.25">
      <c r="B42" s="182" t="s">
        <v>203</v>
      </c>
      <c r="C42" s="195" t="s">
        <v>313</v>
      </c>
      <c r="D42" s="183">
        <v>625448.16762580641</v>
      </c>
      <c r="E42" s="183">
        <v>259220.25000000003</v>
      </c>
      <c r="F42" s="181">
        <v>220300.3458064516</v>
      </c>
      <c r="G42" s="181">
        <v>145927.57181935481</v>
      </c>
      <c r="H42" s="181">
        <v>0</v>
      </c>
    </row>
    <row r="43" spans="2:8" hidden="1" outlineLevel="3" x14ac:dyDescent="0.25">
      <c r="B43" s="182" t="s">
        <v>204</v>
      </c>
      <c r="C43" s="198" t="s">
        <v>206</v>
      </c>
      <c r="D43" s="185">
        <v>138980.96090322579</v>
      </c>
      <c r="E43" s="185">
        <v>114504.9</v>
      </c>
      <c r="F43" s="184">
        <v>14723.303225806452</v>
      </c>
      <c r="G43" s="184">
        <v>9752.7576774193567</v>
      </c>
      <c r="H43" s="184">
        <v>0</v>
      </c>
    </row>
    <row r="44" spans="2:8" hidden="1" outlineLevel="4" x14ac:dyDescent="0.25">
      <c r="B44" s="187" t="s">
        <v>205</v>
      </c>
      <c r="C44" s="242"/>
      <c r="D44" s="188">
        <v>138980.96090322579</v>
      </c>
      <c r="E44" s="188">
        <v>114504.9</v>
      </c>
      <c r="F44" s="186">
        <v>14723.303225806452</v>
      </c>
      <c r="G44" s="186">
        <v>9752.7576774193567</v>
      </c>
      <c r="H44" s="186"/>
    </row>
    <row r="45" spans="2:8" hidden="1" outlineLevel="3" x14ac:dyDescent="0.25">
      <c r="B45" s="182" t="s">
        <v>207</v>
      </c>
      <c r="C45" s="198" t="s">
        <v>209</v>
      </c>
      <c r="D45" s="185">
        <v>486467.20672258059</v>
      </c>
      <c r="E45" s="185">
        <v>144715.35000000003</v>
      </c>
      <c r="F45" s="184">
        <v>205577.04258064515</v>
      </c>
      <c r="G45" s="184">
        <v>136174.81414193547</v>
      </c>
      <c r="H45" s="184">
        <v>0</v>
      </c>
    </row>
    <row r="46" spans="2:8" hidden="1" outlineLevel="4" x14ac:dyDescent="0.25">
      <c r="B46" s="187" t="s">
        <v>208</v>
      </c>
      <c r="C46" s="242"/>
      <c r="D46" s="188">
        <v>486467.20672258059</v>
      </c>
      <c r="E46" s="188">
        <v>144715.35000000003</v>
      </c>
      <c r="F46" s="186">
        <v>205577.04258064515</v>
      </c>
      <c r="G46" s="186">
        <v>136174.81414193547</v>
      </c>
      <c r="H46" s="186"/>
    </row>
    <row r="47" spans="2:8" hidden="1" outlineLevel="2" x14ac:dyDescent="0.25">
      <c r="B47" s="182" t="s">
        <v>317</v>
      </c>
      <c r="C47" s="195" t="s">
        <v>318</v>
      </c>
      <c r="D47" s="183">
        <v>115232.57</v>
      </c>
      <c r="E47" s="183">
        <v>115232.57</v>
      </c>
      <c r="F47" s="181">
        <v>0</v>
      </c>
      <c r="G47" s="181">
        <v>0</v>
      </c>
      <c r="H47" s="181">
        <v>0</v>
      </c>
    </row>
    <row r="48" spans="2:8" hidden="1" outlineLevel="3" x14ac:dyDescent="0.25">
      <c r="B48" s="182" t="s">
        <v>325</v>
      </c>
      <c r="C48" s="198" t="s">
        <v>326</v>
      </c>
      <c r="D48" s="185">
        <v>115232.57</v>
      </c>
      <c r="E48" s="185">
        <v>115232.57</v>
      </c>
      <c r="F48" s="184">
        <v>0</v>
      </c>
      <c r="G48" s="184">
        <v>0</v>
      </c>
      <c r="H48" s="184">
        <v>0</v>
      </c>
    </row>
    <row r="49" spans="2:8" hidden="1" outlineLevel="4" x14ac:dyDescent="0.25">
      <c r="B49" s="187" t="s">
        <v>327</v>
      </c>
      <c r="C49" s="242"/>
      <c r="D49" s="188">
        <v>115232.57</v>
      </c>
      <c r="E49" s="188">
        <v>115232.57</v>
      </c>
      <c r="F49" s="186"/>
      <c r="G49" s="186"/>
      <c r="H49" s="186"/>
    </row>
    <row r="50" spans="2:8" hidden="1" outlineLevel="2" x14ac:dyDescent="0.25">
      <c r="B50" s="182" t="s">
        <v>210</v>
      </c>
      <c r="C50" s="195" t="s">
        <v>322</v>
      </c>
      <c r="D50" s="183">
        <v>340945.30845161295</v>
      </c>
      <c r="E50" s="183">
        <v>64873.310000000005</v>
      </c>
      <c r="F50" s="181">
        <v>166068.05161290325</v>
      </c>
      <c r="G50" s="181">
        <v>110003.94683870969</v>
      </c>
      <c r="H50" s="181">
        <v>0</v>
      </c>
    </row>
    <row r="51" spans="2:8" hidden="1" outlineLevel="3" x14ac:dyDescent="0.25">
      <c r="B51" s="182" t="s">
        <v>330</v>
      </c>
      <c r="C51" s="198" t="s">
        <v>213</v>
      </c>
      <c r="D51" s="185">
        <v>124703.68109677421</v>
      </c>
      <c r="E51" s="185">
        <v>64873.310000000005</v>
      </c>
      <c r="F51" s="184">
        <v>35990.29677419355</v>
      </c>
      <c r="G51" s="184">
        <v>23840.074322580647</v>
      </c>
      <c r="H51" s="184">
        <v>0</v>
      </c>
    </row>
    <row r="52" spans="2:8" hidden="1" outlineLevel="4" x14ac:dyDescent="0.25">
      <c r="B52" s="187" t="s">
        <v>331</v>
      </c>
      <c r="C52" s="242"/>
      <c r="D52" s="188">
        <v>124703.68109677421</v>
      </c>
      <c r="E52" s="188">
        <v>64873.310000000005</v>
      </c>
      <c r="F52" s="186">
        <v>35990.29677419355</v>
      </c>
      <c r="G52" s="186">
        <v>23840.074322580647</v>
      </c>
      <c r="H52" s="186"/>
    </row>
    <row r="53" spans="2:8" hidden="1" outlineLevel="3" x14ac:dyDescent="0.25">
      <c r="B53" s="182" t="s">
        <v>211</v>
      </c>
      <c r="C53" s="198" t="s">
        <v>213</v>
      </c>
      <c r="D53" s="185">
        <v>216241.62735483871</v>
      </c>
      <c r="E53" s="185">
        <v>0</v>
      </c>
      <c r="F53" s="184">
        <v>130077.75483870969</v>
      </c>
      <c r="G53" s="184">
        <v>86163.872516129035</v>
      </c>
      <c r="H53" s="184">
        <v>0</v>
      </c>
    </row>
    <row r="54" spans="2:8" hidden="1" outlineLevel="4" x14ac:dyDescent="0.25">
      <c r="B54" s="187" t="s">
        <v>212</v>
      </c>
      <c r="C54" s="242"/>
      <c r="D54" s="188">
        <v>216241.62735483871</v>
      </c>
      <c r="E54" s="188"/>
      <c r="F54" s="186">
        <v>130077.75483870969</v>
      </c>
      <c r="G54" s="186">
        <v>86163.872516129035</v>
      </c>
      <c r="H54" s="186"/>
    </row>
    <row r="55" spans="2:8" hidden="1" outlineLevel="2" x14ac:dyDescent="0.25">
      <c r="B55" s="182" t="s">
        <v>214</v>
      </c>
      <c r="C55" s="195" t="s">
        <v>323</v>
      </c>
      <c r="D55" s="183">
        <v>77327.031432258067</v>
      </c>
      <c r="E55" s="183">
        <v>0</v>
      </c>
      <c r="F55" s="181">
        <v>46515.218924731184</v>
      </c>
      <c r="G55" s="181">
        <v>30811.812507526884</v>
      </c>
      <c r="H55" s="181">
        <v>0</v>
      </c>
    </row>
    <row r="56" spans="2:8" hidden="1" outlineLevel="3" x14ac:dyDescent="0.25">
      <c r="B56" s="182" t="s">
        <v>215</v>
      </c>
      <c r="C56" s="198" t="s">
        <v>217</v>
      </c>
      <c r="D56" s="185">
        <v>20368.388645161293</v>
      </c>
      <c r="E56" s="185">
        <v>0</v>
      </c>
      <c r="F56" s="184">
        <v>12252.378494623657</v>
      </c>
      <c r="G56" s="184">
        <v>8116.0101505376351</v>
      </c>
      <c r="H56" s="184">
        <v>0</v>
      </c>
    </row>
    <row r="57" spans="2:8" hidden="1" outlineLevel="4" x14ac:dyDescent="0.25">
      <c r="B57" s="187" t="s">
        <v>216</v>
      </c>
      <c r="C57" s="242"/>
      <c r="D57" s="188">
        <v>20368.388645161293</v>
      </c>
      <c r="E57" s="188"/>
      <c r="F57" s="186">
        <v>12252.378494623657</v>
      </c>
      <c r="G57" s="186">
        <v>8116.0101505376351</v>
      </c>
      <c r="H57" s="186"/>
    </row>
    <row r="58" spans="2:8" hidden="1" outlineLevel="3" x14ac:dyDescent="0.25">
      <c r="B58" s="182" t="s">
        <v>334</v>
      </c>
      <c r="C58" s="198" t="s">
        <v>335</v>
      </c>
      <c r="D58" s="185">
        <v>56958.642787096775</v>
      </c>
      <c r="E58" s="185">
        <v>0</v>
      </c>
      <c r="F58" s="184">
        <v>34262.840430107528</v>
      </c>
      <c r="G58" s="184">
        <v>22695.80235698925</v>
      </c>
      <c r="H58" s="184">
        <v>0</v>
      </c>
    </row>
    <row r="59" spans="2:8" hidden="1" outlineLevel="4" x14ac:dyDescent="0.25">
      <c r="B59" s="187" t="s">
        <v>336</v>
      </c>
      <c r="C59" s="242"/>
      <c r="D59" s="188">
        <v>56958.642787096775</v>
      </c>
      <c r="E59" s="188"/>
      <c r="F59" s="186">
        <v>34262.840430107528</v>
      </c>
      <c r="G59" s="186">
        <v>22695.80235698925</v>
      </c>
      <c r="H59" s="186"/>
    </row>
    <row r="60" spans="2:8" hidden="1" outlineLevel="2" x14ac:dyDescent="0.25">
      <c r="B60" s="182" t="s">
        <v>218</v>
      </c>
      <c r="C60" s="195" t="s">
        <v>324</v>
      </c>
      <c r="D60" s="183">
        <v>51399.281703225803</v>
      </c>
      <c r="E60" s="183">
        <v>2860.76</v>
      </c>
      <c r="F60" s="181">
        <v>29197.809892473117</v>
      </c>
      <c r="G60" s="181">
        <v>19340.711810752688</v>
      </c>
      <c r="H60" s="181">
        <v>0</v>
      </c>
    </row>
    <row r="61" spans="2:8" hidden="1" outlineLevel="3" x14ac:dyDescent="0.25">
      <c r="B61" s="182" t="s">
        <v>219</v>
      </c>
      <c r="C61" s="198" t="s">
        <v>221</v>
      </c>
      <c r="D61" s="185">
        <v>8680.2996129032272</v>
      </c>
      <c r="E61" s="185">
        <v>2860.76</v>
      </c>
      <c r="F61" s="184">
        <v>3500.6795698924734</v>
      </c>
      <c r="G61" s="184">
        <v>2318.8600430107531</v>
      </c>
      <c r="H61" s="184">
        <v>0</v>
      </c>
    </row>
    <row r="62" spans="2:8" hidden="1" outlineLevel="4" x14ac:dyDescent="0.25">
      <c r="B62" s="187" t="s">
        <v>220</v>
      </c>
      <c r="C62" s="242"/>
      <c r="D62" s="188">
        <v>8680.2996129032272</v>
      </c>
      <c r="E62" s="188">
        <v>2860.76</v>
      </c>
      <c r="F62" s="186">
        <v>3500.6795698924734</v>
      </c>
      <c r="G62" s="186">
        <v>2318.8600430107531</v>
      </c>
      <c r="H62" s="186"/>
    </row>
    <row r="63" spans="2:8" hidden="1" outlineLevel="3" x14ac:dyDescent="0.25">
      <c r="B63" s="182" t="s">
        <v>222</v>
      </c>
      <c r="C63" s="198" t="s">
        <v>221</v>
      </c>
      <c r="D63" s="185">
        <v>42718.982090322577</v>
      </c>
      <c r="E63" s="185">
        <v>0</v>
      </c>
      <c r="F63" s="184">
        <v>25697.130322580644</v>
      </c>
      <c r="G63" s="184">
        <v>17021.851767741933</v>
      </c>
      <c r="H63" s="184">
        <v>0</v>
      </c>
    </row>
    <row r="64" spans="2:8" hidden="1" outlineLevel="4" x14ac:dyDescent="0.25">
      <c r="B64" s="187" t="s">
        <v>223</v>
      </c>
      <c r="C64" s="242"/>
      <c r="D64" s="188">
        <v>42718.982090322577</v>
      </c>
      <c r="E64" s="188"/>
      <c r="F64" s="186">
        <v>25697.130322580644</v>
      </c>
      <c r="G64" s="186">
        <v>17021.851767741933</v>
      </c>
      <c r="H64" s="186"/>
    </row>
    <row r="65" spans="2:8" hidden="1" outlineLevel="2" x14ac:dyDescent="0.25">
      <c r="B65" s="182" t="s">
        <v>328</v>
      </c>
      <c r="C65" s="195" t="s">
        <v>329</v>
      </c>
      <c r="D65" s="183">
        <v>26762.395329032261</v>
      </c>
      <c r="E65" s="183">
        <v>0</v>
      </c>
      <c r="F65" s="181">
        <v>16098.622365591398</v>
      </c>
      <c r="G65" s="181">
        <v>10663.772963440861</v>
      </c>
      <c r="H65" s="181">
        <v>0</v>
      </c>
    </row>
    <row r="66" spans="2:8" hidden="1" outlineLevel="3" x14ac:dyDescent="0.25">
      <c r="B66" s="182" t="s">
        <v>340</v>
      </c>
      <c r="C66" s="198" t="s">
        <v>341</v>
      </c>
      <c r="D66" s="185">
        <v>26762.395329032261</v>
      </c>
      <c r="E66" s="185">
        <v>0</v>
      </c>
      <c r="F66" s="184">
        <v>16098.622365591398</v>
      </c>
      <c r="G66" s="184">
        <v>10663.772963440861</v>
      </c>
      <c r="H66" s="184">
        <v>0</v>
      </c>
    </row>
    <row r="67" spans="2:8" hidden="1" outlineLevel="4" x14ac:dyDescent="0.25">
      <c r="B67" s="187" t="s">
        <v>342</v>
      </c>
      <c r="C67" s="242"/>
      <c r="D67" s="188">
        <v>26762.395329032261</v>
      </c>
      <c r="E67" s="188"/>
      <c r="F67" s="186">
        <v>16098.622365591398</v>
      </c>
      <c r="G67" s="186">
        <v>10663.772963440861</v>
      </c>
      <c r="H67" s="186"/>
    </row>
    <row r="68" spans="2:8" outlineLevel="1" collapsed="1" x14ac:dyDescent="0.25">
      <c r="B68" s="180" t="s">
        <v>46</v>
      </c>
      <c r="C68" s="192" t="s">
        <v>224</v>
      </c>
      <c r="D68" s="179">
        <v>19051997.477653317</v>
      </c>
      <c r="E68" s="179">
        <v>609143.34</v>
      </c>
      <c r="F68" s="179">
        <v>10748447.856274337</v>
      </c>
      <c r="G68" s="179">
        <v>7694406.2813789817</v>
      </c>
      <c r="H68" s="179">
        <v>0</v>
      </c>
    </row>
    <row r="69" spans="2:8" hidden="1" outlineLevel="2" x14ac:dyDescent="0.25">
      <c r="B69" s="182" t="s">
        <v>225</v>
      </c>
      <c r="C69" s="195" t="s">
        <v>332</v>
      </c>
      <c r="D69" s="183">
        <v>17041.684961769912</v>
      </c>
      <c r="E69" s="183">
        <v>0</v>
      </c>
      <c r="F69" s="181">
        <v>9931.850067256637</v>
      </c>
      <c r="G69" s="181">
        <v>7109.8348945132748</v>
      </c>
      <c r="H69" s="181">
        <v>0</v>
      </c>
    </row>
    <row r="70" spans="2:8" hidden="1" outlineLevel="3" x14ac:dyDescent="0.25">
      <c r="B70" s="182" t="s">
        <v>226</v>
      </c>
      <c r="C70" s="198" t="s">
        <v>228</v>
      </c>
      <c r="D70" s="185">
        <v>17041.684961769912</v>
      </c>
      <c r="E70" s="185">
        <v>0</v>
      </c>
      <c r="F70" s="184">
        <v>9931.850067256637</v>
      </c>
      <c r="G70" s="184">
        <v>7109.8348945132748</v>
      </c>
      <c r="H70" s="184">
        <v>0</v>
      </c>
    </row>
    <row r="71" spans="2:8" hidden="1" outlineLevel="4" x14ac:dyDescent="0.25">
      <c r="B71" s="187" t="s">
        <v>227</v>
      </c>
      <c r="C71" s="242"/>
      <c r="D71" s="188">
        <v>17041.684961769912</v>
      </c>
      <c r="E71" s="188"/>
      <c r="F71" s="186">
        <v>9931.850067256637</v>
      </c>
      <c r="G71" s="186">
        <v>7109.8348945132748</v>
      </c>
      <c r="H71" s="186"/>
    </row>
    <row r="72" spans="2:8" hidden="1" outlineLevel="2" x14ac:dyDescent="0.25">
      <c r="B72" s="182" t="s">
        <v>229</v>
      </c>
      <c r="C72" s="195" t="s">
        <v>333</v>
      </c>
      <c r="D72" s="183">
        <v>3749192.099400044</v>
      </c>
      <c r="E72" s="183">
        <v>609143.34</v>
      </c>
      <c r="F72" s="181">
        <v>1830012.3279699113</v>
      </c>
      <c r="G72" s="181">
        <v>1310036.4314301331</v>
      </c>
      <c r="H72" s="181">
        <v>0</v>
      </c>
    </row>
    <row r="73" spans="2:8" hidden="1" outlineLevel="3" x14ac:dyDescent="0.25">
      <c r="B73" s="182" t="s">
        <v>230</v>
      </c>
      <c r="C73" s="198" t="s">
        <v>232</v>
      </c>
      <c r="D73" s="185">
        <v>1327378.7610619469</v>
      </c>
      <c r="E73" s="185">
        <v>0</v>
      </c>
      <c r="F73" s="184">
        <v>773592.92035398225</v>
      </c>
      <c r="G73" s="184">
        <v>553785.84070796461</v>
      </c>
      <c r="H73" s="184">
        <v>0</v>
      </c>
    </row>
    <row r="74" spans="2:8" hidden="1" outlineLevel="4" x14ac:dyDescent="0.25">
      <c r="B74" s="187" t="s">
        <v>231</v>
      </c>
      <c r="C74" s="242"/>
      <c r="D74" s="188">
        <v>1327378.7610619469</v>
      </c>
      <c r="E74" s="188"/>
      <c r="F74" s="186">
        <v>773592.92035398225</v>
      </c>
      <c r="G74" s="186">
        <v>553785.84070796461</v>
      </c>
      <c r="H74" s="186"/>
    </row>
    <row r="75" spans="2:8" hidden="1" outlineLevel="3" x14ac:dyDescent="0.25">
      <c r="B75" s="182" t="s">
        <v>362</v>
      </c>
      <c r="C75" s="198" t="s">
        <v>363</v>
      </c>
      <c r="D75" s="185">
        <v>1253049.9750383482</v>
      </c>
      <c r="E75" s="185">
        <v>0</v>
      </c>
      <c r="F75" s="184">
        <v>730274.29545722716</v>
      </c>
      <c r="G75" s="184">
        <v>522775.67958112096</v>
      </c>
      <c r="H75" s="184">
        <v>0</v>
      </c>
    </row>
    <row r="76" spans="2:8" hidden="1" outlineLevel="4" x14ac:dyDescent="0.25">
      <c r="B76" s="187" t="s">
        <v>364</v>
      </c>
      <c r="C76" s="242"/>
      <c r="D76" s="188">
        <v>1253049.9750383482</v>
      </c>
      <c r="E76" s="188"/>
      <c r="F76" s="186">
        <v>730274.29545722716</v>
      </c>
      <c r="G76" s="186">
        <v>522775.67958112096</v>
      </c>
      <c r="H76" s="186"/>
    </row>
    <row r="77" spans="2:8" hidden="1" outlineLevel="3" x14ac:dyDescent="0.25">
      <c r="B77" s="182" t="s">
        <v>366</v>
      </c>
      <c r="C77" s="198" t="s">
        <v>367</v>
      </c>
      <c r="D77" s="185">
        <v>408322.43869616516</v>
      </c>
      <c r="E77" s="185">
        <v>0</v>
      </c>
      <c r="F77" s="184">
        <v>237969.26985250734</v>
      </c>
      <c r="G77" s="184">
        <v>170353.16884365783</v>
      </c>
      <c r="H77" s="184">
        <v>0</v>
      </c>
    </row>
    <row r="78" spans="2:8" hidden="1" outlineLevel="4" x14ac:dyDescent="0.25">
      <c r="B78" s="187" t="s">
        <v>368</v>
      </c>
      <c r="C78" s="242"/>
      <c r="D78" s="188">
        <v>408322.43869616516</v>
      </c>
      <c r="E78" s="188"/>
      <c r="F78" s="186">
        <v>237969.26985250734</v>
      </c>
      <c r="G78" s="186">
        <v>170353.16884365783</v>
      </c>
      <c r="H78" s="186"/>
    </row>
    <row r="79" spans="2:8" hidden="1" outlineLevel="3" x14ac:dyDescent="0.25">
      <c r="B79" s="182" t="s">
        <v>371</v>
      </c>
      <c r="C79" s="198" t="s">
        <v>372</v>
      </c>
      <c r="D79" s="185">
        <v>30972.171091445427</v>
      </c>
      <c r="E79" s="185">
        <v>0</v>
      </c>
      <c r="F79" s="184">
        <v>18050.501474926252</v>
      </c>
      <c r="G79" s="184">
        <v>12921.669616519175</v>
      </c>
      <c r="H79" s="184">
        <v>0</v>
      </c>
    </row>
    <row r="80" spans="2:8" hidden="1" outlineLevel="4" x14ac:dyDescent="0.25">
      <c r="B80" s="187" t="s">
        <v>373</v>
      </c>
      <c r="C80" s="242"/>
      <c r="D80" s="188">
        <v>30972.171091445427</v>
      </c>
      <c r="E80" s="188"/>
      <c r="F80" s="186">
        <v>18050.501474926252</v>
      </c>
      <c r="G80" s="186">
        <v>12921.669616519175</v>
      </c>
      <c r="H80" s="186"/>
    </row>
    <row r="81" spans="2:8" hidden="1" outlineLevel="3" x14ac:dyDescent="0.25">
      <c r="B81" s="182" t="s">
        <v>376</v>
      </c>
      <c r="C81" s="198" t="s">
        <v>377</v>
      </c>
      <c r="D81" s="185">
        <v>729468.75351213862</v>
      </c>
      <c r="E81" s="185">
        <v>609143.34</v>
      </c>
      <c r="F81" s="184">
        <v>70125.340831268433</v>
      </c>
      <c r="G81" s="184">
        <v>50200.072680870202</v>
      </c>
      <c r="H81" s="184">
        <v>0</v>
      </c>
    </row>
    <row r="82" spans="2:8" hidden="1" outlineLevel="4" x14ac:dyDescent="0.25">
      <c r="B82" s="187" t="s">
        <v>378</v>
      </c>
      <c r="C82" s="242"/>
      <c r="D82" s="188">
        <v>729468.75351213862</v>
      </c>
      <c r="E82" s="188">
        <v>609143.34</v>
      </c>
      <c r="F82" s="186">
        <v>70125.340831268433</v>
      </c>
      <c r="G82" s="186">
        <v>50200.072680870202</v>
      </c>
      <c r="H82" s="186"/>
    </row>
    <row r="83" spans="2:8" hidden="1" outlineLevel="2" x14ac:dyDescent="0.25">
      <c r="B83" s="182" t="s">
        <v>233</v>
      </c>
      <c r="C83" s="195" t="s">
        <v>337</v>
      </c>
      <c r="D83" s="183">
        <v>580.72820796460178</v>
      </c>
      <c r="E83" s="183">
        <v>0</v>
      </c>
      <c r="F83" s="181">
        <v>338.44690265486724</v>
      </c>
      <c r="G83" s="181">
        <v>242.28130530973451</v>
      </c>
      <c r="H83" s="181">
        <v>0</v>
      </c>
    </row>
    <row r="84" spans="2:8" hidden="1" outlineLevel="3" x14ac:dyDescent="0.25">
      <c r="B84" s="182" t="s">
        <v>234</v>
      </c>
      <c r="C84" s="198" t="s">
        <v>236</v>
      </c>
      <c r="D84" s="185">
        <v>580.72820796460178</v>
      </c>
      <c r="E84" s="185">
        <v>0</v>
      </c>
      <c r="F84" s="184">
        <v>338.44690265486724</v>
      </c>
      <c r="G84" s="184">
        <v>242.28130530973451</v>
      </c>
      <c r="H84" s="184">
        <v>0</v>
      </c>
    </row>
    <row r="85" spans="2:8" hidden="1" outlineLevel="4" x14ac:dyDescent="0.25">
      <c r="B85" s="187" t="s">
        <v>235</v>
      </c>
      <c r="C85" s="242"/>
      <c r="D85" s="188">
        <v>580.72820796460178</v>
      </c>
      <c r="E85" s="188"/>
      <c r="F85" s="186">
        <v>338.44690265486724</v>
      </c>
      <c r="G85" s="186">
        <v>242.28130530973451</v>
      </c>
      <c r="H85" s="186"/>
    </row>
    <row r="86" spans="2:8" hidden="1" outlineLevel="2" x14ac:dyDescent="0.25">
      <c r="B86" s="182" t="s">
        <v>338</v>
      </c>
      <c r="C86" s="195" t="s">
        <v>339</v>
      </c>
      <c r="D86" s="183">
        <v>1717240.9646755161</v>
      </c>
      <c r="E86" s="183">
        <v>0</v>
      </c>
      <c r="F86" s="181">
        <v>1000803.6076696165</v>
      </c>
      <c r="G86" s="181">
        <v>716437.35700589977</v>
      </c>
      <c r="H86" s="181">
        <v>0</v>
      </c>
    </row>
    <row r="87" spans="2:8" hidden="1" outlineLevel="3" x14ac:dyDescent="0.25">
      <c r="B87" s="182" t="s">
        <v>382</v>
      </c>
      <c r="C87" s="198" t="s">
        <v>383</v>
      </c>
      <c r="D87" s="185">
        <v>1697662.1279498525</v>
      </c>
      <c r="E87" s="185">
        <v>0</v>
      </c>
      <c r="F87" s="184">
        <v>989393.11209439521</v>
      </c>
      <c r="G87" s="184">
        <v>708269.01585545728</v>
      </c>
      <c r="H87" s="184">
        <v>0</v>
      </c>
    </row>
    <row r="88" spans="2:8" hidden="1" outlineLevel="4" x14ac:dyDescent="0.25">
      <c r="B88" s="187" t="s">
        <v>387</v>
      </c>
      <c r="C88" s="242"/>
      <c r="D88" s="188">
        <v>1697662.1279498525</v>
      </c>
      <c r="E88" s="188"/>
      <c r="F88" s="186">
        <v>989393.11209439521</v>
      </c>
      <c r="G88" s="186">
        <v>708269.01585545728</v>
      </c>
      <c r="H88" s="186"/>
    </row>
    <row r="89" spans="2:8" hidden="1" outlineLevel="3" x14ac:dyDescent="0.25">
      <c r="B89" s="182" t="s">
        <v>385</v>
      </c>
      <c r="C89" s="198" t="s">
        <v>386</v>
      </c>
      <c r="D89" s="185">
        <v>19578.836725663718</v>
      </c>
      <c r="E89" s="185">
        <v>0</v>
      </c>
      <c r="F89" s="184">
        <v>11410.495575221239</v>
      </c>
      <c r="G89" s="184">
        <v>8168.3411504424776</v>
      </c>
      <c r="H89" s="184">
        <v>0</v>
      </c>
    </row>
    <row r="90" spans="2:8" hidden="1" outlineLevel="4" x14ac:dyDescent="0.25">
      <c r="B90" s="187" t="s">
        <v>388</v>
      </c>
      <c r="C90" s="242"/>
      <c r="D90" s="188">
        <v>19578.836725663718</v>
      </c>
      <c r="E90" s="188"/>
      <c r="F90" s="186">
        <v>11410.495575221239</v>
      </c>
      <c r="G90" s="186">
        <v>8168.3411504424776</v>
      </c>
      <c r="H90" s="186"/>
    </row>
    <row r="91" spans="2:8" hidden="1" outlineLevel="2" x14ac:dyDescent="0.25">
      <c r="B91" s="182" t="s">
        <v>343</v>
      </c>
      <c r="C91" s="195" t="s">
        <v>344</v>
      </c>
      <c r="D91" s="183">
        <v>263177.17465781712</v>
      </c>
      <c r="E91" s="183">
        <v>0</v>
      </c>
      <c r="F91" s="181">
        <v>153378.97899705014</v>
      </c>
      <c r="G91" s="181">
        <v>109798.19566076696</v>
      </c>
      <c r="H91" s="181">
        <v>0</v>
      </c>
    </row>
    <row r="92" spans="2:8" hidden="1" outlineLevel="3" x14ac:dyDescent="0.25">
      <c r="B92" s="182" t="s">
        <v>390</v>
      </c>
      <c r="C92" s="198" t="s">
        <v>344</v>
      </c>
      <c r="D92" s="185">
        <v>263177.17465781712</v>
      </c>
      <c r="E92" s="185">
        <v>0</v>
      </c>
      <c r="F92" s="184">
        <v>153378.97899705014</v>
      </c>
      <c r="G92" s="184">
        <v>109798.19566076696</v>
      </c>
      <c r="H92" s="184">
        <v>0</v>
      </c>
    </row>
    <row r="93" spans="2:8" hidden="1" outlineLevel="4" x14ac:dyDescent="0.25">
      <c r="B93" s="187" t="s">
        <v>392</v>
      </c>
      <c r="C93" s="242"/>
      <c r="D93" s="188">
        <v>263177.17465781712</v>
      </c>
      <c r="E93" s="188"/>
      <c r="F93" s="186">
        <v>153378.97899705014</v>
      </c>
      <c r="G93" s="186">
        <v>109798.19566076696</v>
      </c>
      <c r="H93" s="186"/>
    </row>
    <row r="94" spans="2:8" hidden="1" outlineLevel="2" x14ac:dyDescent="0.25">
      <c r="B94" s="182" t="s">
        <v>345</v>
      </c>
      <c r="C94" s="195" t="s">
        <v>346</v>
      </c>
      <c r="D94" s="183">
        <v>13304764.825750206</v>
      </c>
      <c r="E94" s="183">
        <v>0</v>
      </c>
      <c r="F94" s="181">
        <v>7753982.6446678462</v>
      </c>
      <c r="G94" s="181">
        <v>5550782.1810823595</v>
      </c>
      <c r="H94" s="181">
        <v>0</v>
      </c>
    </row>
    <row r="95" spans="2:8" hidden="1" outlineLevel="3" x14ac:dyDescent="0.25">
      <c r="B95" s="182" t="s">
        <v>393</v>
      </c>
      <c r="C95" s="198" t="s">
        <v>346</v>
      </c>
      <c r="D95" s="185">
        <v>13156049.733956695</v>
      </c>
      <c r="E95" s="185">
        <v>0</v>
      </c>
      <c r="F95" s="184">
        <v>7667311.8725144537</v>
      </c>
      <c r="G95" s="184">
        <v>5488737.8614422418</v>
      </c>
      <c r="H95" s="184">
        <v>0</v>
      </c>
    </row>
    <row r="96" spans="2:8" hidden="1" outlineLevel="4" x14ac:dyDescent="0.25">
      <c r="B96" s="187" t="s">
        <v>396</v>
      </c>
      <c r="C96" s="242"/>
      <c r="D96" s="188">
        <v>13156049.733956695</v>
      </c>
      <c r="E96" s="188"/>
      <c r="F96" s="186">
        <v>7667311.8725144537</v>
      </c>
      <c r="G96" s="186">
        <v>5488737.8614422418</v>
      </c>
      <c r="H96" s="186"/>
    </row>
    <row r="97" spans="2:8" hidden="1" outlineLevel="3" x14ac:dyDescent="0.25">
      <c r="B97" s="182" t="s">
        <v>394</v>
      </c>
      <c r="C97" s="198" t="s">
        <v>395</v>
      </c>
      <c r="D97" s="185">
        <v>148715.09179351034</v>
      </c>
      <c r="E97" s="185">
        <v>0</v>
      </c>
      <c r="F97" s="184">
        <v>86670.772153392332</v>
      </c>
      <c r="G97" s="184">
        <v>62044.319640117996</v>
      </c>
      <c r="H97" s="184">
        <v>0</v>
      </c>
    </row>
    <row r="98" spans="2:8" hidden="1" outlineLevel="4" x14ac:dyDescent="0.25">
      <c r="B98" s="187" t="s">
        <v>399</v>
      </c>
      <c r="C98" s="242"/>
      <c r="D98" s="188">
        <v>148715.09179351034</v>
      </c>
      <c r="E98" s="188"/>
      <c r="F98" s="186">
        <v>86670.772153392332</v>
      </c>
      <c r="G98" s="186">
        <v>62044.319640117996</v>
      </c>
      <c r="H98" s="186"/>
    </row>
    <row r="99" spans="2:8" outlineLevel="1" collapsed="1" x14ac:dyDescent="0.25">
      <c r="B99" s="180" t="s">
        <v>47</v>
      </c>
      <c r="C99" s="192" t="s">
        <v>237</v>
      </c>
      <c r="D99" s="179">
        <v>7610209.0175448013</v>
      </c>
      <c r="E99" s="179">
        <v>0</v>
      </c>
      <c r="F99" s="179">
        <v>0</v>
      </c>
      <c r="G99" s="179">
        <v>0</v>
      </c>
      <c r="H99" s="179">
        <v>7610209.0175448013</v>
      </c>
    </row>
    <row r="100" spans="2:8" hidden="1" outlineLevel="2" x14ac:dyDescent="0.25">
      <c r="B100" s="182" t="s">
        <v>238</v>
      </c>
      <c r="C100" s="195" t="s">
        <v>347</v>
      </c>
      <c r="D100" s="183">
        <v>1027664.5780488001</v>
      </c>
      <c r="E100" s="183">
        <v>0</v>
      </c>
      <c r="F100" s="181">
        <v>0</v>
      </c>
      <c r="G100" s="181">
        <v>0</v>
      </c>
      <c r="H100" s="181">
        <v>1027664.5780488001</v>
      </c>
    </row>
    <row r="101" spans="2:8" hidden="1" outlineLevel="3" x14ac:dyDescent="0.25">
      <c r="B101" s="182" t="s">
        <v>397</v>
      </c>
      <c r="C101" s="198" t="s">
        <v>398</v>
      </c>
      <c r="D101" s="185">
        <v>667063.91268800001</v>
      </c>
      <c r="E101" s="185">
        <v>0</v>
      </c>
      <c r="F101" s="184">
        <v>0</v>
      </c>
      <c r="G101" s="184">
        <v>0</v>
      </c>
      <c r="H101" s="184">
        <v>667063.91268800001</v>
      </c>
    </row>
    <row r="102" spans="2:8" hidden="1" outlineLevel="4" x14ac:dyDescent="0.25">
      <c r="B102" s="187" t="s">
        <v>401</v>
      </c>
      <c r="C102" s="242"/>
      <c r="D102" s="188">
        <v>667063.91268800001</v>
      </c>
      <c r="E102" s="188"/>
      <c r="F102" s="186"/>
      <c r="G102" s="186"/>
      <c r="H102" s="186">
        <v>667063.91268800001</v>
      </c>
    </row>
    <row r="103" spans="2:8" hidden="1" outlineLevel="3" x14ac:dyDescent="0.25">
      <c r="B103" s="182" t="s">
        <v>239</v>
      </c>
      <c r="C103" s="198" t="s">
        <v>400</v>
      </c>
      <c r="D103" s="185">
        <v>2114.670752</v>
      </c>
      <c r="E103" s="185">
        <v>0</v>
      </c>
      <c r="F103" s="184">
        <v>0</v>
      </c>
      <c r="G103" s="184">
        <v>0</v>
      </c>
      <c r="H103" s="184">
        <v>2114.670752</v>
      </c>
    </row>
    <row r="104" spans="2:8" hidden="1" outlineLevel="4" x14ac:dyDescent="0.25">
      <c r="B104" s="187" t="s">
        <v>240</v>
      </c>
      <c r="C104" s="242"/>
      <c r="D104" s="188">
        <v>2114.670752</v>
      </c>
      <c r="E104" s="188"/>
      <c r="F104" s="186"/>
      <c r="G104" s="186"/>
      <c r="H104" s="186">
        <v>2114.670752</v>
      </c>
    </row>
    <row r="105" spans="2:8" hidden="1" outlineLevel="3" x14ac:dyDescent="0.25">
      <c r="B105" s="182" t="s">
        <v>241</v>
      </c>
      <c r="C105" s="198" t="s">
        <v>243</v>
      </c>
      <c r="D105" s="185">
        <v>358485.99460880022</v>
      </c>
      <c r="E105" s="185">
        <v>0</v>
      </c>
      <c r="F105" s="184">
        <v>0</v>
      </c>
      <c r="G105" s="184">
        <v>0</v>
      </c>
      <c r="H105" s="184">
        <v>358485.99460880022</v>
      </c>
    </row>
    <row r="106" spans="2:8" hidden="1" outlineLevel="4" x14ac:dyDescent="0.25">
      <c r="B106" s="187" t="s">
        <v>242</v>
      </c>
      <c r="C106" s="242"/>
      <c r="D106" s="188">
        <v>358485.99460880022</v>
      </c>
      <c r="E106" s="188"/>
      <c r="F106" s="186"/>
      <c r="G106" s="186"/>
      <c r="H106" s="186">
        <v>358485.99460880022</v>
      </c>
    </row>
    <row r="107" spans="2:8" hidden="1" outlineLevel="2" x14ac:dyDescent="0.25">
      <c r="B107" s="182" t="s">
        <v>244</v>
      </c>
      <c r="C107" s="195" t="s">
        <v>348</v>
      </c>
      <c r="D107" s="183">
        <v>340154.04308500001</v>
      </c>
      <c r="E107" s="183">
        <v>0</v>
      </c>
      <c r="F107" s="181">
        <v>0</v>
      </c>
      <c r="G107" s="181">
        <v>0</v>
      </c>
      <c r="H107" s="181">
        <v>340154.04308500001</v>
      </c>
    </row>
    <row r="108" spans="2:8" hidden="1" outlineLevel="3" x14ac:dyDescent="0.25">
      <c r="B108" s="182" t="s">
        <v>245</v>
      </c>
      <c r="C108" s="198" t="s">
        <v>404</v>
      </c>
      <c r="D108" s="185">
        <v>137515.55544</v>
      </c>
      <c r="E108" s="185">
        <v>0</v>
      </c>
      <c r="F108" s="184">
        <v>0</v>
      </c>
      <c r="G108" s="184">
        <v>0</v>
      </c>
      <c r="H108" s="184">
        <v>137515.55544</v>
      </c>
    </row>
    <row r="109" spans="2:8" hidden="1" outlineLevel="4" x14ac:dyDescent="0.25">
      <c r="B109" s="187" t="s">
        <v>422</v>
      </c>
      <c r="C109" s="242"/>
      <c r="D109" s="188">
        <v>137515.55544</v>
      </c>
      <c r="E109" s="188"/>
      <c r="F109" s="186"/>
      <c r="G109" s="186"/>
      <c r="H109" s="186">
        <v>137515.55544</v>
      </c>
    </row>
    <row r="110" spans="2:8" hidden="1" outlineLevel="3" x14ac:dyDescent="0.25">
      <c r="B110" s="182" t="s">
        <v>246</v>
      </c>
      <c r="C110" s="198" t="s">
        <v>406</v>
      </c>
      <c r="D110" s="185">
        <v>194987.10764500001</v>
      </c>
      <c r="E110" s="185">
        <v>0</v>
      </c>
      <c r="F110" s="184">
        <v>0</v>
      </c>
      <c r="G110" s="184">
        <v>0</v>
      </c>
      <c r="H110" s="184">
        <v>194987.10764500001</v>
      </c>
    </row>
    <row r="111" spans="2:8" hidden="1" outlineLevel="4" x14ac:dyDescent="0.25">
      <c r="B111" s="187" t="s">
        <v>247</v>
      </c>
      <c r="C111" s="242"/>
      <c r="D111" s="188">
        <v>27307.056767999999</v>
      </c>
      <c r="E111" s="188"/>
      <c r="F111" s="186"/>
      <c r="G111" s="186"/>
      <c r="H111" s="186">
        <v>27307.056767999999</v>
      </c>
    </row>
    <row r="112" spans="2:8" hidden="1" outlineLevel="4" x14ac:dyDescent="0.25">
      <c r="B112" s="187" t="s">
        <v>248</v>
      </c>
      <c r="C112" s="242"/>
      <c r="D112" s="188">
        <v>167680.050877</v>
      </c>
      <c r="E112" s="188"/>
      <c r="F112" s="186"/>
      <c r="G112" s="186"/>
      <c r="H112" s="186">
        <v>167680.050877</v>
      </c>
    </row>
    <row r="113" spans="2:8" hidden="1" outlineLevel="3" x14ac:dyDescent="0.25">
      <c r="B113" s="182" t="s">
        <v>408</v>
      </c>
      <c r="C113" s="198" t="s">
        <v>409</v>
      </c>
      <c r="D113" s="185">
        <v>7651.38</v>
      </c>
      <c r="E113" s="185">
        <v>0</v>
      </c>
      <c r="F113" s="184">
        <v>0</v>
      </c>
      <c r="G113" s="184">
        <v>0</v>
      </c>
      <c r="H113" s="184">
        <v>7651.38</v>
      </c>
    </row>
    <row r="114" spans="2:8" hidden="1" outlineLevel="4" x14ac:dyDescent="0.25">
      <c r="B114" s="187" t="s">
        <v>428</v>
      </c>
      <c r="C114" s="242"/>
      <c r="D114" s="188">
        <v>7651.38</v>
      </c>
      <c r="E114" s="188"/>
      <c r="F114" s="186"/>
      <c r="G114" s="186"/>
      <c r="H114" s="186">
        <v>7651.38</v>
      </c>
    </row>
    <row r="115" spans="2:8" hidden="1" outlineLevel="2" x14ac:dyDescent="0.25">
      <c r="B115" s="182" t="s">
        <v>249</v>
      </c>
      <c r="C115" s="195" t="s">
        <v>349</v>
      </c>
      <c r="D115" s="183">
        <v>6230797.3964110008</v>
      </c>
      <c r="E115" s="183">
        <v>0</v>
      </c>
      <c r="F115" s="181">
        <v>0</v>
      </c>
      <c r="G115" s="181">
        <v>0</v>
      </c>
      <c r="H115" s="181">
        <v>6230797.3964110008</v>
      </c>
    </row>
    <row r="116" spans="2:8" hidden="1" outlineLevel="3" x14ac:dyDescent="0.25">
      <c r="B116" s="182" t="s">
        <v>250</v>
      </c>
      <c r="C116" s="198" t="s">
        <v>411</v>
      </c>
      <c r="D116" s="185">
        <v>2176483.2618900002</v>
      </c>
      <c r="E116" s="185">
        <v>0</v>
      </c>
      <c r="F116" s="184">
        <v>0</v>
      </c>
      <c r="G116" s="184">
        <v>0</v>
      </c>
      <c r="H116" s="184">
        <v>2176483.2618900002</v>
      </c>
    </row>
    <row r="117" spans="2:8" hidden="1" outlineLevel="4" x14ac:dyDescent="0.25">
      <c r="B117" s="187" t="s">
        <v>251</v>
      </c>
      <c r="C117" s="242"/>
      <c r="D117" s="188">
        <v>1124113.3997699998</v>
      </c>
      <c r="E117" s="188"/>
      <c r="F117" s="186"/>
      <c r="G117" s="186"/>
      <c r="H117" s="186">
        <v>1124113.3997699998</v>
      </c>
    </row>
    <row r="118" spans="2:8" hidden="1" outlineLevel="4" x14ac:dyDescent="0.25">
      <c r="B118" s="187" t="s">
        <v>431</v>
      </c>
      <c r="C118" s="242"/>
      <c r="D118" s="188">
        <v>573001.65154800005</v>
      </c>
      <c r="E118" s="188"/>
      <c r="F118" s="186"/>
      <c r="G118" s="186"/>
      <c r="H118" s="186">
        <v>573001.65154800005</v>
      </c>
    </row>
    <row r="119" spans="2:8" hidden="1" outlineLevel="4" x14ac:dyDescent="0.25">
      <c r="B119" s="187" t="s">
        <v>252</v>
      </c>
      <c r="C119" s="242"/>
      <c r="D119" s="188">
        <v>464279.34814199997</v>
      </c>
      <c r="E119" s="188"/>
      <c r="F119" s="186"/>
      <c r="G119" s="186"/>
      <c r="H119" s="186">
        <v>464279.34814199997</v>
      </c>
    </row>
    <row r="120" spans="2:8" hidden="1" outlineLevel="4" x14ac:dyDescent="0.25">
      <c r="B120" s="187" t="s">
        <v>253</v>
      </c>
      <c r="C120" s="242"/>
      <c r="D120" s="188">
        <v>15088.862430000001</v>
      </c>
      <c r="E120" s="188"/>
      <c r="F120" s="186"/>
      <c r="G120" s="186"/>
      <c r="H120" s="186">
        <v>15088.862430000001</v>
      </c>
    </row>
    <row r="121" spans="2:8" hidden="1" outlineLevel="3" x14ac:dyDescent="0.25">
      <c r="B121" s="182" t="s">
        <v>254</v>
      </c>
      <c r="C121" s="198" t="s">
        <v>412</v>
      </c>
      <c r="D121" s="185">
        <v>3869676.795961</v>
      </c>
      <c r="E121" s="185">
        <v>0</v>
      </c>
      <c r="F121" s="184">
        <v>0</v>
      </c>
      <c r="G121" s="184">
        <v>0</v>
      </c>
      <c r="H121" s="184">
        <v>3869676.795961</v>
      </c>
    </row>
    <row r="122" spans="2:8" hidden="1" outlineLevel="4" x14ac:dyDescent="0.25">
      <c r="B122" s="187" t="s">
        <v>255</v>
      </c>
      <c r="C122" s="242"/>
      <c r="D122" s="188">
        <v>169250.89367999998</v>
      </c>
      <c r="E122" s="188"/>
      <c r="F122" s="186"/>
      <c r="G122" s="186"/>
      <c r="H122" s="186">
        <v>169250.89367999998</v>
      </c>
    </row>
    <row r="123" spans="2:8" hidden="1" outlineLevel="4" x14ac:dyDescent="0.25">
      <c r="B123" s="187" t="s">
        <v>434</v>
      </c>
      <c r="C123" s="242"/>
      <c r="D123" s="188">
        <v>210603.75721599997</v>
      </c>
      <c r="E123" s="188"/>
      <c r="F123" s="186"/>
      <c r="G123" s="186"/>
      <c r="H123" s="186">
        <v>210603.75721599997</v>
      </c>
    </row>
    <row r="124" spans="2:8" hidden="1" outlineLevel="4" x14ac:dyDescent="0.25">
      <c r="B124" s="187" t="s">
        <v>435</v>
      </c>
      <c r="C124" s="242"/>
      <c r="D124" s="188">
        <v>334478.53629000002</v>
      </c>
      <c r="E124" s="188"/>
      <c r="F124" s="186"/>
      <c r="G124" s="186"/>
      <c r="H124" s="186">
        <v>334478.53629000002</v>
      </c>
    </row>
    <row r="125" spans="2:8" hidden="1" outlineLevel="4" x14ac:dyDescent="0.25">
      <c r="B125" s="187" t="s">
        <v>436</v>
      </c>
      <c r="C125" s="242"/>
      <c r="D125" s="188">
        <v>362945.27138200001</v>
      </c>
      <c r="E125" s="188"/>
      <c r="F125" s="186"/>
      <c r="G125" s="186"/>
      <c r="H125" s="186">
        <v>362945.27138200001</v>
      </c>
    </row>
    <row r="126" spans="2:8" hidden="1" outlineLevel="4" x14ac:dyDescent="0.25">
      <c r="B126" s="187" t="s">
        <v>437</v>
      </c>
      <c r="C126" s="242"/>
      <c r="D126" s="188">
        <v>82318.494527999996</v>
      </c>
      <c r="E126" s="188"/>
      <c r="F126" s="186"/>
      <c r="G126" s="186"/>
      <c r="H126" s="186">
        <v>82318.494527999996</v>
      </c>
    </row>
    <row r="127" spans="2:8" hidden="1" outlineLevel="4" x14ac:dyDescent="0.25">
      <c r="B127" s="187" t="s">
        <v>438</v>
      </c>
      <c r="C127" s="242"/>
      <c r="D127" s="188">
        <v>1876557.7410850001</v>
      </c>
      <c r="E127" s="188"/>
      <c r="F127" s="186"/>
      <c r="G127" s="186"/>
      <c r="H127" s="186">
        <v>1876557.7410850001</v>
      </c>
    </row>
    <row r="128" spans="2:8" hidden="1" outlineLevel="4" x14ac:dyDescent="0.25">
      <c r="B128" s="187" t="s">
        <v>440</v>
      </c>
      <c r="C128" s="242"/>
      <c r="D128" s="188">
        <v>417872.44797400001</v>
      </c>
      <c r="E128" s="188"/>
      <c r="F128" s="186"/>
      <c r="G128" s="186"/>
      <c r="H128" s="186">
        <v>417872.44797400001</v>
      </c>
    </row>
    <row r="129" spans="2:8" hidden="1" outlineLevel="4" x14ac:dyDescent="0.25">
      <c r="B129" s="187" t="s">
        <v>441</v>
      </c>
      <c r="C129" s="242"/>
      <c r="D129" s="188">
        <v>415649.65380600002</v>
      </c>
      <c r="E129" s="188"/>
      <c r="F129" s="186"/>
      <c r="G129" s="186"/>
      <c r="H129" s="186">
        <v>415649.65380600002</v>
      </c>
    </row>
    <row r="130" spans="2:8" hidden="1" outlineLevel="3" x14ac:dyDescent="0.25">
      <c r="B130" s="182" t="s">
        <v>414</v>
      </c>
      <c r="C130" s="198" t="s">
        <v>415</v>
      </c>
      <c r="D130" s="185">
        <v>184637.33856</v>
      </c>
      <c r="E130" s="185">
        <v>0</v>
      </c>
      <c r="F130" s="184">
        <v>0</v>
      </c>
      <c r="G130" s="184">
        <v>0</v>
      </c>
      <c r="H130" s="184">
        <v>184637.33856</v>
      </c>
    </row>
    <row r="131" spans="2:8" hidden="1" outlineLevel="4" x14ac:dyDescent="0.25">
      <c r="B131" s="187" t="s">
        <v>443</v>
      </c>
      <c r="C131" s="242"/>
      <c r="D131" s="188">
        <v>92318.669280000002</v>
      </c>
      <c r="E131" s="188"/>
      <c r="F131" s="186"/>
      <c r="G131" s="186"/>
      <c r="H131" s="186">
        <v>92318.669280000002</v>
      </c>
    </row>
    <row r="132" spans="2:8" hidden="1" outlineLevel="4" x14ac:dyDescent="0.25">
      <c r="B132" s="187" t="s">
        <v>445</v>
      </c>
      <c r="C132" s="242"/>
      <c r="D132" s="188">
        <v>92318.669280000002</v>
      </c>
      <c r="E132" s="188"/>
      <c r="F132" s="186"/>
      <c r="G132" s="186"/>
      <c r="H132" s="186">
        <v>92318.669280000002</v>
      </c>
    </row>
    <row r="133" spans="2:8" hidden="1" outlineLevel="2" x14ac:dyDescent="0.25">
      <c r="B133" s="182" t="s">
        <v>350</v>
      </c>
      <c r="C133" s="195" t="s">
        <v>351</v>
      </c>
      <c r="D133" s="183">
        <v>11593</v>
      </c>
      <c r="E133" s="183">
        <v>0</v>
      </c>
      <c r="F133" s="181">
        <v>0</v>
      </c>
      <c r="G133" s="181">
        <v>0</v>
      </c>
      <c r="H133" s="181">
        <v>11593</v>
      </c>
    </row>
    <row r="134" spans="2:8" hidden="1" outlineLevel="3" x14ac:dyDescent="0.25">
      <c r="B134" s="182" t="s">
        <v>417</v>
      </c>
      <c r="C134" s="198" t="s">
        <v>351</v>
      </c>
      <c r="D134" s="185">
        <v>11593</v>
      </c>
      <c r="E134" s="185">
        <v>0</v>
      </c>
      <c r="F134" s="184">
        <v>0</v>
      </c>
      <c r="G134" s="184">
        <v>0</v>
      </c>
      <c r="H134" s="184">
        <v>11593</v>
      </c>
    </row>
    <row r="135" spans="2:8" hidden="1" outlineLevel="4" x14ac:dyDescent="0.25">
      <c r="B135" s="187" t="s">
        <v>446</v>
      </c>
      <c r="C135" s="242"/>
      <c r="D135" s="188">
        <v>11593</v>
      </c>
      <c r="E135" s="188"/>
      <c r="F135" s="186"/>
      <c r="G135" s="186"/>
      <c r="H135" s="186">
        <v>11593</v>
      </c>
    </row>
    <row r="136" spans="2:8" outlineLevel="1" collapsed="1" x14ac:dyDescent="0.25">
      <c r="B136" s="180" t="s">
        <v>48</v>
      </c>
      <c r="C136" s="192" t="s">
        <v>16</v>
      </c>
      <c r="D136" s="179">
        <v>1262913.6074800002</v>
      </c>
      <c r="E136" s="179">
        <v>0</v>
      </c>
      <c r="F136" s="179">
        <v>0</v>
      </c>
      <c r="G136" s="179">
        <v>0</v>
      </c>
      <c r="H136" s="179">
        <v>1262913.6074800002</v>
      </c>
    </row>
    <row r="137" spans="2:8" hidden="1" outlineLevel="2" x14ac:dyDescent="0.25">
      <c r="B137" s="182" t="s">
        <v>256</v>
      </c>
      <c r="C137" s="195" t="s">
        <v>352</v>
      </c>
      <c r="D137" s="183">
        <v>408064.576</v>
      </c>
      <c r="E137" s="183">
        <v>0</v>
      </c>
      <c r="F137" s="181">
        <v>0</v>
      </c>
      <c r="G137" s="181">
        <v>0</v>
      </c>
      <c r="H137" s="181">
        <v>408064.576</v>
      </c>
    </row>
    <row r="138" spans="2:8" hidden="1" outlineLevel="3" x14ac:dyDescent="0.25">
      <c r="B138" s="182" t="s">
        <v>420</v>
      </c>
      <c r="C138" s="198" t="s">
        <v>421</v>
      </c>
      <c r="D138" s="185">
        <v>408064.576</v>
      </c>
      <c r="E138" s="185">
        <v>0</v>
      </c>
      <c r="F138" s="184">
        <v>0</v>
      </c>
      <c r="G138" s="184">
        <v>0</v>
      </c>
      <c r="H138" s="184">
        <v>408064.576</v>
      </c>
    </row>
    <row r="139" spans="2:8" hidden="1" outlineLevel="4" x14ac:dyDescent="0.25">
      <c r="B139" s="187" t="s">
        <v>449</v>
      </c>
      <c r="C139" s="242"/>
      <c r="D139" s="188">
        <v>408064.576</v>
      </c>
      <c r="E139" s="188"/>
      <c r="F139" s="186"/>
      <c r="G139" s="186"/>
      <c r="H139" s="186">
        <v>408064.576</v>
      </c>
    </row>
    <row r="140" spans="2:8" hidden="1" outlineLevel="2" x14ac:dyDescent="0.25">
      <c r="B140" s="182" t="s">
        <v>257</v>
      </c>
      <c r="C140" s="195" t="s">
        <v>353</v>
      </c>
      <c r="D140" s="183">
        <v>708545.40480000002</v>
      </c>
      <c r="E140" s="183">
        <v>0</v>
      </c>
      <c r="F140" s="181">
        <v>0</v>
      </c>
      <c r="G140" s="181">
        <v>0</v>
      </c>
      <c r="H140" s="181">
        <v>708545.40480000002</v>
      </c>
    </row>
    <row r="141" spans="2:8" hidden="1" outlineLevel="3" x14ac:dyDescent="0.25">
      <c r="B141" s="182" t="s">
        <v>423</v>
      </c>
      <c r="C141" s="198" t="s">
        <v>424</v>
      </c>
      <c r="D141" s="185">
        <v>708545.40480000002</v>
      </c>
      <c r="E141" s="185">
        <v>0</v>
      </c>
      <c r="F141" s="184">
        <v>0</v>
      </c>
      <c r="G141" s="184">
        <v>0</v>
      </c>
      <c r="H141" s="184">
        <v>708545.40480000002</v>
      </c>
    </row>
    <row r="142" spans="2:8" hidden="1" outlineLevel="4" x14ac:dyDescent="0.25">
      <c r="B142" s="187" t="s">
        <v>450</v>
      </c>
      <c r="C142" s="242"/>
      <c r="D142" s="188">
        <v>708545.40480000002</v>
      </c>
      <c r="E142" s="188"/>
      <c r="F142" s="186"/>
      <c r="G142" s="186"/>
      <c r="H142" s="186">
        <v>708545.40480000002</v>
      </c>
    </row>
    <row r="143" spans="2:8" hidden="1" outlineLevel="2" x14ac:dyDescent="0.25">
      <c r="B143" s="182" t="s">
        <v>258</v>
      </c>
      <c r="C143" s="195" t="s">
        <v>354</v>
      </c>
      <c r="D143" s="183">
        <v>119733.174</v>
      </c>
      <c r="E143" s="183">
        <v>0</v>
      </c>
      <c r="F143" s="181">
        <v>0</v>
      </c>
      <c r="G143" s="181">
        <v>0</v>
      </c>
      <c r="H143" s="181">
        <v>119733.174</v>
      </c>
    </row>
    <row r="144" spans="2:8" hidden="1" outlineLevel="3" x14ac:dyDescent="0.25">
      <c r="B144" s="182" t="s">
        <v>259</v>
      </c>
      <c r="C144" s="198" t="s">
        <v>261</v>
      </c>
      <c r="D144" s="185">
        <v>119733.174</v>
      </c>
      <c r="E144" s="185">
        <v>0</v>
      </c>
      <c r="F144" s="184">
        <v>0</v>
      </c>
      <c r="G144" s="184">
        <v>0</v>
      </c>
      <c r="H144" s="184">
        <v>119733.174</v>
      </c>
    </row>
    <row r="145" spans="2:8" hidden="1" outlineLevel="4" x14ac:dyDescent="0.25">
      <c r="B145" s="187" t="s">
        <v>260</v>
      </c>
      <c r="C145" s="242"/>
      <c r="D145" s="188">
        <v>119733.174</v>
      </c>
      <c r="E145" s="188"/>
      <c r="F145" s="186"/>
      <c r="G145" s="186"/>
      <c r="H145" s="186">
        <v>119733.174</v>
      </c>
    </row>
    <row r="146" spans="2:8" hidden="1" outlineLevel="2" x14ac:dyDescent="0.25">
      <c r="B146" s="182" t="s">
        <v>262</v>
      </c>
      <c r="C146" s="195" t="s">
        <v>355</v>
      </c>
      <c r="D146" s="183">
        <v>26570.452679999999</v>
      </c>
      <c r="E146" s="183">
        <v>0</v>
      </c>
      <c r="F146" s="181">
        <v>0</v>
      </c>
      <c r="G146" s="181">
        <v>0</v>
      </c>
      <c r="H146" s="181">
        <v>26570.452679999999</v>
      </c>
    </row>
    <row r="147" spans="2:8" hidden="1" outlineLevel="3" x14ac:dyDescent="0.25">
      <c r="B147" s="182" t="s">
        <v>263</v>
      </c>
      <c r="C147" s="198" t="s">
        <v>265</v>
      </c>
      <c r="D147" s="185">
        <v>26570.452679999999</v>
      </c>
      <c r="E147" s="185">
        <v>0</v>
      </c>
      <c r="F147" s="184">
        <v>0</v>
      </c>
      <c r="G147" s="184">
        <v>0</v>
      </c>
      <c r="H147" s="184">
        <v>26570.452679999999</v>
      </c>
    </row>
    <row r="148" spans="2:8" hidden="1" outlineLevel="4" x14ac:dyDescent="0.25">
      <c r="B148" s="187" t="s">
        <v>264</v>
      </c>
      <c r="C148" s="242"/>
      <c r="D148" s="188">
        <v>26570.452679999999</v>
      </c>
      <c r="E148" s="188"/>
      <c r="F148" s="186"/>
      <c r="G148" s="186"/>
      <c r="H148" s="186">
        <v>26570.452679999999</v>
      </c>
    </row>
    <row r="149" spans="2:8" outlineLevel="1" collapsed="1" x14ac:dyDescent="0.25">
      <c r="B149" s="180" t="s">
        <v>49</v>
      </c>
      <c r="C149" s="192" t="s">
        <v>17</v>
      </c>
      <c r="D149" s="179">
        <v>1631898.3678082216</v>
      </c>
      <c r="E149" s="179">
        <v>778257.04</v>
      </c>
      <c r="F149" s="179">
        <v>155701.02347658927</v>
      </c>
      <c r="G149" s="179">
        <v>344925.49586846249</v>
      </c>
      <c r="H149" s="179">
        <v>353014.80846317008</v>
      </c>
    </row>
    <row r="150" spans="2:8" hidden="1" outlineLevel="2" x14ac:dyDescent="0.25">
      <c r="B150" s="182" t="s">
        <v>266</v>
      </c>
      <c r="C150" s="195" t="s">
        <v>356</v>
      </c>
      <c r="D150" s="183">
        <v>1112627.8202183475</v>
      </c>
      <c r="E150" s="183">
        <v>626393.80000000005</v>
      </c>
      <c r="F150" s="181">
        <v>83056.554650112856</v>
      </c>
      <c r="G150" s="181">
        <v>198886.06191534986</v>
      </c>
      <c r="H150" s="181">
        <v>204291.40365288485</v>
      </c>
    </row>
    <row r="151" spans="2:8" hidden="1" outlineLevel="3" x14ac:dyDescent="0.25">
      <c r="B151" s="182" t="s">
        <v>267</v>
      </c>
      <c r="C151" s="198" t="s">
        <v>269</v>
      </c>
      <c r="D151" s="185">
        <v>491931.86541964789</v>
      </c>
      <c r="E151" s="185">
        <v>399645.01</v>
      </c>
      <c r="F151" s="184">
        <v>15764.07230248307</v>
      </c>
      <c r="G151" s="184">
        <v>37748.426637697514</v>
      </c>
      <c r="H151" s="184">
        <v>38774.356479467271</v>
      </c>
    </row>
    <row r="152" spans="2:8" hidden="1" outlineLevel="4" x14ac:dyDescent="0.25">
      <c r="B152" s="187" t="s">
        <v>268</v>
      </c>
      <c r="C152" s="242"/>
      <c r="D152" s="188">
        <v>491931.86541964789</v>
      </c>
      <c r="E152" s="188">
        <v>399645.01</v>
      </c>
      <c r="F152" s="186">
        <v>15764.07230248307</v>
      </c>
      <c r="G152" s="186">
        <v>37748.426637697514</v>
      </c>
      <c r="H152" s="186">
        <v>38774.356479467271</v>
      </c>
    </row>
    <row r="153" spans="2:8" hidden="1" outlineLevel="3" x14ac:dyDescent="0.25">
      <c r="B153" s="182" t="s">
        <v>270</v>
      </c>
      <c r="C153" s="198" t="s">
        <v>272</v>
      </c>
      <c r="D153" s="185">
        <v>620695.95479869971</v>
      </c>
      <c r="E153" s="185">
        <v>226748.79</v>
      </c>
      <c r="F153" s="184">
        <v>67292.48234762979</v>
      </c>
      <c r="G153" s="184">
        <v>161137.63527765236</v>
      </c>
      <c r="H153" s="184">
        <v>165517.04717341758</v>
      </c>
    </row>
    <row r="154" spans="2:8" hidden="1" outlineLevel="4" x14ac:dyDescent="0.25">
      <c r="B154" s="187" t="s">
        <v>271</v>
      </c>
      <c r="C154" s="242"/>
      <c r="D154" s="188">
        <v>620695.95479869971</v>
      </c>
      <c r="E154" s="188">
        <v>226748.79</v>
      </c>
      <c r="F154" s="186">
        <v>67292.48234762979</v>
      </c>
      <c r="G154" s="186">
        <v>161137.63527765236</v>
      </c>
      <c r="H154" s="186">
        <v>165517.04717341758</v>
      </c>
    </row>
    <row r="155" spans="2:8" hidden="1" outlineLevel="2" x14ac:dyDescent="0.25">
      <c r="B155" s="182" t="s">
        <v>357</v>
      </c>
      <c r="C155" s="195" t="s">
        <v>358</v>
      </c>
      <c r="D155" s="183">
        <v>6352.4927035665914</v>
      </c>
      <c r="E155" s="183">
        <v>0</v>
      </c>
      <c r="F155" s="181">
        <v>1085.1074492099324</v>
      </c>
      <c r="G155" s="181">
        <v>2598.38309255079</v>
      </c>
      <c r="H155" s="181">
        <v>2669.0021618058695</v>
      </c>
    </row>
    <row r="156" spans="2:8" hidden="1" outlineLevel="3" x14ac:dyDescent="0.25">
      <c r="B156" s="182" t="s">
        <v>426</v>
      </c>
      <c r="C156" s="198" t="s">
        <v>427</v>
      </c>
      <c r="D156" s="185">
        <v>6352.4927035665914</v>
      </c>
      <c r="E156" s="185">
        <v>0</v>
      </c>
      <c r="F156" s="184">
        <v>1085.1074492099324</v>
      </c>
      <c r="G156" s="184">
        <v>2598.38309255079</v>
      </c>
      <c r="H156" s="184">
        <v>2669.0021618058695</v>
      </c>
    </row>
    <row r="157" spans="2:8" hidden="1" outlineLevel="4" x14ac:dyDescent="0.25">
      <c r="B157" s="187" t="s">
        <v>458</v>
      </c>
      <c r="C157" s="242"/>
      <c r="D157" s="188">
        <v>6352.4927035665914</v>
      </c>
      <c r="E157" s="188"/>
      <c r="F157" s="186">
        <v>1085.1074492099324</v>
      </c>
      <c r="G157" s="186">
        <v>2598.38309255079</v>
      </c>
      <c r="H157" s="186">
        <v>2669.0021618058695</v>
      </c>
    </row>
    <row r="158" spans="2:8" hidden="1" outlineLevel="2" x14ac:dyDescent="0.25">
      <c r="B158" s="182" t="s">
        <v>359</v>
      </c>
      <c r="C158" s="195" t="s">
        <v>360</v>
      </c>
      <c r="D158" s="183">
        <v>11934.005497065462</v>
      </c>
      <c r="E158" s="183">
        <v>0</v>
      </c>
      <c r="F158" s="181">
        <v>2038.5191873589165</v>
      </c>
      <c r="G158" s="181">
        <v>4881.409480812641</v>
      </c>
      <c r="H158" s="181">
        <v>5014.0768288939043</v>
      </c>
    </row>
    <row r="159" spans="2:8" hidden="1" outlineLevel="3" x14ac:dyDescent="0.25">
      <c r="B159" s="182" t="s">
        <v>429</v>
      </c>
      <c r="C159" s="198" t="s">
        <v>430</v>
      </c>
      <c r="D159" s="185">
        <v>11934.005497065462</v>
      </c>
      <c r="E159" s="185">
        <v>0</v>
      </c>
      <c r="F159" s="184">
        <v>2038.5191873589165</v>
      </c>
      <c r="G159" s="184">
        <v>4881.409480812641</v>
      </c>
      <c r="H159" s="184">
        <v>5014.0768288939043</v>
      </c>
    </row>
    <row r="160" spans="2:8" hidden="1" outlineLevel="4" x14ac:dyDescent="0.25">
      <c r="B160" s="187" t="s">
        <v>461</v>
      </c>
      <c r="C160" s="242"/>
      <c r="D160" s="188">
        <v>11934.005497065462</v>
      </c>
      <c r="E160" s="188"/>
      <c r="F160" s="186">
        <v>2038.5191873589165</v>
      </c>
      <c r="G160" s="186">
        <v>4881.409480812641</v>
      </c>
      <c r="H160" s="186">
        <v>5014.0768288939043</v>
      </c>
    </row>
    <row r="161" spans="2:8" hidden="1" outlineLevel="2" x14ac:dyDescent="0.25">
      <c r="B161" s="182" t="s">
        <v>273</v>
      </c>
      <c r="C161" s="195" t="s">
        <v>361</v>
      </c>
      <c r="D161" s="183">
        <v>56633.376135593222</v>
      </c>
      <c r="E161" s="183">
        <v>53528.66</v>
      </c>
      <c r="F161" s="181">
        <v>1555.7288135593219</v>
      </c>
      <c r="G161" s="181">
        <v>1548.9873220338984</v>
      </c>
      <c r="H161" s="181">
        <v>0</v>
      </c>
    </row>
    <row r="162" spans="2:8" hidden="1" outlineLevel="3" x14ac:dyDescent="0.25">
      <c r="B162" s="182" t="s">
        <v>274</v>
      </c>
      <c r="C162" s="198" t="s">
        <v>276</v>
      </c>
      <c r="D162" s="185">
        <v>56633.376135593222</v>
      </c>
      <c r="E162" s="185">
        <v>53528.66</v>
      </c>
      <c r="F162" s="184">
        <v>1555.7288135593219</v>
      </c>
      <c r="G162" s="184">
        <v>1548.9873220338984</v>
      </c>
      <c r="H162" s="184">
        <v>0</v>
      </c>
    </row>
    <row r="163" spans="2:8" hidden="1" outlineLevel="4" x14ac:dyDescent="0.25">
      <c r="B163" s="187" t="s">
        <v>275</v>
      </c>
      <c r="C163" s="242"/>
      <c r="D163" s="188">
        <v>56633.376135593222</v>
      </c>
      <c r="E163" s="188">
        <v>53528.66</v>
      </c>
      <c r="F163" s="186">
        <v>1555.7288135593219</v>
      </c>
      <c r="G163" s="186">
        <v>1548.9873220338984</v>
      </c>
      <c r="H163" s="186"/>
    </row>
    <row r="164" spans="2:8" hidden="1" outlineLevel="2" x14ac:dyDescent="0.25">
      <c r="B164" s="182" t="s">
        <v>277</v>
      </c>
      <c r="C164" s="195" t="s">
        <v>365</v>
      </c>
      <c r="D164" s="183">
        <v>26046.75406779661</v>
      </c>
      <c r="E164" s="183">
        <v>16244.310000000001</v>
      </c>
      <c r="F164" s="181">
        <v>4911.8644067796613</v>
      </c>
      <c r="G164" s="181">
        <v>4890.57966101695</v>
      </c>
      <c r="H164" s="181">
        <v>0</v>
      </c>
    </row>
    <row r="165" spans="2:8" hidden="1" outlineLevel="3" x14ac:dyDescent="0.25">
      <c r="B165" s="182" t="s">
        <v>278</v>
      </c>
      <c r="C165" s="198" t="s">
        <v>280</v>
      </c>
      <c r="D165" s="185">
        <v>6294.4181016949151</v>
      </c>
      <c r="E165" s="185">
        <v>3588.7</v>
      </c>
      <c r="F165" s="184">
        <v>1355.7966101694915</v>
      </c>
      <c r="G165" s="184">
        <v>1349.9214915254238</v>
      </c>
      <c r="H165" s="184">
        <v>0</v>
      </c>
    </row>
    <row r="166" spans="2:8" hidden="1" outlineLevel="4" x14ac:dyDescent="0.25">
      <c r="B166" s="187" t="s">
        <v>279</v>
      </c>
      <c r="C166" s="242"/>
      <c r="D166" s="188">
        <v>6294.4181016949151</v>
      </c>
      <c r="E166" s="188">
        <v>3588.7</v>
      </c>
      <c r="F166" s="186">
        <v>1355.7966101694915</v>
      </c>
      <c r="G166" s="186">
        <v>1349.9214915254238</v>
      </c>
      <c r="H166" s="186"/>
    </row>
    <row r="167" spans="2:8" hidden="1" outlineLevel="3" x14ac:dyDescent="0.25">
      <c r="B167" s="182" t="s">
        <v>281</v>
      </c>
      <c r="C167" s="198" t="s">
        <v>283</v>
      </c>
      <c r="D167" s="185">
        <v>19752.335966101695</v>
      </c>
      <c r="E167" s="185">
        <v>12655.61</v>
      </c>
      <c r="F167" s="184">
        <v>3556.0677966101694</v>
      </c>
      <c r="G167" s="184">
        <v>3540.6581694915262</v>
      </c>
      <c r="H167" s="184">
        <v>0</v>
      </c>
    </row>
    <row r="168" spans="2:8" hidden="1" outlineLevel="4" x14ac:dyDescent="0.25">
      <c r="B168" s="187" t="s">
        <v>282</v>
      </c>
      <c r="C168" s="242"/>
      <c r="D168" s="188">
        <v>19752.335966101695</v>
      </c>
      <c r="E168" s="188">
        <v>12655.61</v>
      </c>
      <c r="F168" s="186">
        <v>3556.0677966101694</v>
      </c>
      <c r="G168" s="186">
        <v>3540.6581694915262</v>
      </c>
      <c r="H168" s="186"/>
    </row>
    <row r="169" spans="2:8" hidden="1" outlineLevel="2" x14ac:dyDescent="0.25">
      <c r="B169" s="182" t="s">
        <v>369</v>
      </c>
      <c r="C169" s="195" t="s">
        <v>370</v>
      </c>
      <c r="D169" s="183">
        <v>29823.046312084436</v>
      </c>
      <c r="E169" s="183">
        <v>0</v>
      </c>
      <c r="F169" s="181">
        <v>1131.0079155672825</v>
      </c>
      <c r="G169" s="181">
        <v>14173.414195250662</v>
      </c>
      <c r="H169" s="181">
        <v>14518.624201266492</v>
      </c>
    </row>
    <row r="170" spans="2:8" hidden="1" outlineLevel="3" x14ac:dyDescent="0.25">
      <c r="B170" s="182" t="s">
        <v>432</v>
      </c>
      <c r="C170" s="198" t="s">
        <v>433</v>
      </c>
      <c r="D170" s="185">
        <v>29823.046312084436</v>
      </c>
      <c r="E170" s="185">
        <v>0</v>
      </c>
      <c r="F170" s="184">
        <v>1131.0079155672825</v>
      </c>
      <c r="G170" s="184">
        <v>14173.414195250662</v>
      </c>
      <c r="H170" s="184">
        <v>14518.624201266492</v>
      </c>
    </row>
    <row r="171" spans="2:8" hidden="1" outlineLevel="4" x14ac:dyDescent="0.25">
      <c r="B171" s="187" t="s">
        <v>462</v>
      </c>
      <c r="C171" s="242"/>
      <c r="D171" s="188">
        <v>29823.046312084436</v>
      </c>
      <c r="E171" s="188"/>
      <c r="F171" s="186">
        <v>1131.0079155672825</v>
      </c>
      <c r="G171" s="186">
        <v>14173.414195250662</v>
      </c>
      <c r="H171" s="186">
        <v>14518.624201266492</v>
      </c>
    </row>
    <row r="172" spans="2:8" hidden="1" outlineLevel="2" x14ac:dyDescent="0.25">
      <c r="B172" s="182" t="s">
        <v>284</v>
      </c>
      <c r="C172" s="195" t="s">
        <v>374</v>
      </c>
      <c r="D172" s="183">
        <v>2568.9001132075473</v>
      </c>
      <c r="E172" s="183">
        <v>0</v>
      </c>
      <c r="F172" s="181">
        <v>354.39622641509436</v>
      </c>
      <c r="G172" s="181">
        <v>2214.5038867924532</v>
      </c>
      <c r="H172" s="181">
        <v>0</v>
      </c>
    </row>
    <row r="173" spans="2:8" hidden="1" outlineLevel="3" x14ac:dyDescent="0.25">
      <c r="B173" s="182" t="s">
        <v>285</v>
      </c>
      <c r="C173" s="198" t="s">
        <v>287</v>
      </c>
      <c r="D173" s="185">
        <v>2568.9001132075473</v>
      </c>
      <c r="E173" s="185">
        <v>0</v>
      </c>
      <c r="F173" s="184">
        <v>354.39622641509436</v>
      </c>
      <c r="G173" s="184">
        <v>2214.5038867924532</v>
      </c>
      <c r="H173" s="184">
        <v>0</v>
      </c>
    </row>
    <row r="174" spans="2:8" hidden="1" outlineLevel="4" x14ac:dyDescent="0.25">
      <c r="B174" s="187" t="s">
        <v>286</v>
      </c>
      <c r="C174" s="242"/>
      <c r="D174" s="188">
        <v>2568.9001132075473</v>
      </c>
      <c r="E174" s="188"/>
      <c r="F174" s="186">
        <v>354.39622641509436</v>
      </c>
      <c r="G174" s="186">
        <v>2214.5038867924532</v>
      </c>
      <c r="H174" s="186"/>
    </row>
    <row r="175" spans="2:8" hidden="1" outlineLevel="2" x14ac:dyDescent="0.25">
      <c r="B175" s="182" t="s">
        <v>288</v>
      </c>
      <c r="C175" s="195" t="s">
        <v>375</v>
      </c>
      <c r="D175" s="183">
        <v>377941.21888056037</v>
      </c>
      <c r="E175" s="183">
        <v>82090.27</v>
      </c>
      <c r="F175" s="181">
        <v>61567.844827586203</v>
      </c>
      <c r="G175" s="181">
        <v>115732.15631465518</v>
      </c>
      <c r="H175" s="181">
        <v>118550.94773831895</v>
      </c>
    </row>
    <row r="176" spans="2:8" hidden="1" outlineLevel="3" x14ac:dyDescent="0.25">
      <c r="B176" s="182" t="s">
        <v>289</v>
      </c>
      <c r="C176" s="198" t="s">
        <v>291</v>
      </c>
      <c r="D176" s="185">
        <v>377941.21888056037</v>
      </c>
      <c r="E176" s="185">
        <v>82090.27</v>
      </c>
      <c r="F176" s="184">
        <v>61567.844827586203</v>
      </c>
      <c r="G176" s="184">
        <v>115732.15631465518</v>
      </c>
      <c r="H176" s="184">
        <v>118550.94773831895</v>
      </c>
    </row>
    <row r="177" spans="2:8" hidden="1" outlineLevel="4" x14ac:dyDescent="0.25">
      <c r="B177" s="187" t="s">
        <v>290</v>
      </c>
      <c r="C177" s="242"/>
      <c r="D177" s="188">
        <v>377941.21888056037</v>
      </c>
      <c r="E177" s="188">
        <v>82090.27</v>
      </c>
      <c r="F177" s="186">
        <v>61567.844827586203</v>
      </c>
      <c r="G177" s="186">
        <v>115732.15631465518</v>
      </c>
      <c r="H177" s="186">
        <v>118550.94773831895</v>
      </c>
    </row>
    <row r="178" spans="2:8" hidden="1" outlineLevel="2" x14ac:dyDescent="0.25">
      <c r="B178" s="182" t="s">
        <v>292</v>
      </c>
      <c r="C178" s="195" t="s">
        <v>379</v>
      </c>
      <c r="D178" s="183">
        <v>7970.7538799999993</v>
      </c>
      <c r="E178" s="183">
        <v>0</v>
      </c>
      <c r="F178" s="181">
        <v>0</v>
      </c>
      <c r="G178" s="181">
        <v>0</v>
      </c>
      <c r="H178" s="181">
        <v>7970.7538799999993</v>
      </c>
    </row>
    <row r="179" spans="2:8" hidden="1" outlineLevel="3" x14ac:dyDescent="0.25">
      <c r="B179" s="182" t="s">
        <v>293</v>
      </c>
      <c r="C179" s="198" t="s">
        <v>295</v>
      </c>
      <c r="D179" s="185">
        <v>7970.7538799999993</v>
      </c>
      <c r="E179" s="185">
        <v>0</v>
      </c>
      <c r="F179" s="184">
        <v>0</v>
      </c>
      <c r="G179" s="184">
        <v>0</v>
      </c>
      <c r="H179" s="184">
        <v>7970.7538799999993</v>
      </c>
    </row>
    <row r="180" spans="2:8" hidden="1" outlineLevel="4" x14ac:dyDescent="0.25">
      <c r="B180" s="187" t="s">
        <v>294</v>
      </c>
      <c r="C180" s="242"/>
      <c r="D180" s="188">
        <v>7970.7538799999993</v>
      </c>
      <c r="E180" s="188"/>
      <c r="F180" s="186"/>
      <c r="G180" s="186"/>
      <c r="H180" s="186">
        <v>7970.7538799999993</v>
      </c>
    </row>
    <row r="181" spans="2:8" outlineLevel="1" collapsed="1" x14ac:dyDescent="0.25">
      <c r="B181" s="180" t="s">
        <v>51</v>
      </c>
      <c r="C181" s="192" t="s">
        <v>19</v>
      </c>
      <c r="D181" s="179">
        <v>908674.57974602573</v>
      </c>
      <c r="E181" s="179">
        <v>38348.81</v>
      </c>
      <c r="F181" s="179">
        <v>343536.99523182365</v>
      </c>
      <c r="G181" s="179">
        <v>282392.47684796137</v>
      </c>
      <c r="H181" s="179">
        <v>244396.29766624066</v>
      </c>
    </row>
    <row r="182" spans="2:8" hidden="1" outlineLevel="2" x14ac:dyDescent="0.25">
      <c r="B182" s="182" t="s">
        <v>176</v>
      </c>
      <c r="C182" s="195" t="s">
        <v>471</v>
      </c>
      <c r="D182" s="183">
        <v>716197.48934772064</v>
      </c>
      <c r="E182" s="183">
        <v>38348.81</v>
      </c>
      <c r="F182" s="181">
        <v>247090.29274029826</v>
      </c>
      <c r="G182" s="181">
        <v>186362.08894118172</v>
      </c>
      <c r="H182" s="181">
        <v>244396.29766624066</v>
      </c>
    </row>
    <row r="183" spans="2:8" hidden="1" outlineLevel="3" x14ac:dyDescent="0.25">
      <c r="B183" s="182" t="s">
        <v>171</v>
      </c>
      <c r="C183" s="198" t="s">
        <v>471</v>
      </c>
      <c r="D183" s="185">
        <v>716197.48934772064</v>
      </c>
      <c r="E183" s="185">
        <v>38348.81</v>
      </c>
      <c r="F183" s="184">
        <v>247090.29274029826</v>
      </c>
      <c r="G183" s="184">
        <v>186362.08894118172</v>
      </c>
      <c r="H183" s="184">
        <v>244396.29766624066</v>
      </c>
    </row>
    <row r="184" spans="2:8" hidden="1" outlineLevel="4" x14ac:dyDescent="0.25">
      <c r="B184" s="187" t="s">
        <v>173</v>
      </c>
      <c r="C184" s="242"/>
      <c r="D184" s="188">
        <v>58699.557839687499</v>
      </c>
      <c r="E184" s="188"/>
      <c r="F184" s="186"/>
      <c r="G184" s="186"/>
      <c r="H184" s="186">
        <v>58699.557839687499</v>
      </c>
    </row>
    <row r="185" spans="2:8" hidden="1" outlineLevel="4" x14ac:dyDescent="0.25">
      <c r="B185" s="187" t="s">
        <v>174</v>
      </c>
      <c r="C185" s="242"/>
      <c r="D185" s="188">
        <v>38348.81</v>
      </c>
      <c r="E185" s="188">
        <v>38348.81</v>
      </c>
      <c r="F185" s="186"/>
      <c r="G185" s="186"/>
      <c r="H185" s="186"/>
    </row>
    <row r="186" spans="2:8" hidden="1" outlineLevel="4" x14ac:dyDescent="0.25">
      <c r="B186" s="187" t="s">
        <v>175</v>
      </c>
      <c r="C186" s="242"/>
      <c r="D186" s="188">
        <v>619149.12150803313</v>
      </c>
      <c r="E186" s="188"/>
      <c r="F186" s="186">
        <v>247090.29274029826</v>
      </c>
      <c r="G186" s="186">
        <v>186362.08894118172</v>
      </c>
      <c r="H186" s="186">
        <v>185696.73982655315</v>
      </c>
    </row>
    <row r="187" spans="2:8" hidden="1" outlineLevel="2" x14ac:dyDescent="0.25">
      <c r="B187" s="182" t="s">
        <v>645</v>
      </c>
      <c r="C187" s="195" t="e">
        <v>#N/A</v>
      </c>
      <c r="D187" s="183">
        <v>192477.0903983051</v>
      </c>
      <c r="E187" s="183">
        <v>0</v>
      </c>
      <c r="F187" s="181">
        <v>96446.702491525415</v>
      </c>
      <c r="G187" s="181">
        <v>96030.387906779666</v>
      </c>
      <c r="H187" s="181">
        <v>0</v>
      </c>
    </row>
    <row r="188" spans="2:8" hidden="1" outlineLevel="3" x14ac:dyDescent="0.25">
      <c r="B188" s="182" t="s">
        <v>647</v>
      </c>
      <c r="C188" s="198" t="e">
        <v>#N/A</v>
      </c>
      <c r="D188" s="185">
        <v>192477.0903983051</v>
      </c>
      <c r="E188" s="185">
        <v>0</v>
      </c>
      <c r="F188" s="184">
        <v>96446.702491525415</v>
      </c>
      <c r="G188" s="184">
        <v>96030.387906779666</v>
      </c>
      <c r="H188" s="184">
        <v>0</v>
      </c>
    </row>
    <row r="189" spans="2:8" hidden="1" outlineLevel="4" x14ac:dyDescent="0.25">
      <c r="B189" s="187" t="s">
        <v>646</v>
      </c>
      <c r="C189" s="242"/>
      <c r="D189" s="188">
        <v>192477.0903983051</v>
      </c>
      <c r="E189" s="188"/>
      <c r="F189" s="186">
        <v>96446.702491525415</v>
      </c>
      <c r="G189" s="186">
        <v>96030.387906779666</v>
      </c>
      <c r="H189" s="186"/>
    </row>
    <row r="190" spans="2:8" outlineLevel="1" collapsed="1" x14ac:dyDescent="0.25">
      <c r="B190" s="180" t="s">
        <v>52</v>
      </c>
      <c r="C190" s="192" t="s">
        <v>20</v>
      </c>
      <c r="D190" s="179">
        <v>6000000</v>
      </c>
      <c r="E190" s="179">
        <v>0</v>
      </c>
      <c r="F190" s="179">
        <v>492279.93439037725</v>
      </c>
      <c r="G190" s="179">
        <v>357720.06560962275</v>
      </c>
      <c r="H190" s="179">
        <v>5150000</v>
      </c>
    </row>
    <row r="191" spans="2:8" hidden="1" outlineLevel="2" x14ac:dyDescent="0.25">
      <c r="B191" s="182" t="s">
        <v>381</v>
      </c>
      <c r="C191" s="195" t="s">
        <v>162</v>
      </c>
      <c r="D191" s="183">
        <v>300000</v>
      </c>
      <c r="E191" s="183">
        <v>0</v>
      </c>
      <c r="F191" s="181">
        <v>0</v>
      </c>
      <c r="G191" s="181">
        <v>0</v>
      </c>
      <c r="H191" s="181">
        <v>300000</v>
      </c>
    </row>
    <row r="192" spans="2:8" hidden="1" outlineLevel="3" x14ac:dyDescent="0.25">
      <c r="B192" s="182" t="s">
        <v>442</v>
      </c>
      <c r="C192" s="198" t="s">
        <v>162</v>
      </c>
      <c r="D192" s="185">
        <v>300000</v>
      </c>
      <c r="E192" s="185">
        <v>0</v>
      </c>
      <c r="F192" s="184">
        <v>0</v>
      </c>
      <c r="G192" s="184">
        <v>0</v>
      </c>
      <c r="H192" s="184">
        <v>300000</v>
      </c>
    </row>
    <row r="193" spans="2:8" hidden="1" outlineLevel="4" x14ac:dyDescent="0.25">
      <c r="B193" s="187" t="s">
        <v>139</v>
      </c>
      <c r="C193" s="242"/>
      <c r="D193" s="188">
        <v>300000</v>
      </c>
      <c r="E193" s="188"/>
      <c r="F193" s="186"/>
      <c r="G193" s="186"/>
      <c r="H193" s="186">
        <v>300000</v>
      </c>
    </row>
    <row r="194" spans="2:8" hidden="1" outlineLevel="2" x14ac:dyDescent="0.25">
      <c r="B194" s="182" t="s">
        <v>384</v>
      </c>
      <c r="C194" s="195" t="s">
        <v>164</v>
      </c>
      <c r="D194" s="183">
        <v>250000</v>
      </c>
      <c r="E194" s="183">
        <v>0</v>
      </c>
      <c r="F194" s="181">
        <v>127118.6440677966</v>
      </c>
      <c r="G194" s="181">
        <v>122881.3559322034</v>
      </c>
      <c r="H194" s="181">
        <v>0</v>
      </c>
    </row>
    <row r="195" spans="2:8" hidden="1" outlineLevel="3" x14ac:dyDescent="0.25">
      <c r="B195" s="182" t="s">
        <v>444</v>
      </c>
      <c r="C195" s="198" t="s">
        <v>164</v>
      </c>
      <c r="D195" s="185">
        <v>250000</v>
      </c>
      <c r="E195" s="185">
        <v>0</v>
      </c>
      <c r="F195" s="184">
        <v>127118.6440677966</v>
      </c>
      <c r="G195" s="184">
        <v>122881.3559322034</v>
      </c>
      <c r="H195" s="184">
        <v>0</v>
      </c>
    </row>
    <row r="196" spans="2:8" hidden="1" outlineLevel="4" x14ac:dyDescent="0.25">
      <c r="B196" s="187" t="s">
        <v>163</v>
      </c>
      <c r="C196" s="242"/>
      <c r="D196" s="188">
        <v>250000</v>
      </c>
      <c r="E196" s="188"/>
      <c r="F196" s="186">
        <v>127118.6440677966</v>
      </c>
      <c r="G196" s="186">
        <v>122881.3559322034</v>
      </c>
      <c r="H196" s="186"/>
    </row>
    <row r="197" spans="2:8" hidden="1" outlineLevel="2" x14ac:dyDescent="0.25">
      <c r="B197" s="182" t="s">
        <v>389</v>
      </c>
      <c r="C197" s="195" t="s">
        <v>166</v>
      </c>
      <c r="D197" s="183">
        <v>600000</v>
      </c>
      <c r="E197" s="183">
        <v>0</v>
      </c>
      <c r="F197" s="181">
        <v>365161.29032258067</v>
      </c>
      <c r="G197" s="181">
        <v>234838.70967741936</v>
      </c>
      <c r="H197" s="181">
        <v>0</v>
      </c>
    </row>
    <row r="198" spans="2:8" hidden="1" outlineLevel="3" x14ac:dyDescent="0.25">
      <c r="B198" s="182" t="s">
        <v>447</v>
      </c>
      <c r="C198" s="198" t="s">
        <v>166</v>
      </c>
      <c r="D198" s="185">
        <v>600000</v>
      </c>
      <c r="E198" s="185">
        <v>0</v>
      </c>
      <c r="F198" s="184">
        <v>365161.29032258067</v>
      </c>
      <c r="G198" s="184">
        <v>234838.70967741936</v>
      </c>
      <c r="H198" s="184">
        <v>0</v>
      </c>
    </row>
    <row r="199" spans="2:8" hidden="1" outlineLevel="4" x14ac:dyDescent="0.25">
      <c r="B199" s="187" t="s">
        <v>165</v>
      </c>
      <c r="C199" s="242"/>
      <c r="D199" s="188">
        <v>600000</v>
      </c>
      <c r="E199" s="188"/>
      <c r="F199" s="186">
        <v>365161.29032258067</v>
      </c>
      <c r="G199" s="186">
        <v>234838.70967741936</v>
      </c>
      <c r="H199" s="186"/>
    </row>
    <row r="200" spans="2:8" hidden="1" outlineLevel="2" x14ac:dyDescent="0.25">
      <c r="B200" s="182" t="s">
        <v>391</v>
      </c>
      <c r="C200" s="195" t="s">
        <v>168</v>
      </c>
      <c r="D200" s="183">
        <v>4850000</v>
      </c>
      <c r="E200" s="183">
        <v>0</v>
      </c>
      <c r="F200" s="181">
        <v>0</v>
      </c>
      <c r="G200" s="181">
        <v>0</v>
      </c>
      <c r="H200" s="181">
        <v>4850000</v>
      </c>
    </row>
    <row r="201" spans="2:8" hidden="1" outlineLevel="3" x14ac:dyDescent="0.25">
      <c r="B201" s="182" t="s">
        <v>448</v>
      </c>
      <c r="C201" s="198" t="s">
        <v>168</v>
      </c>
      <c r="D201" s="185">
        <v>4850000</v>
      </c>
      <c r="E201" s="185">
        <v>0</v>
      </c>
      <c r="F201" s="184">
        <v>0</v>
      </c>
      <c r="G201" s="184">
        <v>0</v>
      </c>
      <c r="H201" s="184">
        <v>4850000</v>
      </c>
    </row>
    <row r="202" spans="2:8" hidden="1" outlineLevel="4" x14ac:dyDescent="0.25">
      <c r="B202" s="187" t="s">
        <v>167</v>
      </c>
      <c r="C202" s="242"/>
      <c r="D202" s="188">
        <v>4850000</v>
      </c>
      <c r="E202" s="188"/>
      <c r="F202" s="186"/>
      <c r="G202" s="186"/>
      <c r="H202" s="186">
        <v>4850000</v>
      </c>
    </row>
    <row r="203" spans="2:8" outlineLevel="1" collapsed="1" x14ac:dyDescent="0.25">
      <c r="B203" s="180" t="s">
        <v>57</v>
      </c>
      <c r="C203" s="192" t="s">
        <v>21</v>
      </c>
      <c r="D203" s="179">
        <v>8866530.0742445514</v>
      </c>
      <c r="E203" s="179">
        <v>1834960.7999999998</v>
      </c>
      <c r="F203" s="179">
        <v>1489611.636998839</v>
      </c>
      <c r="G203" s="179">
        <v>1551441.497430837</v>
      </c>
      <c r="H203" s="179">
        <v>3990516.1398148746</v>
      </c>
    </row>
    <row r="204" spans="2:8" hidden="1" outlineLevel="2" x14ac:dyDescent="0.25">
      <c r="B204" s="182" t="s">
        <v>402</v>
      </c>
      <c r="C204" s="195" t="s">
        <v>149</v>
      </c>
      <c r="D204" s="183">
        <v>613290.12009192794</v>
      </c>
      <c r="E204" s="183">
        <v>173096.25</v>
      </c>
      <c r="F204" s="181">
        <v>184787.01893637853</v>
      </c>
      <c r="G204" s="181">
        <v>196631.1860076164</v>
      </c>
      <c r="H204" s="181">
        <v>58775.665147932967</v>
      </c>
    </row>
    <row r="205" spans="2:8" hidden="1" outlineLevel="3" x14ac:dyDescent="0.25">
      <c r="B205" s="182" t="s">
        <v>451</v>
      </c>
      <c r="C205" s="198" t="s">
        <v>149</v>
      </c>
      <c r="D205" s="185">
        <v>613290.12009192794</v>
      </c>
      <c r="E205" s="185">
        <v>173096.25</v>
      </c>
      <c r="F205" s="184">
        <v>184787.01893637853</v>
      </c>
      <c r="G205" s="184">
        <v>196631.1860076164</v>
      </c>
      <c r="H205" s="184">
        <v>58775.665147932967</v>
      </c>
    </row>
    <row r="206" spans="2:8" hidden="1" outlineLevel="4" x14ac:dyDescent="0.25">
      <c r="B206" s="187" t="s">
        <v>140</v>
      </c>
      <c r="C206" s="242"/>
      <c r="D206" s="188">
        <v>613290.12009192794</v>
      </c>
      <c r="E206" s="188">
        <v>173096.25</v>
      </c>
      <c r="F206" s="186">
        <v>184787.01893637853</v>
      </c>
      <c r="G206" s="186">
        <v>196631.1860076164</v>
      </c>
      <c r="H206" s="186">
        <v>58775.665147932967</v>
      </c>
    </row>
    <row r="207" spans="2:8" hidden="1" outlineLevel="2" x14ac:dyDescent="0.25">
      <c r="B207" s="182" t="s">
        <v>403</v>
      </c>
      <c r="C207" s="195" t="s">
        <v>150</v>
      </c>
      <c r="D207" s="183">
        <v>207931.18108943824</v>
      </c>
      <c r="E207" s="183">
        <v>6373.45</v>
      </c>
      <c r="F207" s="181">
        <v>87946.513716556277</v>
      </c>
      <c r="G207" s="181">
        <v>89966.436558427595</v>
      </c>
      <c r="H207" s="181">
        <v>23644.780814454363</v>
      </c>
    </row>
    <row r="208" spans="2:8" hidden="1" outlineLevel="3" x14ac:dyDescent="0.25">
      <c r="B208" s="182" t="s">
        <v>452</v>
      </c>
      <c r="C208" s="198" t="s">
        <v>150</v>
      </c>
      <c r="D208" s="185">
        <v>207931.18108943824</v>
      </c>
      <c r="E208" s="185">
        <v>6373.45</v>
      </c>
      <c r="F208" s="184">
        <v>87946.513716556277</v>
      </c>
      <c r="G208" s="184">
        <v>89966.436558427595</v>
      </c>
      <c r="H208" s="184">
        <v>23644.780814454363</v>
      </c>
    </row>
    <row r="209" spans="2:8" hidden="1" outlineLevel="4" x14ac:dyDescent="0.25">
      <c r="B209" s="187" t="s">
        <v>141</v>
      </c>
      <c r="C209" s="242"/>
      <c r="D209" s="188">
        <v>207931.18108943824</v>
      </c>
      <c r="E209" s="188">
        <v>6373.45</v>
      </c>
      <c r="F209" s="186">
        <v>87946.513716556277</v>
      </c>
      <c r="G209" s="186">
        <v>89966.436558427595</v>
      </c>
      <c r="H209" s="186">
        <v>23644.780814454363</v>
      </c>
    </row>
    <row r="210" spans="2:8" hidden="1" outlineLevel="2" x14ac:dyDescent="0.25">
      <c r="B210" s="182" t="s">
        <v>405</v>
      </c>
      <c r="C210" s="195" t="s">
        <v>151</v>
      </c>
      <c r="D210" s="183">
        <v>869397.33184413076</v>
      </c>
      <c r="E210" s="183">
        <v>703124.87999999989</v>
      </c>
      <c r="F210" s="181">
        <v>40613.198527518514</v>
      </c>
      <c r="G210" s="181">
        <v>74866.195610308205</v>
      </c>
      <c r="H210" s="181">
        <v>50793.057706304135</v>
      </c>
    </row>
    <row r="211" spans="2:8" hidden="1" outlineLevel="3" x14ac:dyDescent="0.25">
      <c r="B211" s="182" t="s">
        <v>453</v>
      </c>
      <c r="C211" s="198" t="s">
        <v>151</v>
      </c>
      <c r="D211" s="185">
        <v>869397.33184413076</v>
      </c>
      <c r="E211" s="185">
        <v>703124.87999999989</v>
      </c>
      <c r="F211" s="184">
        <v>40613.198527518514</v>
      </c>
      <c r="G211" s="184">
        <v>74866.195610308205</v>
      </c>
      <c r="H211" s="184">
        <v>50793.057706304135</v>
      </c>
    </row>
    <row r="212" spans="2:8" hidden="1" outlineLevel="4" x14ac:dyDescent="0.25">
      <c r="B212" s="187" t="s">
        <v>142</v>
      </c>
      <c r="C212" s="242"/>
      <c r="D212" s="188">
        <v>869397.33184413076</v>
      </c>
      <c r="E212" s="188">
        <v>703124.87999999989</v>
      </c>
      <c r="F212" s="186">
        <v>40613.198527518514</v>
      </c>
      <c r="G212" s="186">
        <v>74866.195610308205</v>
      </c>
      <c r="H212" s="186">
        <v>50793.057706304135</v>
      </c>
    </row>
    <row r="213" spans="2:8" hidden="1" outlineLevel="2" x14ac:dyDescent="0.25">
      <c r="B213" s="182" t="s">
        <v>407</v>
      </c>
      <c r="C213" s="195" t="s">
        <v>152</v>
      </c>
      <c r="D213" s="183">
        <v>5347695.1923454637</v>
      </c>
      <c r="E213" s="183">
        <v>770640.8600000001</v>
      </c>
      <c r="F213" s="181">
        <v>728815.74072095437</v>
      </c>
      <c r="G213" s="181">
        <v>755283.26292224426</v>
      </c>
      <c r="H213" s="181">
        <v>3092955.3287022649</v>
      </c>
    </row>
    <row r="214" spans="2:8" hidden="1" outlineLevel="3" x14ac:dyDescent="0.25">
      <c r="B214" s="182" t="s">
        <v>454</v>
      </c>
      <c r="C214" s="198" t="s">
        <v>152</v>
      </c>
      <c r="D214" s="185">
        <v>5347695.1923454637</v>
      </c>
      <c r="E214" s="185">
        <v>770640.8600000001</v>
      </c>
      <c r="F214" s="184">
        <v>728815.74072095437</v>
      </c>
      <c r="G214" s="184">
        <v>755283.26292224426</v>
      </c>
      <c r="H214" s="184">
        <v>3092955.3287022649</v>
      </c>
    </row>
    <row r="215" spans="2:8" hidden="1" outlineLevel="4" x14ac:dyDescent="0.25">
      <c r="B215" s="187" t="s">
        <v>143</v>
      </c>
      <c r="C215" s="242"/>
      <c r="D215" s="188">
        <v>5347695.1923454637</v>
      </c>
      <c r="E215" s="188">
        <v>770640.8600000001</v>
      </c>
      <c r="F215" s="186">
        <v>728815.74072095437</v>
      </c>
      <c r="G215" s="186">
        <v>755283.26292224426</v>
      </c>
      <c r="H215" s="186">
        <v>3092955.3287022649</v>
      </c>
    </row>
    <row r="216" spans="2:8" hidden="1" outlineLevel="2" x14ac:dyDescent="0.25">
      <c r="B216" s="182" t="s">
        <v>410</v>
      </c>
      <c r="C216" s="195" t="s">
        <v>153</v>
      </c>
      <c r="D216" s="183">
        <v>419786.58905531804</v>
      </c>
      <c r="E216" s="183">
        <v>27416.69</v>
      </c>
      <c r="F216" s="181">
        <v>127876.76499072069</v>
      </c>
      <c r="G216" s="181">
        <v>100144.09721595235</v>
      </c>
      <c r="H216" s="181">
        <v>164349.03684864496</v>
      </c>
    </row>
    <row r="217" spans="2:8" hidden="1" outlineLevel="3" x14ac:dyDescent="0.25">
      <c r="B217" s="182" t="s">
        <v>455</v>
      </c>
      <c r="C217" s="198" t="s">
        <v>153</v>
      </c>
      <c r="D217" s="185">
        <v>419786.58905531804</v>
      </c>
      <c r="E217" s="185">
        <v>27416.69</v>
      </c>
      <c r="F217" s="184">
        <v>127876.76499072069</v>
      </c>
      <c r="G217" s="184">
        <v>100144.09721595235</v>
      </c>
      <c r="H217" s="184">
        <v>164349.03684864496</v>
      </c>
    </row>
    <row r="218" spans="2:8" hidden="1" outlineLevel="4" x14ac:dyDescent="0.25">
      <c r="B218" s="187" t="s">
        <v>144</v>
      </c>
      <c r="C218" s="242"/>
      <c r="D218" s="188">
        <v>419786.58905531804</v>
      </c>
      <c r="E218" s="188">
        <v>27416.69</v>
      </c>
      <c r="F218" s="186">
        <v>127876.76499072069</v>
      </c>
      <c r="G218" s="186">
        <v>100144.09721595235</v>
      </c>
      <c r="H218" s="186">
        <v>164349.03684864496</v>
      </c>
    </row>
    <row r="219" spans="2:8" hidden="1" outlineLevel="2" x14ac:dyDescent="0.25">
      <c r="B219" s="182" t="s">
        <v>413</v>
      </c>
      <c r="C219" s="195" t="s">
        <v>154</v>
      </c>
      <c r="D219" s="183">
        <v>64463.49</v>
      </c>
      <c r="E219" s="183">
        <v>64463.49</v>
      </c>
      <c r="F219" s="181">
        <v>0</v>
      </c>
      <c r="G219" s="181">
        <v>0</v>
      </c>
      <c r="H219" s="181">
        <v>0</v>
      </c>
    </row>
    <row r="220" spans="2:8" hidden="1" outlineLevel="3" x14ac:dyDescent="0.25">
      <c r="B220" s="182" t="s">
        <v>456</v>
      </c>
      <c r="C220" s="198" t="s">
        <v>154</v>
      </c>
      <c r="D220" s="185">
        <v>64463.49</v>
      </c>
      <c r="E220" s="185">
        <v>64463.49</v>
      </c>
      <c r="F220" s="184">
        <v>0</v>
      </c>
      <c r="G220" s="184">
        <v>0</v>
      </c>
      <c r="H220" s="184">
        <v>0</v>
      </c>
    </row>
    <row r="221" spans="2:8" hidden="1" outlineLevel="4" x14ac:dyDescent="0.25">
      <c r="B221" s="187" t="s">
        <v>145</v>
      </c>
      <c r="C221" s="242"/>
      <c r="D221" s="188">
        <v>64463.49</v>
      </c>
      <c r="E221" s="188">
        <v>64463.49</v>
      </c>
      <c r="F221" s="186">
        <v>0</v>
      </c>
      <c r="G221" s="186">
        <v>0</v>
      </c>
      <c r="H221" s="186">
        <v>0</v>
      </c>
    </row>
    <row r="222" spans="2:8" hidden="1" outlineLevel="2" x14ac:dyDescent="0.25">
      <c r="B222" s="182" t="s">
        <v>416</v>
      </c>
      <c r="C222" s="195" t="s">
        <v>155</v>
      </c>
      <c r="D222" s="183">
        <v>832557.57444867131</v>
      </c>
      <c r="E222" s="183">
        <v>88134.75</v>
      </c>
      <c r="F222" s="181">
        <v>105608.48344353531</v>
      </c>
      <c r="G222" s="181">
        <v>106872.10373904812</v>
      </c>
      <c r="H222" s="181">
        <v>531942.2372660879</v>
      </c>
    </row>
    <row r="223" spans="2:8" hidden="1" outlineLevel="3" x14ac:dyDescent="0.25">
      <c r="B223" s="182" t="s">
        <v>457</v>
      </c>
      <c r="C223" s="198" t="s">
        <v>155</v>
      </c>
      <c r="D223" s="185">
        <v>832557.57444867131</v>
      </c>
      <c r="E223" s="185">
        <v>88134.75</v>
      </c>
      <c r="F223" s="184">
        <v>105608.48344353531</v>
      </c>
      <c r="G223" s="184">
        <v>106872.10373904812</v>
      </c>
      <c r="H223" s="184">
        <v>531942.2372660879</v>
      </c>
    </row>
    <row r="224" spans="2:8" hidden="1" outlineLevel="4" x14ac:dyDescent="0.25">
      <c r="B224" s="187" t="s">
        <v>146</v>
      </c>
      <c r="C224" s="242"/>
      <c r="D224" s="188">
        <v>832557.57444867131</v>
      </c>
      <c r="E224" s="188">
        <v>88134.75</v>
      </c>
      <c r="F224" s="186">
        <v>105608.48344353531</v>
      </c>
      <c r="G224" s="186">
        <v>106872.10373904812</v>
      </c>
      <c r="H224" s="186">
        <v>531942.2372660879</v>
      </c>
    </row>
    <row r="225" spans="2:8" hidden="1" outlineLevel="2" x14ac:dyDescent="0.25">
      <c r="B225" s="182" t="s">
        <v>418</v>
      </c>
      <c r="C225" s="195" t="s">
        <v>156</v>
      </c>
      <c r="D225" s="183">
        <v>511408.59536960075</v>
      </c>
      <c r="E225" s="183">
        <v>1710.43</v>
      </c>
      <c r="F225" s="181">
        <v>213963.91666317516</v>
      </c>
      <c r="G225" s="181">
        <v>227678.21537724003</v>
      </c>
      <c r="H225" s="181">
        <v>68056.03332918555</v>
      </c>
    </row>
    <row r="226" spans="2:8" hidden="1" outlineLevel="3" x14ac:dyDescent="0.25">
      <c r="B226" s="182" t="s">
        <v>459</v>
      </c>
      <c r="C226" s="198" t="s">
        <v>156</v>
      </c>
      <c r="D226" s="185">
        <v>511408.59536960075</v>
      </c>
      <c r="E226" s="185">
        <v>1710.43</v>
      </c>
      <c r="F226" s="184">
        <v>213963.91666317516</v>
      </c>
      <c r="G226" s="184">
        <v>227678.21537724003</v>
      </c>
      <c r="H226" s="184">
        <v>68056.03332918555</v>
      </c>
    </row>
    <row r="227" spans="2:8" hidden="1" outlineLevel="4" x14ac:dyDescent="0.25">
      <c r="B227" s="187" t="s">
        <v>147</v>
      </c>
      <c r="C227" s="242"/>
      <c r="D227" s="188">
        <v>511408.59536960075</v>
      </c>
      <c r="E227" s="188">
        <v>1710.43</v>
      </c>
      <c r="F227" s="186">
        <v>213963.91666317516</v>
      </c>
      <c r="G227" s="186">
        <v>227678.21537724003</v>
      </c>
      <c r="H227" s="186">
        <v>68056.03332918555</v>
      </c>
    </row>
    <row r="228" spans="2:8" outlineLevel="1" collapsed="1" x14ac:dyDescent="0.25">
      <c r="B228" s="180" t="s">
        <v>58</v>
      </c>
      <c r="C228" s="192" t="s">
        <v>22</v>
      </c>
      <c r="D228" s="179">
        <v>5248796.2774669053</v>
      </c>
      <c r="E228" s="179">
        <v>348153.31</v>
      </c>
      <c r="F228" s="179">
        <v>415260.76468981832</v>
      </c>
      <c r="G228" s="179">
        <v>1615694.8962726428</v>
      </c>
      <c r="H228" s="179">
        <v>2869687.3065044442</v>
      </c>
    </row>
    <row r="229" spans="2:8" hidden="1" outlineLevel="2" x14ac:dyDescent="0.25">
      <c r="B229" s="182" t="s">
        <v>419</v>
      </c>
      <c r="C229" s="195" t="s">
        <v>22</v>
      </c>
      <c r="D229" s="183">
        <v>5248796.2774669053</v>
      </c>
      <c r="E229" s="183">
        <v>348153.31</v>
      </c>
      <c r="F229" s="181">
        <v>415260.76468981832</v>
      </c>
      <c r="G229" s="181">
        <v>1615694.8962726428</v>
      </c>
      <c r="H229" s="181">
        <v>2869687.3065044442</v>
      </c>
    </row>
    <row r="230" spans="2:8" hidden="1" outlineLevel="3" x14ac:dyDescent="0.25">
      <c r="B230" s="182" t="s">
        <v>460</v>
      </c>
      <c r="C230" s="198" t="s">
        <v>22</v>
      </c>
      <c r="D230" s="185">
        <v>5248796.2774669053</v>
      </c>
      <c r="E230" s="185">
        <v>348153.31</v>
      </c>
      <c r="F230" s="184">
        <v>415260.76468981832</v>
      </c>
      <c r="G230" s="184">
        <v>1615694.8962726428</v>
      </c>
      <c r="H230" s="184">
        <v>2869687.3065044442</v>
      </c>
    </row>
    <row r="231" spans="2:8" hidden="1" outlineLevel="4" x14ac:dyDescent="0.25">
      <c r="B231" s="187" t="s">
        <v>464</v>
      </c>
      <c r="C231" s="242"/>
      <c r="D231" s="188">
        <v>5248796.2774669053</v>
      </c>
      <c r="E231" s="188">
        <v>348153.31</v>
      </c>
      <c r="F231" s="186">
        <v>415260.76468981832</v>
      </c>
      <c r="G231" s="186">
        <v>1615694.8962726428</v>
      </c>
      <c r="H231" s="186">
        <v>2869687.3065044442</v>
      </c>
    </row>
    <row r="232" spans="2:8" outlineLevel="1" collapsed="1" x14ac:dyDescent="0.25">
      <c r="B232" s="180" t="s">
        <v>59</v>
      </c>
      <c r="C232" s="192" t="s">
        <v>1</v>
      </c>
      <c r="D232" s="179">
        <v>2580141</v>
      </c>
      <c r="E232" s="179">
        <v>0</v>
      </c>
      <c r="F232" s="179">
        <v>556064.87068965519</v>
      </c>
      <c r="G232" s="179">
        <v>1014818.3890086206</v>
      </c>
      <c r="H232" s="179">
        <v>1009257.7403017242</v>
      </c>
    </row>
    <row r="233" spans="2:8" hidden="1" outlineLevel="2" x14ac:dyDescent="0.25">
      <c r="B233" s="182" t="s">
        <v>472</v>
      </c>
      <c r="C233" s="195" t="s">
        <v>425</v>
      </c>
      <c r="D233" s="183">
        <v>2580141</v>
      </c>
      <c r="E233" s="183">
        <v>0</v>
      </c>
      <c r="F233" s="181">
        <v>556064.87068965519</v>
      </c>
      <c r="G233" s="181">
        <v>1014818.3890086206</v>
      </c>
      <c r="H233" s="181">
        <v>1009257.7403017242</v>
      </c>
    </row>
    <row r="234" spans="2:8" hidden="1" outlineLevel="3" x14ac:dyDescent="0.25">
      <c r="B234" s="182" t="s">
        <v>473</v>
      </c>
      <c r="C234" s="198" t="s">
        <v>425</v>
      </c>
      <c r="D234" s="185">
        <v>2580141</v>
      </c>
      <c r="E234" s="185">
        <v>0</v>
      </c>
      <c r="F234" s="184">
        <v>556064.87068965519</v>
      </c>
      <c r="G234" s="184">
        <v>1014818.3890086206</v>
      </c>
      <c r="H234" s="184">
        <v>1009257.7403017242</v>
      </c>
    </row>
    <row r="235" spans="2:8" hidden="1" outlineLevel="4" x14ac:dyDescent="0.25">
      <c r="B235" s="187" t="s">
        <v>470</v>
      </c>
      <c r="C235" s="242"/>
      <c r="D235" s="188">
        <v>2580141</v>
      </c>
      <c r="E235" s="188"/>
      <c r="F235" s="186">
        <v>556064.87068965519</v>
      </c>
      <c r="G235" s="186">
        <v>1014818.3890086206</v>
      </c>
      <c r="H235" s="186">
        <v>1009257.7403017242</v>
      </c>
    </row>
    <row r="236" spans="2:8" x14ac:dyDescent="0.25">
      <c r="B236" s="212" t="s">
        <v>553</v>
      </c>
      <c r="C236" s="213"/>
      <c r="D236" s="215">
        <v>7253161.7452909267</v>
      </c>
      <c r="E236" s="215">
        <v>0</v>
      </c>
      <c r="F236" s="215">
        <v>473767.30849540327</v>
      </c>
      <c r="G236" s="215">
        <v>565808.51533941203</v>
      </c>
      <c r="H236" s="215">
        <v>6213585.9214561097</v>
      </c>
    </row>
    <row r="237" spans="2:8" outlineLevel="1" x14ac:dyDescent="0.25">
      <c r="B237" s="180" t="s">
        <v>43</v>
      </c>
      <c r="C237" s="192" t="s">
        <v>186</v>
      </c>
      <c r="D237" s="179">
        <v>13642.180580894914</v>
      </c>
      <c r="E237" s="179">
        <v>0</v>
      </c>
      <c r="F237" s="179">
        <v>6835.9014101694902</v>
      </c>
      <c r="G237" s="179">
        <v>6806.2791707254237</v>
      </c>
      <c r="H237" s="179">
        <v>0</v>
      </c>
    </row>
    <row r="238" spans="2:8" hidden="1" outlineLevel="2" x14ac:dyDescent="0.25">
      <c r="B238" s="182" t="s">
        <v>187</v>
      </c>
      <c r="C238" s="195" t="s">
        <v>190</v>
      </c>
      <c r="D238" s="183">
        <v>5456.8722323579659</v>
      </c>
      <c r="E238" s="183">
        <v>0</v>
      </c>
      <c r="F238" s="181">
        <v>2734.3605640677965</v>
      </c>
      <c r="G238" s="181">
        <v>2722.5116682901694</v>
      </c>
      <c r="H238" s="181">
        <v>0</v>
      </c>
    </row>
    <row r="239" spans="2:8" hidden="1" outlineLevel="3" x14ac:dyDescent="0.25">
      <c r="B239" s="182" t="s">
        <v>188</v>
      </c>
      <c r="C239" s="198" t="s">
        <v>190</v>
      </c>
      <c r="D239" s="185">
        <v>5456.8722323579659</v>
      </c>
      <c r="E239" s="185">
        <v>0</v>
      </c>
      <c r="F239" s="184">
        <v>2734.3605640677965</v>
      </c>
      <c r="G239" s="184">
        <v>2722.5116682901694</v>
      </c>
      <c r="H239" s="184">
        <v>0</v>
      </c>
    </row>
    <row r="240" spans="2:8" hidden="1" outlineLevel="4" x14ac:dyDescent="0.25">
      <c r="B240" s="187" t="s">
        <v>189</v>
      </c>
      <c r="C240" s="242"/>
      <c r="D240" s="188">
        <v>5456.8722323579659</v>
      </c>
      <c r="E240" s="188"/>
      <c r="F240" s="186">
        <v>2734.3605640677965</v>
      </c>
      <c r="G240" s="186">
        <v>2722.5116682901694</v>
      </c>
      <c r="H240" s="186"/>
    </row>
    <row r="241" spans="2:8" hidden="1" outlineLevel="2" x14ac:dyDescent="0.25">
      <c r="B241" s="182" t="s">
        <v>191</v>
      </c>
      <c r="C241" s="195" t="s">
        <v>194</v>
      </c>
      <c r="D241" s="183">
        <v>8185.308348536948</v>
      </c>
      <c r="E241" s="183">
        <v>0</v>
      </c>
      <c r="F241" s="181">
        <v>4101.5408461016941</v>
      </c>
      <c r="G241" s="181">
        <v>4083.7675024352538</v>
      </c>
      <c r="H241" s="181">
        <v>0</v>
      </c>
    </row>
    <row r="242" spans="2:8" hidden="1" outlineLevel="3" x14ac:dyDescent="0.25">
      <c r="B242" s="182" t="s">
        <v>192</v>
      </c>
      <c r="C242" s="198" t="s">
        <v>194</v>
      </c>
      <c r="D242" s="185">
        <v>8185.308348536948</v>
      </c>
      <c r="E242" s="185">
        <v>0</v>
      </c>
      <c r="F242" s="184">
        <v>4101.5408461016941</v>
      </c>
      <c r="G242" s="184">
        <v>4083.7675024352538</v>
      </c>
      <c r="H242" s="184">
        <v>0</v>
      </c>
    </row>
    <row r="243" spans="2:8" hidden="1" outlineLevel="4" x14ac:dyDescent="0.25">
      <c r="B243" s="187" t="s">
        <v>193</v>
      </c>
      <c r="C243" s="242"/>
      <c r="D243" s="188">
        <v>8185.308348536948</v>
      </c>
      <c r="E243" s="188"/>
      <c r="F243" s="186">
        <v>4101.5408461016941</v>
      </c>
      <c r="G243" s="186">
        <v>4083.7675024352538</v>
      </c>
      <c r="H243" s="186"/>
    </row>
    <row r="244" spans="2:8" outlineLevel="1" collapsed="1" x14ac:dyDescent="0.25">
      <c r="B244" s="180" t="s">
        <v>44</v>
      </c>
      <c r="C244" s="192" t="s">
        <v>14</v>
      </c>
      <c r="D244" s="179">
        <v>173937.80240641013</v>
      </c>
      <c r="E244" s="179">
        <v>0</v>
      </c>
      <c r="F244" s="179">
        <v>87157.742979660994</v>
      </c>
      <c r="G244" s="179">
        <v>86780.059426749154</v>
      </c>
      <c r="H244" s="179">
        <v>0</v>
      </c>
    </row>
    <row r="245" spans="2:8" hidden="1" outlineLevel="2" x14ac:dyDescent="0.25">
      <c r="B245" s="182" t="s">
        <v>195</v>
      </c>
      <c r="C245" s="195" t="s">
        <v>309</v>
      </c>
      <c r="D245" s="183">
        <v>17393.780240641016</v>
      </c>
      <c r="E245" s="183">
        <v>0</v>
      </c>
      <c r="F245" s="181">
        <v>8715.7742979660998</v>
      </c>
      <c r="G245" s="181">
        <v>8678.0059426749158</v>
      </c>
      <c r="H245" s="181">
        <v>0</v>
      </c>
    </row>
    <row r="246" spans="2:8" hidden="1" outlineLevel="3" x14ac:dyDescent="0.25">
      <c r="B246" s="182" t="s">
        <v>196</v>
      </c>
      <c r="C246" s="198" t="s">
        <v>198</v>
      </c>
      <c r="D246" s="185">
        <v>17393.780240641016</v>
      </c>
      <c r="E246" s="185">
        <v>0</v>
      </c>
      <c r="F246" s="184">
        <v>8715.7742979660998</v>
      </c>
      <c r="G246" s="184">
        <v>8678.0059426749158</v>
      </c>
      <c r="H246" s="184">
        <v>0</v>
      </c>
    </row>
    <row r="247" spans="2:8" hidden="1" outlineLevel="4" x14ac:dyDescent="0.25">
      <c r="B247" s="187" t="s">
        <v>197</v>
      </c>
      <c r="C247" s="242"/>
      <c r="D247" s="188">
        <v>17393.780240641016</v>
      </c>
      <c r="E247" s="188"/>
      <c r="F247" s="186">
        <v>8715.7742979660998</v>
      </c>
      <c r="G247" s="186">
        <v>8678.0059426749158</v>
      </c>
      <c r="H247" s="186"/>
    </row>
    <row r="248" spans="2:8" hidden="1" outlineLevel="2" x14ac:dyDescent="0.25">
      <c r="B248" s="182" t="s">
        <v>199</v>
      </c>
      <c r="C248" s="195" t="s">
        <v>310</v>
      </c>
      <c r="D248" s="183">
        <v>156544.02216576913</v>
      </c>
      <c r="E248" s="183">
        <v>0</v>
      </c>
      <c r="F248" s="181">
        <v>78441.968681694896</v>
      </c>
      <c r="G248" s="181">
        <v>78102.053484074233</v>
      </c>
      <c r="H248" s="181">
        <v>0</v>
      </c>
    </row>
    <row r="249" spans="2:8" hidden="1" outlineLevel="3" x14ac:dyDescent="0.25">
      <c r="B249" s="182" t="s">
        <v>200</v>
      </c>
      <c r="C249" s="198" t="s">
        <v>202</v>
      </c>
      <c r="D249" s="185">
        <v>156544.02216576913</v>
      </c>
      <c r="E249" s="185">
        <v>0</v>
      </c>
      <c r="F249" s="184">
        <v>78441.968681694896</v>
      </c>
      <c r="G249" s="184">
        <v>78102.053484074233</v>
      </c>
      <c r="H249" s="184">
        <v>0</v>
      </c>
    </row>
    <row r="250" spans="2:8" hidden="1" outlineLevel="4" x14ac:dyDescent="0.25">
      <c r="B250" s="187" t="s">
        <v>201</v>
      </c>
      <c r="C250" s="242"/>
      <c r="D250" s="188">
        <v>156544.02216576913</v>
      </c>
      <c r="E250" s="188"/>
      <c r="F250" s="186">
        <v>78441.968681694896</v>
      </c>
      <c r="G250" s="186">
        <v>78102.053484074233</v>
      </c>
      <c r="H250" s="186"/>
    </row>
    <row r="251" spans="2:8" outlineLevel="1" collapsed="1" x14ac:dyDescent="0.25">
      <c r="B251" s="180" t="s">
        <v>45</v>
      </c>
      <c r="C251" s="192" t="s">
        <v>15</v>
      </c>
      <c r="D251" s="179">
        <v>61167.489238709684</v>
      </c>
      <c r="E251" s="179">
        <v>0</v>
      </c>
      <c r="F251" s="179">
        <v>36794.625376344084</v>
      </c>
      <c r="G251" s="179">
        <v>24372.86386236559</v>
      </c>
      <c r="H251" s="179">
        <v>0</v>
      </c>
    </row>
    <row r="252" spans="2:8" hidden="1" outlineLevel="2" x14ac:dyDescent="0.25">
      <c r="B252" s="182" t="s">
        <v>203</v>
      </c>
      <c r="C252" s="195" t="s">
        <v>313</v>
      </c>
      <c r="D252" s="183">
        <v>24079.053367741933</v>
      </c>
      <c r="E252" s="183">
        <v>0</v>
      </c>
      <c r="F252" s="181">
        <v>14484.487741935483</v>
      </c>
      <c r="G252" s="181">
        <v>9594.56562580645</v>
      </c>
      <c r="H252" s="181">
        <v>0</v>
      </c>
    </row>
    <row r="253" spans="2:8" hidden="1" outlineLevel="3" x14ac:dyDescent="0.25">
      <c r="B253" s="182" t="s">
        <v>204</v>
      </c>
      <c r="C253" s="198" t="s">
        <v>206</v>
      </c>
      <c r="D253" s="185">
        <v>2719.5623225806457</v>
      </c>
      <c r="E253" s="185">
        <v>0</v>
      </c>
      <c r="F253" s="184">
        <v>1635.9225806451614</v>
      </c>
      <c r="G253" s="184">
        <v>1083.6397419354842</v>
      </c>
      <c r="H253" s="184">
        <v>0</v>
      </c>
    </row>
    <row r="254" spans="2:8" hidden="1" outlineLevel="4" x14ac:dyDescent="0.25">
      <c r="B254" s="187" t="s">
        <v>205</v>
      </c>
      <c r="C254" s="242"/>
      <c r="D254" s="188">
        <v>2719.5623225806457</v>
      </c>
      <c r="E254" s="188"/>
      <c r="F254" s="186">
        <v>1635.9225806451614</v>
      </c>
      <c r="G254" s="186">
        <v>1083.6397419354842</v>
      </c>
      <c r="H254" s="186"/>
    </row>
    <row r="255" spans="2:8" hidden="1" outlineLevel="3" x14ac:dyDescent="0.25">
      <c r="B255" s="182" t="s">
        <v>207</v>
      </c>
      <c r="C255" s="198" t="s">
        <v>209</v>
      </c>
      <c r="D255" s="185">
        <v>21359.491045161289</v>
      </c>
      <c r="E255" s="185">
        <v>0</v>
      </c>
      <c r="F255" s="184">
        <v>12848.565161290322</v>
      </c>
      <c r="G255" s="184">
        <v>8510.9258838709666</v>
      </c>
      <c r="H255" s="184">
        <v>0</v>
      </c>
    </row>
    <row r="256" spans="2:8" hidden="1" outlineLevel="4" x14ac:dyDescent="0.25">
      <c r="B256" s="187" t="s">
        <v>208</v>
      </c>
      <c r="C256" s="242"/>
      <c r="D256" s="188">
        <v>21359.491045161289</v>
      </c>
      <c r="E256" s="188"/>
      <c r="F256" s="186">
        <v>12848.565161290322</v>
      </c>
      <c r="G256" s="186">
        <v>8510.9258838709666</v>
      </c>
      <c r="H256" s="186"/>
    </row>
    <row r="257" spans="2:8" hidden="1" outlineLevel="2" x14ac:dyDescent="0.25">
      <c r="B257" s="182" t="s">
        <v>210</v>
      </c>
      <c r="C257" s="195" t="s">
        <v>322</v>
      </c>
      <c r="D257" s="183">
        <v>34271.341625806454</v>
      </c>
      <c r="E257" s="183">
        <v>0</v>
      </c>
      <c r="F257" s="181">
        <v>20615.545806451613</v>
      </c>
      <c r="G257" s="181">
        <v>13655.79581935484</v>
      </c>
      <c r="H257" s="181">
        <v>0</v>
      </c>
    </row>
    <row r="258" spans="2:8" hidden="1" outlineLevel="3" x14ac:dyDescent="0.25">
      <c r="B258" s="182" t="s">
        <v>330</v>
      </c>
      <c r="C258" s="198" t="s">
        <v>213</v>
      </c>
      <c r="D258" s="185">
        <v>5439.1246451612915</v>
      </c>
      <c r="E258" s="185">
        <v>0</v>
      </c>
      <c r="F258" s="184">
        <v>3271.8451612903227</v>
      </c>
      <c r="G258" s="184">
        <v>2167.2794838709683</v>
      </c>
      <c r="H258" s="184">
        <v>0</v>
      </c>
    </row>
    <row r="259" spans="2:8" hidden="1" outlineLevel="4" x14ac:dyDescent="0.25">
      <c r="B259" s="187" t="s">
        <v>331</v>
      </c>
      <c r="C259" s="242"/>
      <c r="D259" s="188">
        <v>5439.1246451612915</v>
      </c>
      <c r="E259" s="188"/>
      <c r="F259" s="186">
        <v>3271.8451612903227</v>
      </c>
      <c r="G259" s="186">
        <v>2167.2794838709683</v>
      </c>
      <c r="H259" s="186"/>
    </row>
    <row r="260" spans="2:8" hidden="1" outlineLevel="3" x14ac:dyDescent="0.25">
      <c r="B260" s="182" t="s">
        <v>211</v>
      </c>
      <c r="C260" s="198" t="s">
        <v>213</v>
      </c>
      <c r="D260" s="185">
        <v>28832.216980645164</v>
      </c>
      <c r="E260" s="185">
        <v>0</v>
      </c>
      <c r="F260" s="184">
        <v>17343.700645161291</v>
      </c>
      <c r="G260" s="184">
        <v>11488.516335483871</v>
      </c>
      <c r="H260" s="184">
        <v>0</v>
      </c>
    </row>
    <row r="261" spans="2:8" hidden="1" outlineLevel="4" x14ac:dyDescent="0.25">
      <c r="B261" s="187" t="s">
        <v>212</v>
      </c>
      <c r="C261" s="242"/>
      <c r="D261" s="188">
        <v>28832.216980645164</v>
      </c>
      <c r="E261" s="188"/>
      <c r="F261" s="186">
        <v>17343.700645161291</v>
      </c>
      <c r="G261" s="186">
        <v>11488.516335483871</v>
      </c>
      <c r="H261" s="186"/>
    </row>
    <row r="262" spans="2:8" hidden="1" outlineLevel="2" x14ac:dyDescent="0.25">
      <c r="B262" s="182" t="s">
        <v>328</v>
      </c>
      <c r="C262" s="195" t="s">
        <v>329</v>
      </c>
      <c r="D262" s="183">
        <v>2817.0942451612909</v>
      </c>
      <c r="E262" s="183">
        <v>0</v>
      </c>
      <c r="F262" s="181">
        <v>1694.5918279569894</v>
      </c>
      <c r="G262" s="181">
        <v>1122.5024172043013</v>
      </c>
      <c r="H262" s="181">
        <v>0</v>
      </c>
    </row>
    <row r="263" spans="2:8" hidden="1" outlineLevel="3" x14ac:dyDescent="0.25">
      <c r="B263" s="182" t="s">
        <v>340</v>
      </c>
      <c r="C263" s="198" t="s">
        <v>341</v>
      </c>
      <c r="D263" s="185">
        <v>2817.0942451612909</v>
      </c>
      <c r="E263" s="185">
        <v>0</v>
      </c>
      <c r="F263" s="184">
        <v>1694.5918279569894</v>
      </c>
      <c r="G263" s="184">
        <v>1122.5024172043013</v>
      </c>
      <c r="H263" s="184">
        <v>0</v>
      </c>
    </row>
    <row r="264" spans="2:8" hidden="1" outlineLevel="4" x14ac:dyDescent="0.25">
      <c r="B264" s="187" t="s">
        <v>342</v>
      </c>
      <c r="C264" s="242"/>
      <c r="D264" s="188">
        <v>2817.0942451612909</v>
      </c>
      <c r="E264" s="188"/>
      <c r="F264" s="186">
        <v>1694.5918279569894</v>
      </c>
      <c r="G264" s="186">
        <v>1122.5024172043013</v>
      </c>
      <c r="H264" s="186"/>
    </row>
    <row r="265" spans="2:8" outlineLevel="1" collapsed="1" x14ac:dyDescent="0.25">
      <c r="B265" s="180" t="s">
        <v>46</v>
      </c>
      <c r="C265" s="192" t="s">
        <v>224</v>
      </c>
      <c r="D265" s="179">
        <v>146936.84671327434</v>
      </c>
      <c r="E265" s="179">
        <v>0</v>
      </c>
      <c r="F265" s="179">
        <v>85634.415504424775</v>
      </c>
      <c r="G265" s="179">
        <v>61302.431208849564</v>
      </c>
      <c r="H265" s="179">
        <v>0</v>
      </c>
    </row>
    <row r="266" spans="2:8" hidden="1" outlineLevel="2" x14ac:dyDescent="0.25">
      <c r="B266" s="182" t="s">
        <v>338</v>
      </c>
      <c r="C266" s="195" t="s">
        <v>339</v>
      </c>
      <c r="D266" s="183">
        <v>146936.84671327434</v>
      </c>
      <c r="E266" s="183">
        <v>0</v>
      </c>
      <c r="F266" s="181">
        <v>85634.415504424775</v>
      </c>
      <c r="G266" s="181">
        <v>61302.431208849564</v>
      </c>
      <c r="H266" s="181">
        <v>0</v>
      </c>
    </row>
    <row r="267" spans="2:8" hidden="1" outlineLevel="3" x14ac:dyDescent="0.25">
      <c r="B267" s="182" t="s">
        <v>382</v>
      </c>
      <c r="C267" s="198" t="s">
        <v>383</v>
      </c>
      <c r="D267" s="185">
        <v>127011.56413097345</v>
      </c>
      <c r="E267" s="185">
        <v>0</v>
      </c>
      <c r="F267" s="184">
        <v>74022.012176991149</v>
      </c>
      <c r="G267" s="184">
        <v>52989.551953982307</v>
      </c>
      <c r="H267" s="184">
        <v>0</v>
      </c>
    </row>
    <row r="268" spans="2:8" hidden="1" outlineLevel="4" x14ac:dyDescent="0.25">
      <c r="B268" s="187" t="s">
        <v>387</v>
      </c>
      <c r="C268" s="242"/>
      <c r="D268" s="188">
        <v>127011.56413097345</v>
      </c>
      <c r="E268" s="188"/>
      <c r="F268" s="186">
        <v>74022.012176991149</v>
      </c>
      <c r="G268" s="186">
        <v>52989.551953982307</v>
      </c>
      <c r="H268" s="186"/>
    </row>
    <row r="269" spans="2:8" hidden="1" outlineLevel="3" x14ac:dyDescent="0.25">
      <c r="B269" s="182" t="s">
        <v>385</v>
      </c>
      <c r="C269" s="198" t="s">
        <v>386</v>
      </c>
      <c r="D269" s="185">
        <v>19925.282582300886</v>
      </c>
      <c r="E269" s="185">
        <v>0</v>
      </c>
      <c r="F269" s="184">
        <v>11612.403327433631</v>
      </c>
      <c r="G269" s="184">
        <v>8312.8792548672554</v>
      </c>
      <c r="H269" s="184">
        <v>0</v>
      </c>
    </row>
    <row r="270" spans="2:8" hidden="1" outlineLevel="4" x14ac:dyDescent="0.25">
      <c r="B270" s="187" t="s">
        <v>388</v>
      </c>
      <c r="C270" s="242"/>
      <c r="D270" s="188">
        <v>19925.282582300886</v>
      </c>
      <c r="E270" s="188"/>
      <c r="F270" s="186">
        <v>11612.403327433631</v>
      </c>
      <c r="G270" s="186">
        <v>8312.8792548672554</v>
      </c>
      <c r="H270" s="186"/>
    </row>
    <row r="271" spans="2:8" outlineLevel="1" collapsed="1" x14ac:dyDescent="0.25">
      <c r="B271" s="180" t="s">
        <v>47</v>
      </c>
      <c r="C271" s="192" t="s">
        <v>237</v>
      </c>
      <c r="D271" s="179">
        <v>1389426.2274102001</v>
      </c>
      <c r="E271" s="179">
        <v>0</v>
      </c>
      <c r="F271" s="179">
        <v>0</v>
      </c>
      <c r="G271" s="179">
        <v>0</v>
      </c>
      <c r="H271" s="179">
        <v>1389426.2274102001</v>
      </c>
    </row>
    <row r="272" spans="2:8" hidden="1" outlineLevel="2" x14ac:dyDescent="0.25">
      <c r="B272" s="182" t="s">
        <v>238</v>
      </c>
      <c r="C272" s="195" t="s">
        <v>347</v>
      </c>
      <c r="D272" s="183">
        <v>87309.861206200017</v>
      </c>
      <c r="E272" s="183">
        <v>0</v>
      </c>
      <c r="F272" s="181">
        <v>0</v>
      </c>
      <c r="G272" s="181">
        <v>0</v>
      </c>
      <c r="H272" s="181">
        <v>87309.861206200017</v>
      </c>
    </row>
    <row r="273" spans="2:8" hidden="1" outlineLevel="3" x14ac:dyDescent="0.25">
      <c r="B273" s="182" t="s">
        <v>239</v>
      </c>
      <c r="C273" s="198" t="s">
        <v>400</v>
      </c>
      <c r="D273" s="185">
        <v>21146.70752</v>
      </c>
      <c r="E273" s="185">
        <v>0</v>
      </c>
      <c r="F273" s="184">
        <v>0</v>
      </c>
      <c r="G273" s="184">
        <v>0</v>
      </c>
      <c r="H273" s="184">
        <v>21146.70752</v>
      </c>
    </row>
    <row r="274" spans="2:8" hidden="1" outlineLevel="4" x14ac:dyDescent="0.25">
      <c r="B274" s="187" t="s">
        <v>240</v>
      </c>
      <c r="C274" s="242"/>
      <c r="D274" s="188">
        <v>21146.70752</v>
      </c>
      <c r="E274" s="188"/>
      <c r="F274" s="186"/>
      <c r="G274" s="186"/>
      <c r="H274" s="186">
        <v>21146.70752</v>
      </c>
    </row>
    <row r="275" spans="2:8" hidden="1" outlineLevel="3" x14ac:dyDescent="0.25">
      <c r="B275" s="182" t="s">
        <v>241</v>
      </c>
      <c r="C275" s="198" t="s">
        <v>243</v>
      </c>
      <c r="D275" s="185">
        <v>66163.153686200021</v>
      </c>
      <c r="E275" s="185">
        <v>0</v>
      </c>
      <c r="F275" s="184">
        <v>0</v>
      </c>
      <c r="G275" s="184">
        <v>0</v>
      </c>
      <c r="H275" s="184">
        <v>66163.153686200021</v>
      </c>
    </row>
    <row r="276" spans="2:8" hidden="1" outlineLevel="4" x14ac:dyDescent="0.25">
      <c r="B276" s="187" t="s">
        <v>242</v>
      </c>
      <c r="C276" s="242"/>
      <c r="D276" s="188">
        <v>66163.153686200021</v>
      </c>
      <c r="E276" s="188"/>
      <c r="F276" s="186"/>
      <c r="G276" s="186"/>
      <c r="H276" s="186">
        <v>66163.153686200021</v>
      </c>
    </row>
    <row r="277" spans="2:8" hidden="1" outlineLevel="2" x14ac:dyDescent="0.25">
      <c r="B277" s="182" t="s">
        <v>249</v>
      </c>
      <c r="C277" s="195" t="s">
        <v>349</v>
      </c>
      <c r="D277" s="183">
        <v>1302116.3662040001</v>
      </c>
      <c r="E277" s="183">
        <v>0</v>
      </c>
      <c r="F277" s="181">
        <v>0</v>
      </c>
      <c r="G277" s="181">
        <v>0</v>
      </c>
      <c r="H277" s="181">
        <v>1302116.3662040001</v>
      </c>
    </row>
    <row r="278" spans="2:8" hidden="1" outlineLevel="3" x14ac:dyDescent="0.25">
      <c r="B278" s="182" t="s">
        <v>254</v>
      </c>
      <c r="C278" s="198" t="s">
        <v>412</v>
      </c>
      <c r="D278" s="185">
        <v>50429.07521599999</v>
      </c>
      <c r="E278" s="185">
        <v>0</v>
      </c>
      <c r="F278" s="184">
        <v>0</v>
      </c>
      <c r="G278" s="184">
        <v>0</v>
      </c>
      <c r="H278" s="184">
        <v>50429.07521599999</v>
      </c>
    </row>
    <row r="279" spans="2:8" hidden="1" outlineLevel="4" x14ac:dyDescent="0.25">
      <c r="B279" s="187" t="s">
        <v>440</v>
      </c>
      <c r="C279" s="242"/>
      <c r="D279" s="188">
        <v>50429.07521599999</v>
      </c>
      <c r="E279" s="188"/>
      <c r="F279" s="186"/>
      <c r="G279" s="186"/>
      <c r="H279" s="186">
        <v>50429.07521599999</v>
      </c>
    </row>
    <row r="280" spans="2:8" hidden="1" outlineLevel="3" x14ac:dyDescent="0.25">
      <c r="B280" s="182" t="s">
        <v>414</v>
      </c>
      <c r="C280" s="198" t="s">
        <v>415</v>
      </c>
      <c r="D280" s="185">
        <v>1251687.2909880001</v>
      </c>
      <c r="E280" s="185">
        <v>0</v>
      </c>
      <c r="F280" s="184">
        <v>0</v>
      </c>
      <c r="G280" s="184">
        <v>0</v>
      </c>
      <c r="H280" s="184">
        <v>1251687.2909880001</v>
      </c>
    </row>
    <row r="281" spans="2:8" hidden="1" outlineLevel="4" x14ac:dyDescent="0.25">
      <c r="B281" s="187" t="s">
        <v>443</v>
      </c>
      <c r="C281" s="242"/>
      <c r="D281" s="188">
        <v>1251687.2909880001</v>
      </c>
      <c r="E281" s="188"/>
      <c r="F281" s="186"/>
      <c r="G281" s="186"/>
      <c r="H281" s="186">
        <v>1251687.2909880001</v>
      </c>
    </row>
    <row r="282" spans="2:8" outlineLevel="1" collapsed="1" x14ac:dyDescent="0.25">
      <c r="B282" s="180" t="s">
        <v>48</v>
      </c>
      <c r="C282" s="192" t="s">
        <v>16</v>
      </c>
      <c r="D282" s="179">
        <v>1814491.2187999999</v>
      </c>
      <c r="E282" s="179">
        <v>0</v>
      </c>
      <c r="F282" s="179">
        <v>0</v>
      </c>
      <c r="G282" s="179">
        <v>0</v>
      </c>
      <c r="H282" s="179">
        <v>1814491.2187999999</v>
      </c>
    </row>
    <row r="283" spans="2:8" hidden="1" outlineLevel="2" x14ac:dyDescent="0.25">
      <c r="B283" s="182" t="s">
        <v>256</v>
      </c>
      <c r="C283" s="195" t="s">
        <v>352</v>
      </c>
      <c r="D283" s="183">
        <v>663104.93599999999</v>
      </c>
      <c r="E283" s="183">
        <v>0</v>
      </c>
      <c r="F283" s="181">
        <v>0</v>
      </c>
      <c r="G283" s="181">
        <v>0</v>
      </c>
      <c r="H283" s="181">
        <v>663104.93599999999</v>
      </c>
    </row>
    <row r="284" spans="2:8" hidden="1" outlineLevel="3" x14ac:dyDescent="0.25">
      <c r="B284" s="182" t="s">
        <v>420</v>
      </c>
      <c r="C284" s="198" t="s">
        <v>421</v>
      </c>
      <c r="D284" s="185">
        <v>663104.93599999999</v>
      </c>
      <c r="E284" s="185">
        <v>0</v>
      </c>
      <c r="F284" s="184">
        <v>0</v>
      </c>
      <c r="G284" s="184">
        <v>0</v>
      </c>
      <c r="H284" s="184">
        <v>663104.93599999999</v>
      </c>
    </row>
    <row r="285" spans="2:8" hidden="1" outlineLevel="4" x14ac:dyDescent="0.25">
      <c r="B285" s="187" t="s">
        <v>449</v>
      </c>
      <c r="C285" s="242"/>
      <c r="D285" s="188">
        <v>663104.93599999999</v>
      </c>
      <c r="E285" s="188"/>
      <c r="F285" s="186"/>
      <c r="G285" s="186"/>
      <c r="H285" s="186">
        <v>663104.93599999999</v>
      </c>
    </row>
    <row r="286" spans="2:8" hidden="1" outlineLevel="2" x14ac:dyDescent="0.25">
      <c r="B286" s="182" t="s">
        <v>257</v>
      </c>
      <c r="C286" s="195" t="s">
        <v>353</v>
      </c>
      <c r="D286" s="183">
        <v>1151386.2827999999</v>
      </c>
      <c r="E286" s="183">
        <v>0</v>
      </c>
      <c r="F286" s="181">
        <v>0</v>
      </c>
      <c r="G286" s="181">
        <v>0</v>
      </c>
      <c r="H286" s="181">
        <v>1151386.2827999999</v>
      </c>
    </row>
    <row r="287" spans="2:8" hidden="1" outlineLevel="3" x14ac:dyDescent="0.25">
      <c r="B287" s="182" t="s">
        <v>423</v>
      </c>
      <c r="C287" s="198" t="s">
        <v>424</v>
      </c>
      <c r="D287" s="185">
        <v>1151386.2827999999</v>
      </c>
      <c r="E287" s="185">
        <v>0</v>
      </c>
      <c r="F287" s="184">
        <v>0</v>
      </c>
      <c r="G287" s="184">
        <v>0</v>
      </c>
      <c r="H287" s="184">
        <v>1151386.2827999999</v>
      </c>
    </row>
    <row r="288" spans="2:8" hidden="1" outlineLevel="4" x14ac:dyDescent="0.25">
      <c r="B288" s="187" t="s">
        <v>450</v>
      </c>
      <c r="C288" s="242"/>
      <c r="D288" s="188">
        <v>1151386.2827999999</v>
      </c>
      <c r="E288" s="188"/>
      <c r="F288" s="186"/>
      <c r="G288" s="186"/>
      <c r="H288" s="186">
        <v>1151386.2827999999</v>
      </c>
    </row>
    <row r="289" spans="2:8" outlineLevel="1" collapsed="1" x14ac:dyDescent="0.25">
      <c r="B289" s="180" t="s">
        <v>49</v>
      </c>
      <c r="C289" s="192" t="s">
        <v>17</v>
      </c>
      <c r="D289" s="179">
        <v>96925.678302223358</v>
      </c>
      <c r="E289" s="179">
        <v>0</v>
      </c>
      <c r="F289" s="179">
        <v>20257.701239317317</v>
      </c>
      <c r="G289" s="179">
        <v>40444.9460100734</v>
      </c>
      <c r="H289" s="179">
        <v>36223.031052832652</v>
      </c>
    </row>
    <row r="290" spans="2:8" hidden="1" outlineLevel="2" x14ac:dyDescent="0.25">
      <c r="B290" s="182" t="s">
        <v>266</v>
      </c>
      <c r="C290" s="195" t="s">
        <v>356</v>
      </c>
      <c r="D290" s="183">
        <v>25029.792238591417</v>
      </c>
      <c r="E290" s="183">
        <v>0</v>
      </c>
      <c r="F290" s="181">
        <v>4275.4892099322797</v>
      </c>
      <c r="G290" s="181">
        <v>10238.026550790066</v>
      </c>
      <c r="H290" s="181">
        <v>10516.276477869073</v>
      </c>
    </row>
    <row r="291" spans="2:8" hidden="1" outlineLevel="3" x14ac:dyDescent="0.25">
      <c r="B291" s="182" t="s">
        <v>270</v>
      </c>
      <c r="C291" s="198" t="s">
        <v>272</v>
      </c>
      <c r="D291" s="185">
        <v>25029.792238591417</v>
      </c>
      <c r="E291" s="185">
        <v>0</v>
      </c>
      <c r="F291" s="184">
        <v>4275.4892099322797</v>
      </c>
      <c r="G291" s="184">
        <v>10238.026550790066</v>
      </c>
      <c r="H291" s="184">
        <v>10516.276477869073</v>
      </c>
    </row>
    <row r="292" spans="2:8" hidden="1" outlineLevel="4" x14ac:dyDescent="0.25">
      <c r="B292" s="187" t="s">
        <v>271</v>
      </c>
      <c r="C292" s="242"/>
      <c r="D292" s="188">
        <v>25029.792238591417</v>
      </c>
      <c r="E292" s="188"/>
      <c r="F292" s="186">
        <v>4275.4892099322797</v>
      </c>
      <c r="G292" s="186">
        <v>10238.026550790066</v>
      </c>
      <c r="H292" s="186">
        <v>10516.276477869073</v>
      </c>
    </row>
    <row r="293" spans="2:8" hidden="1" outlineLevel="2" x14ac:dyDescent="0.25">
      <c r="B293" s="182" t="s">
        <v>359</v>
      </c>
      <c r="C293" s="195" t="s">
        <v>360</v>
      </c>
      <c r="D293" s="183">
        <v>1790.1008245598191</v>
      </c>
      <c r="E293" s="183">
        <v>0</v>
      </c>
      <c r="F293" s="181">
        <v>305.77787810383745</v>
      </c>
      <c r="G293" s="181">
        <v>732.21142212189602</v>
      </c>
      <c r="H293" s="181">
        <v>752.11152433408563</v>
      </c>
    </row>
    <row r="294" spans="2:8" hidden="1" outlineLevel="3" x14ac:dyDescent="0.25">
      <c r="B294" s="182" t="s">
        <v>429</v>
      </c>
      <c r="C294" s="198" t="s">
        <v>430</v>
      </c>
      <c r="D294" s="185">
        <v>1790.1008245598191</v>
      </c>
      <c r="E294" s="185">
        <v>0</v>
      </c>
      <c r="F294" s="184">
        <v>305.77787810383745</v>
      </c>
      <c r="G294" s="184">
        <v>732.21142212189602</v>
      </c>
      <c r="H294" s="184">
        <v>752.11152433408563</v>
      </c>
    </row>
    <row r="295" spans="2:8" hidden="1" outlineLevel="4" x14ac:dyDescent="0.25">
      <c r="B295" s="187" t="s">
        <v>461</v>
      </c>
      <c r="C295" s="242"/>
      <c r="D295" s="188">
        <v>1790.1008245598191</v>
      </c>
      <c r="E295" s="188"/>
      <c r="F295" s="186">
        <v>305.77787810383745</v>
      </c>
      <c r="G295" s="186">
        <v>732.21142212189602</v>
      </c>
      <c r="H295" s="186">
        <v>752.11152433408563</v>
      </c>
    </row>
    <row r="296" spans="2:8" hidden="1" outlineLevel="2" x14ac:dyDescent="0.25">
      <c r="B296" s="182" t="s">
        <v>273</v>
      </c>
      <c r="C296" s="195" t="s">
        <v>361</v>
      </c>
      <c r="D296" s="183">
        <v>3104.7161355932203</v>
      </c>
      <c r="E296" s="183">
        <v>0</v>
      </c>
      <c r="F296" s="181">
        <v>1555.7288135593219</v>
      </c>
      <c r="G296" s="181">
        <v>1548.9873220338984</v>
      </c>
      <c r="H296" s="181">
        <v>0</v>
      </c>
    </row>
    <row r="297" spans="2:8" hidden="1" outlineLevel="3" x14ac:dyDescent="0.25">
      <c r="B297" s="182" t="s">
        <v>274</v>
      </c>
      <c r="C297" s="198" t="s">
        <v>276</v>
      </c>
      <c r="D297" s="185">
        <v>3104.7161355932203</v>
      </c>
      <c r="E297" s="185">
        <v>0</v>
      </c>
      <c r="F297" s="184">
        <v>1555.7288135593219</v>
      </c>
      <c r="G297" s="184">
        <v>1548.9873220338984</v>
      </c>
      <c r="H297" s="184">
        <v>0</v>
      </c>
    </row>
    <row r="298" spans="2:8" hidden="1" outlineLevel="4" x14ac:dyDescent="0.25">
      <c r="B298" s="187" t="s">
        <v>275</v>
      </c>
      <c r="C298" s="242"/>
      <c r="D298" s="188">
        <v>3104.7161355932203</v>
      </c>
      <c r="E298" s="188"/>
      <c r="F298" s="186">
        <v>1555.7288135593219</v>
      </c>
      <c r="G298" s="186">
        <v>1548.9873220338984</v>
      </c>
      <c r="H298" s="186"/>
    </row>
    <row r="299" spans="2:8" hidden="1" outlineLevel="2" x14ac:dyDescent="0.25">
      <c r="B299" s="182" t="s">
        <v>277</v>
      </c>
      <c r="C299" s="195" t="s">
        <v>365</v>
      </c>
      <c r="D299" s="183">
        <v>2705.7181016949153</v>
      </c>
      <c r="E299" s="183">
        <v>0</v>
      </c>
      <c r="F299" s="181">
        <v>1355.7966101694915</v>
      </c>
      <c r="G299" s="181">
        <v>1349.9214915254238</v>
      </c>
      <c r="H299" s="181">
        <v>0</v>
      </c>
    </row>
    <row r="300" spans="2:8" hidden="1" outlineLevel="3" x14ac:dyDescent="0.25">
      <c r="B300" s="182" t="s">
        <v>278</v>
      </c>
      <c r="C300" s="198" t="s">
        <v>280</v>
      </c>
      <c r="D300" s="185">
        <v>2705.7181016949153</v>
      </c>
      <c r="E300" s="185">
        <v>0</v>
      </c>
      <c r="F300" s="184">
        <v>1355.7966101694915</v>
      </c>
      <c r="G300" s="184">
        <v>1349.9214915254238</v>
      </c>
      <c r="H300" s="184">
        <v>0</v>
      </c>
    </row>
    <row r="301" spans="2:8" hidden="1" outlineLevel="4" x14ac:dyDescent="0.25">
      <c r="B301" s="187" t="s">
        <v>279</v>
      </c>
      <c r="C301" s="242"/>
      <c r="D301" s="188">
        <v>2705.7181016949153</v>
      </c>
      <c r="E301" s="188"/>
      <c r="F301" s="186">
        <v>1355.7966101694915</v>
      </c>
      <c r="G301" s="186">
        <v>1349.9214915254238</v>
      </c>
      <c r="H301" s="186"/>
    </row>
    <row r="302" spans="2:8" hidden="1" outlineLevel="2" x14ac:dyDescent="0.25">
      <c r="B302" s="182" t="s">
        <v>369</v>
      </c>
      <c r="C302" s="195" t="s">
        <v>370</v>
      </c>
      <c r="D302" s="183">
        <v>2556.2611124643799</v>
      </c>
      <c r="E302" s="183">
        <v>0</v>
      </c>
      <c r="F302" s="181">
        <v>96.943535620052785</v>
      </c>
      <c r="G302" s="181">
        <v>1214.864073878628</v>
      </c>
      <c r="H302" s="181">
        <v>1244.453502965699</v>
      </c>
    </row>
    <row r="303" spans="2:8" hidden="1" outlineLevel="3" x14ac:dyDescent="0.25">
      <c r="B303" s="182" t="s">
        <v>432</v>
      </c>
      <c r="C303" s="198" t="s">
        <v>433</v>
      </c>
      <c r="D303" s="185">
        <v>2556.2611124643799</v>
      </c>
      <c r="E303" s="185">
        <v>0</v>
      </c>
      <c r="F303" s="184">
        <v>96.943535620052785</v>
      </c>
      <c r="G303" s="184">
        <v>1214.864073878628</v>
      </c>
      <c r="H303" s="184">
        <v>1244.453502965699</v>
      </c>
    </row>
    <row r="304" spans="2:8" hidden="1" outlineLevel="4" x14ac:dyDescent="0.25">
      <c r="B304" s="187" t="s">
        <v>462</v>
      </c>
      <c r="C304" s="242"/>
      <c r="D304" s="188">
        <v>2556.2611124643799</v>
      </c>
      <c r="E304" s="188"/>
      <c r="F304" s="186">
        <v>96.943535620052785</v>
      </c>
      <c r="G304" s="186">
        <v>1214.864073878628</v>
      </c>
      <c r="H304" s="186">
        <v>1244.453502965699</v>
      </c>
    </row>
    <row r="305" spans="2:8" hidden="1" outlineLevel="2" x14ac:dyDescent="0.25">
      <c r="B305" s="182" t="s">
        <v>284</v>
      </c>
      <c r="C305" s="195" t="s">
        <v>374</v>
      </c>
      <c r="D305" s="183">
        <v>2568.9001132075473</v>
      </c>
      <c r="E305" s="183">
        <v>0</v>
      </c>
      <c r="F305" s="181">
        <v>354.39622641509436</v>
      </c>
      <c r="G305" s="181">
        <v>2214.5038867924532</v>
      </c>
      <c r="H305" s="181">
        <v>0</v>
      </c>
    </row>
    <row r="306" spans="2:8" hidden="1" outlineLevel="3" x14ac:dyDescent="0.25">
      <c r="B306" s="182" t="s">
        <v>285</v>
      </c>
      <c r="C306" s="198" t="s">
        <v>287</v>
      </c>
      <c r="D306" s="185">
        <v>2568.9001132075473</v>
      </c>
      <c r="E306" s="185">
        <v>0</v>
      </c>
      <c r="F306" s="184">
        <v>354.39622641509436</v>
      </c>
      <c r="G306" s="184">
        <v>2214.5038867924532</v>
      </c>
      <c r="H306" s="184">
        <v>0</v>
      </c>
    </row>
    <row r="307" spans="2:8" hidden="1" outlineLevel="4" x14ac:dyDescent="0.25">
      <c r="B307" s="187" t="s">
        <v>286</v>
      </c>
      <c r="C307" s="242"/>
      <c r="D307" s="188">
        <v>2568.9001132075473</v>
      </c>
      <c r="E307" s="188"/>
      <c r="F307" s="186">
        <v>354.39622641509436</v>
      </c>
      <c r="G307" s="186">
        <v>2214.5038867924532</v>
      </c>
      <c r="H307" s="186"/>
    </row>
    <row r="308" spans="2:8" hidden="1" outlineLevel="2" x14ac:dyDescent="0.25">
      <c r="B308" s="182" t="s">
        <v>288</v>
      </c>
      <c r="C308" s="195" t="s">
        <v>375</v>
      </c>
      <c r="D308" s="183">
        <v>59170.189776112064</v>
      </c>
      <c r="E308" s="183">
        <v>0</v>
      </c>
      <c r="F308" s="181">
        <v>12313.568965517241</v>
      </c>
      <c r="G308" s="181">
        <v>23146.431262931037</v>
      </c>
      <c r="H308" s="181">
        <v>23710.189547663791</v>
      </c>
    </row>
    <row r="309" spans="2:8" hidden="1" outlineLevel="3" x14ac:dyDescent="0.25">
      <c r="B309" s="182" t="s">
        <v>289</v>
      </c>
      <c r="C309" s="198" t="s">
        <v>291</v>
      </c>
      <c r="D309" s="185">
        <v>59170.189776112064</v>
      </c>
      <c r="E309" s="185">
        <v>0</v>
      </c>
      <c r="F309" s="184">
        <v>12313.568965517241</v>
      </c>
      <c r="G309" s="184">
        <v>23146.431262931037</v>
      </c>
      <c r="H309" s="184">
        <v>23710.189547663791</v>
      </c>
    </row>
    <row r="310" spans="2:8" hidden="1" outlineLevel="4" x14ac:dyDescent="0.25">
      <c r="B310" s="187" t="s">
        <v>290</v>
      </c>
      <c r="C310" s="242"/>
      <c r="D310" s="188">
        <v>59170.189776112064</v>
      </c>
      <c r="E310" s="188"/>
      <c r="F310" s="186">
        <v>12313.568965517241</v>
      </c>
      <c r="G310" s="186">
        <v>23146.431262931037</v>
      </c>
      <c r="H310" s="186">
        <v>23710.189547663791</v>
      </c>
    </row>
    <row r="311" spans="2:8" outlineLevel="1" collapsed="1" x14ac:dyDescent="0.25">
      <c r="B311" s="180" t="s">
        <v>50</v>
      </c>
      <c r="C311" s="192" t="s">
        <v>18</v>
      </c>
      <c r="D311" s="179">
        <v>123476.220162</v>
      </c>
      <c r="E311" s="179">
        <v>0</v>
      </c>
      <c r="F311" s="179">
        <v>0</v>
      </c>
      <c r="G311" s="179">
        <v>0</v>
      </c>
      <c r="H311" s="179">
        <v>123476.220162</v>
      </c>
    </row>
    <row r="312" spans="2:8" hidden="1" outlineLevel="2" x14ac:dyDescent="0.25">
      <c r="B312" s="182" t="s">
        <v>380</v>
      </c>
      <c r="C312" s="195" t="s">
        <v>18</v>
      </c>
      <c r="D312" s="183">
        <v>123476.220162</v>
      </c>
      <c r="E312" s="183">
        <v>0</v>
      </c>
      <c r="F312" s="181">
        <v>0</v>
      </c>
      <c r="G312" s="181">
        <v>0</v>
      </c>
      <c r="H312" s="181">
        <v>123476.220162</v>
      </c>
    </row>
    <row r="313" spans="2:8" hidden="1" outlineLevel="3" x14ac:dyDescent="0.25">
      <c r="B313" s="182" t="s">
        <v>439</v>
      </c>
      <c r="C313" s="198" t="s">
        <v>18</v>
      </c>
      <c r="D313" s="185">
        <v>123476.220162</v>
      </c>
      <c r="E313" s="185">
        <v>0</v>
      </c>
      <c r="F313" s="184">
        <v>0</v>
      </c>
      <c r="G313" s="184">
        <v>0</v>
      </c>
      <c r="H313" s="184">
        <v>123476.220162</v>
      </c>
    </row>
    <row r="314" spans="2:8" hidden="1" outlineLevel="4" x14ac:dyDescent="0.25">
      <c r="B314" s="187" t="s">
        <v>463</v>
      </c>
      <c r="C314" s="242"/>
      <c r="D314" s="188">
        <v>123476.220162</v>
      </c>
      <c r="E314" s="188"/>
      <c r="F314" s="186"/>
      <c r="G314" s="186"/>
      <c r="H314" s="186">
        <v>123476.220162</v>
      </c>
    </row>
    <row r="315" spans="2:8" outlineLevel="1" collapsed="1" x14ac:dyDescent="0.25">
      <c r="B315" s="180" t="s">
        <v>51</v>
      </c>
      <c r="C315" s="192" t="s">
        <v>19</v>
      </c>
      <c r="D315" s="179">
        <v>76400.07327227424</v>
      </c>
      <c r="E315" s="179">
        <v>0</v>
      </c>
      <c r="F315" s="179">
        <v>4733.6077301983332</v>
      </c>
      <c r="G315" s="179">
        <v>4394.1315935752627</v>
      </c>
      <c r="H315" s="179">
        <v>67272.333948500644</v>
      </c>
    </row>
    <row r="316" spans="2:8" hidden="1" outlineLevel="2" x14ac:dyDescent="0.25">
      <c r="B316" s="182" t="s">
        <v>176</v>
      </c>
      <c r="C316" s="195" t="s">
        <v>471</v>
      </c>
      <c r="D316" s="183">
        <v>76400.07327227424</v>
      </c>
      <c r="E316" s="183">
        <v>0</v>
      </c>
      <c r="F316" s="181">
        <v>4733.6077301983332</v>
      </c>
      <c r="G316" s="181">
        <v>4394.1315935752627</v>
      </c>
      <c r="H316" s="181">
        <v>67272.333948500644</v>
      </c>
    </row>
    <row r="317" spans="2:8" hidden="1" outlineLevel="3" x14ac:dyDescent="0.25">
      <c r="B317" s="182" t="s">
        <v>171</v>
      </c>
      <c r="C317" s="198" t="s">
        <v>471</v>
      </c>
      <c r="D317" s="185">
        <v>76400.07327227424</v>
      </c>
      <c r="E317" s="185">
        <v>0</v>
      </c>
      <c r="F317" s="184">
        <v>4733.6077301983332</v>
      </c>
      <c r="G317" s="184">
        <v>4394.1315935752627</v>
      </c>
      <c r="H317" s="184">
        <v>67272.333948500644</v>
      </c>
    </row>
    <row r="318" spans="2:8" hidden="1" outlineLevel="4" x14ac:dyDescent="0.25">
      <c r="B318" s="187" t="s">
        <v>175</v>
      </c>
      <c r="C318" s="242"/>
      <c r="D318" s="188">
        <v>76400.07327227424</v>
      </c>
      <c r="E318" s="188"/>
      <c r="F318" s="186">
        <v>4733.6077301983332</v>
      </c>
      <c r="G318" s="186">
        <v>4394.1315935752627</v>
      </c>
      <c r="H318" s="186">
        <v>67272.333948500644</v>
      </c>
    </row>
    <row r="319" spans="2:8" outlineLevel="1" collapsed="1" x14ac:dyDescent="0.25">
      <c r="B319" s="180" t="s">
        <v>52</v>
      </c>
      <c r="C319" s="192" t="s">
        <v>20</v>
      </c>
      <c r="D319" s="179">
        <v>770000</v>
      </c>
      <c r="E319" s="179">
        <v>0</v>
      </c>
      <c r="F319" s="179">
        <v>0</v>
      </c>
      <c r="G319" s="179">
        <v>0</v>
      </c>
      <c r="H319" s="179">
        <v>770000</v>
      </c>
    </row>
    <row r="320" spans="2:8" hidden="1" outlineLevel="2" x14ac:dyDescent="0.25">
      <c r="B320" s="182" t="s">
        <v>391</v>
      </c>
      <c r="C320" s="195" t="s">
        <v>168</v>
      </c>
      <c r="D320" s="183">
        <v>770000</v>
      </c>
      <c r="E320" s="183">
        <v>0</v>
      </c>
      <c r="F320" s="181">
        <v>0</v>
      </c>
      <c r="G320" s="181">
        <v>0</v>
      </c>
      <c r="H320" s="181">
        <v>770000</v>
      </c>
    </row>
    <row r="321" spans="2:8" hidden="1" outlineLevel="3" x14ac:dyDescent="0.25">
      <c r="B321" s="182" t="s">
        <v>448</v>
      </c>
      <c r="C321" s="198" t="s">
        <v>168</v>
      </c>
      <c r="D321" s="185">
        <v>770000</v>
      </c>
      <c r="E321" s="185">
        <v>0</v>
      </c>
      <c r="F321" s="184">
        <v>0</v>
      </c>
      <c r="G321" s="184">
        <v>0</v>
      </c>
      <c r="H321" s="184">
        <v>770000</v>
      </c>
    </row>
    <row r="322" spans="2:8" hidden="1" outlineLevel="4" x14ac:dyDescent="0.25">
      <c r="B322" s="187" t="s">
        <v>167</v>
      </c>
      <c r="C322" s="242"/>
      <c r="D322" s="188">
        <v>770000</v>
      </c>
      <c r="E322" s="188"/>
      <c r="F322" s="186"/>
      <c r="G322" s="186"/>
      <c r="H322" s="186">
        <v>770000</v>
      </c>
    </row>
    <row r="323" spans="2:8" outlineLevel="1" collapsed="1" x14ac:dyDescent="0.25">
      <c r="B323" s="180" t="s">
        <v>57</v>
      </c>
      <c r="C323" s="192" t="s">
        <v>21</v>
      </c>
      <c r="D323" s="179">
        <v>1921974.5197775371</v>
      </c>
      <c r="E323" s="179">
        <v>0</v>
      </c>
      <c r="F323" s="179">
        <v>150428.48245131018</v>
      </c>
      <c r="G323" s="179">
        <v>164541.31524609518</v>
      </c>
      <c r="H323" s="179">
        <v>1607004.7220801318</v>
      </c>
    </row>
    <row r="324" spans="2:8" hidden="1" outlineLevel="2" x14ac:dyDescent="0.25">
      <c r="B324" s="182" t="s">
        <v>402</v>
      </c>
      <c r="C324" s="195" t="s">
        <v>149</v>
      </c>
      <c r="D324" s="183">
        <v>55403.687978929651</v>
      </c>
      <c r="E324" s="183">
        <v>0</v>
      </c>
      <c r="F324" s="181">
        <v>22149.861037930521</v>
      </c>
      <c r="G324" s="181">
        <v>24351.669142956049</v>
      </c>
      <c r="H324" s="181">
        <v>8902.1577980430793</v>
      </c>
    </row>
    <row r="325" spans="2:8" hidden="1" outlineLevel="3" x14ac:dyDescent="0.25">
      <c r="B325" s="182" t="s">
        <v>451</v>
      </c>
      <c r="C325" s="198" t="s">
        <v>149</v>
      </c>
      <c r="D325" s="185">
        <v>55403.687978929651</v>
      </c>
      <c r="E325" s="185">
        <v>0</v>
      </c>
      <c r="F325" s="184">
        <v>22149.861037930521</v>
      </c>
      <c r="G325" s="184">
        <v>24351.669142956049</v>
      </c>
      <c r="H325" s="184">
        <v>8902.1577980430793</v>
      </c>
    </row>
    <row r="326" spans="2:8" hidden="1" outlineLevel="4" x14ac:dyDescent="0.25">
      <c r="B326" s="187" t="s">
        <v>140</v>
      </c>
      <c r="C326" s="242"/>
      <c r="D326" s="188">
        <v>55403.687978929651</v>
      </c>
      <c r="E326" s="188"/>
      <c r="F326" s="186">
        <v>22149.861037930521</v>
      </c>
      <c r="G326" s="186">
        <v>24351.669142956049</v>
      </c>
      <c r="H326" s="186">
        <v>8902.1577980430793</v>
      </c>
    </row>
    <row r="327" spans="2:8" hidden="1" outlineLevel="2" x14ac:dyDescent="0.25">
      <c r="B327" s="182" t="s">
        <v>403</v>
      </c>
      <c r="C327" s="195" t="s">
        <v>150</v>
      </c>
      <c r="D327" s="183">
        <v>26548.677374449697</v>
      </c>
      <c r="E327" s="183">
        <v>0</v>
      </c>
      <c r="F327" s="181">
        <v>10748.991342482866</v>
      </c>
      <c r="G327" s="181">
        <v>11529.309431125239</v>
      </c>
      <c r="H327" s="181">
        <v>4270.3766008415932</v>
      </c>
    </row>
    <row r="328" spans="2:8" hidden="1" outlineLevel="3" x14ac:dyDescent="0.25">
      <c r="B328" s="182" t="s">
        <v>452</v>
      </c>
      <c r="C328" s="198" t="s">
        <v>150</v>
      </c>
      <c r="D328" s="185">
        <v>26548.677374449697</v>
      </c>
      <c r="E328" s="185">
        <v>0</v>
      </c>
      <c r="F328" s="184">
        <v>10748.991342482866</v>
      </c>
      <c r="G328" s="184">
        <v>11529.309431125239</v>
      </c>
      <c r="H328" s="184">
        <v>4270.3766008415932</v>
      </c>
    </row>
    <row r="329" spans="2:8" hidden="1" outlineLevel="4" x14ac:dyDescent="0.25">
      <c r="B329" s="187" t="s">
        <v>141</v>
      </c>
      <c r="C329" s="242"/>
      <c r="D329" s="188">
        <v>26548.677374449697</v>
      </c>
      <c r="E329" s="188"/>
      <c r="F329" s="186">
        <v>10748.991342482866</v>
      </c>
      <c r="G329" s="186">
        <v>11529.309431125239</v>
      </c>
      <c r="H329" s="186">
        <v>4270.3766008415932</v>
      </c>
    </row>
    <row r="330" spans="2:8" hidden="1" outlineLevel="2" x14ac:dyDescent="0.25">
      <c r="B330" s="182" t="s">
        <v>405</v>
      </c>
      <c r="C330" s="195" t="s">
        <v>151</v>
      </c>
      <c r="D330" s="183">
        <v>10600.505007504062</v>
      </c>
      <c r="E330" s="183">
        <v>0</v>
      </c>
      <c r="F330" s="181">
        <v>3055.9796722018755</v>
      </c>
      <c r="G330" s="181">
        <v>5881.3866675614654</v>
      </c>
      <c r="H330" s="181">
        <v>1663.1386677407204</v>
      </c>
    </row>
    <row r="331" spans="2:8" hidden="1" outlineLevel="3" x14ac:dyDescent="0.25">
      <c r="B331" s="182" t="s">
        <v>453</v>
      </c>
      <c r="C331" s="198" t="s">
        <v>151</v>
      </c>
      <c r="D331" s="185">
        <v>10600.505007504062</v>
      </c>
      <c r="E331" s="185">
        <v>0</v>
      </c>
      <c r="F331" s="184">
        <v>3055.9796722018755</v>
      </c>
      <c r="G331" s="184">
        <v>5881.3866675614654</v>
      </c>
      <c r="H331" s="184">
        <v>1663.1386677407204</v>
      </c>
    </row>
    <row r="332" spans="2:8" hidden="1" outlineLevel="4" x14ac:dyDescent="0.25">
      <c r="B332" s="187" t="s">
        <v>142</v>
      </c>
      <c r="C332" s="242"/>
      <c r="D332" s="188">
        <v>10600.505007504062</v>
      </c>
      <c r="E332" s="188"/>
      <c r="F332" s="186">
        <v>3055.9796722018755</v>
      </c>
      <c r="G332" s="186">
        <v>5881.3866675614654</v>
      </c>
      <c r="H332" s="186">
        <v>1663.1386677407204</v>
      </c>
    </row>
    <row r="333" spans="2:8" hidden="1" outlineLevel="2" x14ac:dyDescent="0.25">
      <c r="B333" s="182" t="s">
        <v>407</v>
      </c>
      <c r="C333" s="195" t="s">
        <v>152</v>
      </c>
      <c r="D333" s="183">
        <v>1458437.1687861288</v>
      </c>
      <c r="E333" s="183">
        <v>0</v>
      </c>
      <c r="F333" s="181">
        <v>74800.321223242863</v>
      </c>
      <c r="G333" s="181">
        <v>80066.605484622531</v>
      </c>
      <c r="H333" s="181">
        <v>1303570.2420782633</v>
      </c>
    </row>
    <row r="334" spans="2:8" hidden="1" outlineLevel="3" x14ac:dyDescent="0.25">
      <c r="B334" s="182" t="s">
        <v>454</v>
      </c>
      <c r="C334" s="198" t="s">
        <v>152</v>
      </c>
      <c r="D334" s="185">
        <v>1458437.1687861288</v>
      </c>
      <c r="E334" s="185">
        <v>0</v>
      </c>
      <c r="F334" s="184">
        <v>74800.321223242863</v>
      </c>
      <c r="G334" s="184">
        <v>80066.605484622531</v>
      </c>
      <c r="H334" s="184">
        <v>1303570.2420782633</v>
      </c>
    </row>
    <row r="335" spans="2:8" hidden="1" outlineLevel="4" x14ac:dyDescent="0.25">
      <c r="B335" s="187" t="s">
        <v>143</v>
      </c>
      <c r="C335" s="242"/>
      <c r="D335" s="188">
        <v>1458437.1687861288</v>
      </c>
      <c r="E335" s="188"/>
      <c r="F335" s="186">
        <v>74800.321223242863</v>
      </c>
      <c r="G335" s="186">
        <v>80066.605484622531</v>
      </c>
      <c r="H335" s="186">
        <v>1303570.2420782633</v>
      </c>
    </row>
    <row r="336" spans="2:8" hidden="1" outlineLevel="2" x14ac:dyDescent="0.25">
      <c r="B336" s="182" t="s">
        <v>410</v>
      </c>
      <c r="C336" s="195" t="s">
        <v>153</v>
      </c>
      <c r="D336" s="183">
        <v>58085.038305769325</v>
      </c>
      <c r="E336" s="183">
        <v>0</v>
      </c>
      <c r="F336" s="181">
        <v>3452.9036874638664</v>
      </c>
      <c r="G336" s="181">
        <v>3427.384592986843</v>
      </c>
      <c r="H336" s="181">
        <v>51204.750025318615</v>
      </c>
    </row>
    <row r="337" spans="2:8" hidden="1" outlineLevel="3" x14ac:dyDescent="0.25">
      <c r="B337" s="182" t="s">
        <v>455</v>
      </c>
      <c r="C337" s="198" t="s">
        <v>153</v>
      </c>
      <c r="D337" s="185">
        <v>58085.038305769325</v>
      </c>
      <c r="E337" s="185">
        <v>0</v>
      </c>
      <c r="F337" s="184">
        <v>3452.9036874638664</v>
      </c>
      <c r="G337" s="184">
        <v>3427.384592986843</v>
      </c>
      <c r="H337" s="184">
        <v>51204.750025318615</v>
      </c>
    </row>
    <row r="338" spans="2:8" hidden="1" outlineLevel="4" x14ac:dyDescent="0.25">
      <c r="B338" s="187" t="s">
        <v>144</v>
      </c>
      <c r="C338" s="242"/>
      <c r="D338" s="188">
        <v>58085.038305769325</v>
      </c>
      <c r="E338" s="188"/>
      <c r="F338" s="186">
        <v>3452.9036874638664</v>
      </c>
      <c r="G338" s="186">
        <v>3427.384592986843</v>
      </c>
      <c r="H338" s="186">
        <v>51204.750025318615</v>
      </c>
    </row>
    <row r="339" spans="2:8" hidden="1" outlineLevel="2" x14ac:dyDescent="0.25">
      <c r="B339" s="182" t="s">
        <v>413</v>
      </c>
      <c r="C339" s="195" t="s">
        <v>154</v>
      </c>
      <c r="D339" s="183">
        <v>0</v>
      </c>
      <c r="E339" s="183">
        <v>0</v>
      </c>
      <c r="F339" s="181">
        <v>0</v>
      </c>
      <c r="G339" s="181">
        <v>0</v>
      </c>
      <c r="H339" s="181">
        <v>0</v>
      </c>
    </row>
    <row r="340" spans="2:8" hidden="1" outlineLevel="3" x14ac:dyDescent="0.25">
      <c r="B340" s="182" t="s">
        <v>456</v>
      </c>
      <c r="C340" s="198" t="s">
        <v>154</v>
      </c>
      <c r="D340" s="185">
        <v>0</v>
      </c>
      <c r="E340" s="185">
        <v>0</v>
      </c>
      <c r="F340" s="184">
        <v>0</v>
      </c>
      <c r="G340" s="184">
        <v>0</v>
      </c>
      <c r="H340" s="184">
        <v>0</v>
      </c>
    </row>
    <row r="341" spans="2:8" hidden="1" outlineLevel="4" x14ac:dyDescent="0.25">
      <c r="B341" s="187" t="s">
        <v>145</v>
      </c>
      <c r="C341" s="242"/>
      <c r="D341" s="188">
        <v>0</v>
      </c>
      <c r="E341" s="188"/>
      <c r="F341" s="186">
        <v>0</v>
      </c>
      <c r="G341" s="186">
        <v>0</v>
      </c>
      <c r="H341" s="186"/>
    </row>
    <row r="342" spans="2:8" hidden="1" outlineLevel="2" x14ac:dyDescent="0.25">
      <c r="B342" s="182" t="s">
        <v>416</v>
      </c>
      <c r="C342" s="195" t="s">
        <v>155</v>
      </c>
      <c r="D342" s="183">
        <v>248747.8036123107</v>
      </c>
      <c r="E342" s="183">
        <v>0</v>
      </c>
      <c r="F342" s="181">
        <v>10573.217970384434</v>
      </c>
      <c r="G342" s="181">
        <v>11088.29039289395</v>
      </c>
      <c r="H342" s="181">
        <v>227086.29524903232</v>
      </c>
    </row>
    <row r="343" spans="2:8" hidden="1" outlineLevel="3" x14ac:dyDescent="0.25">
      <c r="B343" s="182" t="s">
        <v>457</v>
      </c>
      <c r="C343" s="198" t="s">
        <v>155</v>
      </c>
      <c r="D343" s="185">
        <v>248747.8036123107</v>
      </c>
      <c r="E343" s="185">
        <v>0</v>
      </c>
      <c r="F343" s="184">
        <v>10573.217970384434</v>
      </c>
      <c r="G343" s="184">
        <v>11088.29039289395</v>
      </c>
      <c r="H343" s="184">
        <v>227086.29524903232</v>
      </c>
    </row>
    <row r="344" spans="2:8" hidden="1" outlineLevel="4" x14ac:dyDescent="0.25">
      <c r="B344" s="187" t="s">
        <v>146</v>
      </c>
      <c r="C344" s="242"/>
      <c r="D344" s="188">
        <v>248747.8036123107</v>
      </c>
      <c r="E344" s="188"/>
      <c r="F344" s="186">
        <v>10573.217970384434</v>
      </c>
      <c r="G344" s="186">
        <v>11088.29039289395</v>
      </c>
      <c r="H344" s="186">
        <v>227086.29524903232</v>
      </c>
    </row>
    <row r="345" spans="2:8" hidden="1" outlineLevel="2" x14ac:dyDescent="0.25">
      <c r="B345" s="182" t="s">
        <v>418</v>
      </c>
      <c r="C345" s="195" t="s">
        <v>156</v>
      </c>
      <c r="D345" s="183">
        <v>64151.638712444845</v>
      </c>
      <c r="E345" s="183">
        <v>0</v>
      </c>
      <c r="F345" s="181">
        <v>25647.207517603758</v>
      </c>
      <c r="G345" s="181">
        <v>28196.669533949105</v>
      </c>
      <c r="H345" s="181">
        <v>10307.761660891987</v>
      </c>
    </row>
    <row r="346" spans="2:8" hidden="1" outlineLevel="3" x14ac:dyDescent="0.25">
      <c r="B346" s="182" t="s">
        <v>459</v>
      </c>
      <c r="C346" s="198" t="s">
        <v>156</v>
      </c>
      <c r="D346" s="185">
        <v>64151.638712444845</v>
      </c>
      <c r="E346" s="185">
        <v>0</v>
      </c>
      <c r="F346" s="184">
        <v>25647.207517603758</v>
      </c>
      <c r="G346" s="184">
        <v>28196.669533949105</v>
      </c>
      <c r="H346" s="184">
        <v>10307.761660891987</v>
      </c>
    </row>
    <row r="347" spans="2:8" hidden="1" outlineLevel="4" x14ac:dyDescent="0.25">
      <c r="B347" s="187" t="s">
        <v>147</v>
      </c>
      <c r="C347" s="242"/>
      <c r="D347" s="188">
        <v>64151.638712444845</v>
      </c>
      <c r="E347" s="188"/>
      <c r="F347" s="186">
        <v>25647.207517603758</v>
      </c>
      <c r="G347" s="186">
        <v>28196.669533949105</v>
      </c>
      <c r="H347" s="186">
        <v>10307.761660891987</v>
      </c>
    </row>
    <row r="348" spans="2:8" outlineLevel="1" collapsed="1" x14ac:dyDescent="0.25">
      <c r="B348" s="180" t="s">
        <v>58</v>
      </c>
      <c r="C348" s="192" t="s">
        <v>22</v>
      </c>
      <c r="D348" s="179">
        <v>333060.48862740118</v>
      </c>
      <c r="E348" s="179">
        <v>0</v>
      </c>
      <c r="F348" s="179">
        <v>10432.805941909195</v>
      </c>
      <c r="G348" s="179">
        <v>46693.541622702476</v>
      </c>
      <c r="H348" s="179">
        <v>275934.14106278954</v>
      </c>
    </row>
    <row r="349" spans="2:8" hidden="1" outlineLevel="2" x14ac:dyDescent="0.25">
      <c r="B349" s="182" t="s">
        <v>419</v>
      </c>
      <c r="C349" s="195" t="s">
        <v>22</v>
      </c>
      <c r="D349" s="183">
        <v>333060.48862740118</v>
      </c>
      <c r="E349" s="183">
        <v>0</v>
      </c>
      <c r="F349" s="181">
        <v>10432.805941909195</v>
      </c>
      <c r="G349" s="181">
        <v>46693.541622702476</v>
      </c>
      <c r="H349" s="181">
        <v>275934.14106278954</v>
      </c>
    </row>
    <row r="350" spans="2:8" hidden="1" outlineLevel="3" x14ac:dyDescent="0.25">
      <c r="B350" s="182" t="s">
        <v>460</v>
      </c>
      <c r="C350" s="198" t="s">
        <v>22</v>
      </c>
      <c r="D350" s="185">
        <v>333060.48862740118</v>
      </c>
      <c r="E350" s="185">
        <v>0</v>
      </c>
      <c r="F350" s="184">
        <v>10432.805941909195</v>
      </c>
      <c r="G350" s="184">
        <v>46693.541622702476</v>
      </c>
      <c r="H350" s="184">
        <v>275934.14106278954</v>
      </c>
    </row>
    <row r="351" spans="2:8" hidden="1" outlineLevel="4" x14ac:dyDescent="0.25">
      <c r="B351" s="187" t="s">
        <v>464</v>
      </c>
      <c r="C351" s="242"/>
      <c r="D351" s="188">
        <v>333060.48862740118</v>
      </c>
      <c r="E351" s="188"/>
      <c r="F351" s="186">
        <v>10432.805941909195</v>
      </c>
      <c r="G351" s="186">
        <v>46693.541622702476</v>
      </c>
      <c r="H351" s="186">
        <v>275934.14106278954</v>
      </c>
    </row>
    <row r="352" spans="2:8" ht="15.75" outlineLevel="1" collapsed="1" thickBot="1" x14ac:dyDescent="0.3">
      <c r="B352" s="180" t="s">
        <v>59</v>
      </c>
      <c r="C352" s="192" t="s">
        <v>1</v>
      </c>
      <c r="D352" s="179">
        <v>331723</v>
      </c>
      <c r="E352" s="179">
        <v>0</v>
      </c>
      <c r="F352" s="179">
        <v>71492.025862068956</v>
      </c>
      <c r="G352" s="179">
        <v>130472.94719827587</v>
      </c>
      <c r="H352" s="179">
        <v>129758.02693965517</v>
      </c>
    </row>
    <row r="353" spans="2:8" ht="15.75" hidden="1" outlineLevel="2" thickBot="1" x14ac:dyDescent="0.3">
      <c r="B353" s="182" t="s">
        <v>472</v>
      </c>
      <c r="C353" s="195" t="s">
        <v>425</v>
      </c>
      <c r="D353" s="183">
        <v>331723</v>
      </c>
      <c r="E353" s="183">
        <v>0</v>
      </c>
      <c r="F353" s="181">
        <v>71492.025862068956</v>
      </c>
      <c r="G353" s="181">
        <v>130472.94719827587</v>
      </c>
      <c r="H353" s="181">
        <v>129758.02693965517</v>
      </c>
    </row>
    <row r="354" spans="2:8" ht="15.75" hidden="1" outlineLevel="3" thickBot="1" x14ac:dyDescent="0.3">
      <c r="B354" s="182" t="s">
        <v>473</v>
      </c>
      <c r="C354" s="198" t="s">
        <v>425</v>
      </c>
      <c r="D354" s="185">
        <v>331723</v>
      </c>
      <c r="E354" s="185">
        <v>0</v>
      </c>
      <c r="F354" s="184">
        <v>71492.025862068956</v>
      </c>
      <c r="G354" s="184">
        <v>130472.94719827587</v>
      </c>
      <c r="H354" s="184">
        <v>129758.02693965517</v>
      </c>
    </row>
    <row r="355" spans="2:8" ht="15.75" hidden="1" outlineLevel="4" thickBot="1" x14ac:dyDescent="0.3">
      <c r="B355" s="187" t="s">
        <v>470</v>
      </c>
      <c r="C355" s="242"/>
      <c r="D355" s="188">
        <v>331723</v>
      </c>
      <c r="E355" s="188"/>
      <c r="F355" s="186">
        <v>71492.025862068956</v>
      </c>
      <c r="G355" s="186">
        <v>130472.94719827587</v>
      </c>
      <c r="H355" s="186">
        <v>129758.02693965517</v>
      </c>
    </row>
    <row r="356" spans="2:8" s="92" customFormat="1" x14ac:dyDescent="0.25">
      <c r="B356" s="161" t="s">
        <v>61</v>
      </c>
      <c r="C356" s="162"/>
      <c r="D356" s="191">
        <v>63640583.343912072</v>
      </c>
      <c r="E356" s="191">
        <v>4298463.16</v>
      </c>
      <c r="F356" s="191">
        <v>16028589.445019305</v>
      </c>
      <c r="G356" s="191">
        <v>14609949.899661403</v>
      </c>
      <c r="H356" s="191">
        <v>28703580.839231361</v>
      </c>
    </row>
  </sheetData>
  <sheetProtection sheet="1" objects="1" scenarios="1"/>
  <hyperlinks>
    <hyperlink ref="I1" location="'Table of contents'!A1" display="Return to TOC" xr:uid="{00000000-0004-0000-0700-000000000000}"/>
  </hyperlinks>
  <printOptions horizontalCentered="1"/>
  <pageMargins left="0.25" right="0.25" top="0.5" bottom="0.5" header="0.25" footer="0.25"/>
  <pageSetup scale="4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D57CC-20CC-43DD-9804-3C38F66B18D7}">
  <sheetPr codeName="Bid">
    <tabColor theme="5" tint="-0.249977111117893"/>
    <pageSetUpPr fitToPage="1"/>
  </sheetPr>
  <dimension ref="B1:I32"/>
  <sheetViews>
    <sheetView showGridLines="0" zoomScale="90" zoomScaleNormal="90" workbookViewId="0">
      <pane ySplit="2" topLeftCell="A3" activePane="bottomLeft" state="frozen"/>
      <selection pane="bottomLeft"/>
    </sheetView>
  </sheetViews>
  <sheetFormatPr defaultColWidth="8.85546875" defaultRowHeight="15" outlineLevelRow="1" x14ac:dyDescent="0.25"/>
  <cols>
    <col min="1" max="1" width="4.7109375" style="5" customWidth="1"/>
    <col min="2" max="2" width="8.7109375" style="5" customWidth="1"/>
    <col min="3" max="3" width="60.7109375" style="6" customWidth="1"/>
    <col min="4" max="4" width="18.85546875" style="155" customWidth="1"/>
    <col min="5" max="5" width="15.5703125" style="155" customWidth="1"/>
    <col min="6" max="6" width="16.140625" style="155" customWidth="1"/>
    <col min="7" max="8" width="12.7109375" style="155" customWidth="1"/>
    <col min="9" max="9" width="4.7109375" style="5" customWidth="1"/>
    <col min="10" max="16384" width="8.85546875" style="5"/>
  </cols>
  <sheetData>
    <row r="1" spans="2:9" x14ac:dyDescent="0.25">
      <c r="B1" s="175"/>
      <c r="I1" s="70" t="s">
        <v>66</v>
      </c>
    </row>
    <row r="2" spans="2:9" s="80" customFormat="1" ht="36" customHeight="1" thickBot="1" x14ac:dyDescent="0.3">
      <c r="B2" s="190" t="s">
        <v>518</v>
      </c>
      <c r="C2" s="157" t="s">
        <v>3</v>
      </c>
      <c r="D2" s="158" t="s">
        <v>64</v>
      </c>
      <c r="E2" s="158" t="s">
        <v>76</v>
      </c>
      <c r="F2" s="189" t="s">
        <v>877</v>
      </c>
      <c r="G2" s="189" t="s">
        <v>878</v>
      </c>
      <c r="H2" s="189" t="s">
        <v>879</v>
      </c>
    </row>
    <row r="3" spans="2:9" x14ac:dyDescent="0.25">
      <c r="B3" s="234" t="s">
        <v>544</v>
      </c>
      <c r="C3" s="235"/>
      <c r="D3" s="237">
        <v>63640583.343912087</v>
      </c>
      <c r="E3" s="237">
        <v>4298463.16</v>
      </c>
      <c r="F3" s="237">
        <v>16028589.445019299</v>
      </c>
      <c r="G3" s="237">
        <v>14609949.899661407</v>
      </c>
      <c r="H3" s="237">
        <v>28703580.839231364</v>
      </c>
    </row>
    <row r="4" spans="2:9" x14ac:dyDescent="0.25">
      <c r="B4" s="212" t="s">
        <v>552</v>
      </c>
      <c r="C4" s="213"/>
      <c r="D4" s="215">
        <v>56387421.59862116</v>
      </c>
      <c r="E4" s="215">
        <v>4298463.16</v>
      </c>
      <c r="F4" s="215">
        <v>15554822.136523895</v>
      </c>
      <c r="G4" s="215">
        <v>14044141.384321995</v>
      </c>
      <c r="H4" s="215">
        <v>22489994.917775255</v>
      </c>
    </row>
    <row r="5" spans="2:9" outlineLevel="1" x14ac:dyDescent="0.25">
      <c r="B5" s="149" t="s">
        <v>649</v>
      </c>
      <c r="C5" s="243" t="e">
        <v>#N/A</v>
      </c>
      <c r="D5" s="165">
        <v>1390356.1341538364</v>
      </c>
      <c r="E5" s="165">
        <v>328920.04000000004</v>
      </c>
      <c r="F5" s="165">
        <v>316930.02209047024</v>
      </c>
      <c r="G5" s="165">
        <v>460438.07715162955</v>
      </c>
      <c r="H5" s="165">
        <v>284067.99491173652</v>
      </c>
    </row>
    <row r="6" spans="2:9" outlineLevel="1" x14ac:dyDescent="0.25">
      <c r="B6" s="149" t="s">
        <v>652</v>
      </c>
      <c r="C6" s="243" t="e">
        <v>#N/A</v>
      </c>
      <c r="D6" s="165">
        <v>300000</v>
      </c>
      <c r="E6" s="165"/>
      <c r="F6" s="165"/>
      <c r="G6" s="165"/>
      <c r="H6" s="165">
        <v>300000</v>
      </c>
    </row>
    <row r="7" spans="2:9" outlineLevel="1" x14ac:dyDescent="0.25">
      <c r="B7" s="149" t="s">
        <v>648</v>
      </c>
      <c r="C7" s="243" t="e">
        <v>#N/A</v>
      </c>
      <c r="D7" s="165">
        <v>3035.56</v>
      </c>
      <c r="E7" s="165">
        <v>3035.56</v>
      </c>
      <c r="F7" s="165"/>
      <c r="G7" s="165"/>
      <c r="H7" s="165"/>
    </row>
    <row r="8" spans="2:9" outlineLevel="1" x14ac:dyDescent="0.25">
      <c r="B8" s="149" t="s">
        <v>650</v>
      </c>
      <c r="C8" s="243" t="e">
        <v>#N/A</v>
      </c>
      <c r="D8" s="165">
        <v>115232.57</v>
      </c>
      <c r="E8" s="165">
        <v>115232.57</v>
      </c>
      <c r="F8" s="165"/>
      <c r="G8" s="165"/>
      <c r="H8" s="165"/>
    </row>
    <row r="9" spans="2:9" outlineLevel="1" x14ac:dyDescent="0.25">
      <c r="B9" s="149" t="s">
        <v>651</v>
      </c>
      <c r="C9" s="243" t="e">
        <v>#N/A</v>
      </c>
      <c r="D9" s="165">
        <v>7651.38</v>
      </c>
      <c r="E9" s="165"/>
      <c r="F9" s="165"/>
      <c r="G9" s="165"/>
      <c r="H9" s="165">
        <v>7651.38</v>
      </c>
    </row>
    <row r="10" spans="2:9" outlineLevel="1" x14ac:dyDescent="0.25">
      <c r="B10" s="149" t="s">
        <v>519</v>
      </c>
      <c r="C10" s="243" t="s">
        <v>520</v>
      </c>
      <c r="D10" s="165">
        <v>137515.55544</v>
      </c>
      <c r="E10" s="165"/>
      <c r="F10" s="165"/>
      <c r="G10" s="165"/>
      <c r="H10" s="165">
        <v>137515.55544</v>
      </c>
    </row>
    <row r="11" spans="2:9" outlineLevel="1" x14ac:dyDescent="0.25">
      <c r="B11" s="149" t="s">
        <v>521</v>
      </c>
      <c r="C11" s="243" t="s">
        <v>522</v>
      </c>
      <c r="D11" s="165">
        <v>2183803.1559011484</v>
      </c>
      <c r="E11" s="165">
        <v>447539.86000000004</v>
      </c>
      <c r="F11" s="165">
        <v>867035.22695097513</v>
      </c>
      <c r="G11" s="165">
        <v>569228.0689501731</v>
      </c>
      <c r="H11" s="165">
        <v>300000</v>
      </c>
    </row>
    <row r="12" spans="2:9" outlineLevel="1" x14ac:dyDescent="0.25">
      <c r="B12" s="149" t="s">
        <v>523</v>
      </c>
      <c r="C12" s="243" t="s">
        <v>524</v>
      </c>
      <c r="D12" s="165">
        <v>943239.48697753693</v>
      </c>
      <c r="E12" s="165"/>
      <c r="F12" s="165">
        <v>120135.4735764012</v>
      </c>
      <c r="G12" s="165">
        <v>86000.430566135692</v>
      </c>
      <c r="H12" s="165">
        <v>737103.58283500001</v>
      </c>
    </row>
    <row r="13" spans="2:9" outlineLevel="1" x14ac:dyDescent="0.25">
      <c r="B13" s="149" t="s">
        <v>525</v>
      </c>
      <c r="C13" s="243" t="s">
        <v>526</v>
      </c>
      <c r="D13" s="165">
        <v>18994231.158910781</v>
      </c>
      <c r="E13" s="165">
        <v>609143.34</v>
      </c>
      <c r="F13" s="165">
        <v>10628312.382697932</v>
      </c>
      <c r="G13" s="165">
        <v>7608405.8508128477</v>
      </c>
      <c r="H13" s="165">
        <v>148369.58540000001</v>
      </c>
    </row>
    <row r="14" spans="2:9" outlineLevel="1" x14ac:dyDescent="0.25">
      <c r="B14" s="149" t="s">
        <v>527</v>
      </c>
      <c r="C14" s="243" t="s">
        <v>528</v>
      </c>
      <c r="D14" s="165">
        <v>1686512.1530699995</v>
      </c>
      <c r="E14" s="165"/>
      <c r="F14" s="165"/>
      <c r="G14" s="165"/>
      <c r="H14" s="165">
        <v>1686512.1530699995</v>
      </c>
    </row>
    <row r="15" spans="2:9" outlineLevel="1" x14ac:dyDescent="0.25">
      <c r="B15" s="149" t="s">
        <v>529</v>
      </c>
      <c r="C15" s="243" t="s">
        <v>530</v>
      </c>
      <c r="D15" s="165">
        <v>4173091.9388510012</v>
      </c>
      <c r="E15" s="165"/>
      <c r="F15" s="165"/>
      <c r="G15" s="165"/>
      <c r="H15" s="165">
        <v>4173091.9388510012</v>
      </c>
    </row>
    <row r="16" spans="2:9" outlineLevel="1" x14ac:dyDescent="0.25">
      <c r="B16" s="149" t="s">
        <v>531</v>
      </c>
      <c r="C16" s="243" t="s">
        <v>532</v>
      </c>
      <c r="D16" s="165">
        <v>1265028.2782320001</v>
      </c>
      <c r="E16" s="165"/>
      <c r="F16" s="165"/>
      <c r="G16" s="165"/>
      <c r="H16" s="165">
        <v>1265028.2782320001</v>
      </c>
    </row>
    <row r="17" spans="2:8" outlineLevel="1" x14ac:dyDescent="0.25">
      <c r="B17" s="149" t="s">
        <v>533</v>
      </c>
      <c r="C17" s="243" t="s">
        <v>534</v>
      </c>
      <c r="D17" s="165">
        <v>695599.12816286006</v>
      </c>
      <c r="E17" s="165">
        <v>538852.64</v>
      </c>
      <c r="F17" s="165">
        <v>23284.62850476311</v>
      </c>
      <c r="G17" s="165">
        <v>64515.04610666338</v>
      </c>
      <c r="H17" s="165">
        <v>68946.81355143353</v>
      </c>
    </row>
    <row r="18" spans="2:8" outlineLevel="1" x14ac:dyDescent="0.25">
      <c r="B18" s="149" t="s">
        <v>535</v>
      </c>
      <c r="C18" s="243" t="s">
        <v>536</v>
      </c>
      <c r="D18" s="165">
        <v>840646.8449610169</v>
      </c>
      <c r="E18" s="165">
        <v>72625.039999999994</v>
      </c>
      <c r="F18" s="165">
        <v>145665.57706779661</v>
      </c>
      <c r="G18" s="165">
        <v>145035.98069322036</v>
      </c>
      <c r="H18" s="165">
        <v>477320.24719999998</v>
      </c>
    </row>
    <row r="19" spans="2:8" outlineLevel="1" x14ac:dyDescent="0.25">
      <c r="B19" s="149" t="s">
        <v>537</v>
      </c>
      <c r="C19" s="243" t="s">
        <v>541</v>
      </c>
      <c r="D19" s="165">
        <v>13514683.38424455</v>
      </c>
      <c r="E19" s="165">
        <v>2183114.1099999994</v>
      </c>
      <c r="F19" s="165">
        <v>1489611.6369988387</v>
      </c>
      <c r="G19" s="165">
        <v>1551441.4974308368</v>
      </c>
      <c r="H19" s="165">
        <v>8290516.139814876</v>
      </c>
    </row>
    <row r="20" spans="2:8" outlineLevel="1" x14ac:dyDescent="0.25">
      <c r="B20" s="149" t="s">
        <v>539</v>
      </c>
      <c r="C20" s="243" t="s">
        <v>1</v>
      </c>
      <c r="D20" s="165">
        <v>2580141</v>
      </c>
      <c r="E20" s="165"/>
      <c r="F20" s="165">
        <v>556064.87068965519</v>
      </c>
      <c r="G20" s="165">
        <v>1014818.3890086206</v>
      </c>
      <c r="H20" s="165">
        <v>1009257.7403017242</v>
      </c>
    </row>
    <row r="21" spans="2:8" outlineLevel="1" x14ac:dyDescent="0.25">
      <c r="B21" s="149" t="s">
        <v>540</v>
      </c>
      <c r="C21" s="243" t="s">
        <v>538</v>
      </c>
      <c r="D21" s="165">
        <v>7556653.869716417</v>
      </c>
      <c r="E21" s="165"/>
      <c r="F21" s="165">
        <v>1407782.3179470657</v>
      </c>
      <c r="G21" s="165">
        <v>2544258.0436018673</v>
      </c>
      <c r="H21" s="165">
        <v>3604613.5081674843</v>
      </c>
    </row>
    <row r="22" spans="2:8" x14ac:dyDescent="0.25">
      <c r="B22" s="212" t="s">
        <v>553</v>
      </c>
      <c r="C22" s="213"/>
      <c r="D22" s="215">
        <v>7253161.7452909239</v>
      </c>
      <c r="E22" s="215">
        <v>0</v>
      </c>
      <c r="F22" s="215">
        <v>473767.30849540338</v>
      </c>
      <c r="G22" s="215">
        <v>565808.51533941191</v>
      </c>
      <c r="H22" s="215">
        <v>6213585.9214561088</v>
      </c>
    </row>
    <row r="23" spans="2:8" outlineLevel="1" x14ac:dyDescent="0.25">
      <c r="B23" s="149" t="s">
        <v>649</v>
      </c>
      <c r="C23" s="243" t="e">
        <v>#N/A</v>
      </c>
      <c r="D23" s="165">
        <v>84199.982014703492</v>
      </c>
      <c r="E23" s="165"/>
      <c r="F23" s="165">
        <v>16589.058175449522</v>
      </c>
      <c r="G23" s="165">
        <v>33384.457813721107</v>
      </c>
      <c r="H23" s="165">
        <v>34226.466025532864</v>
      </c>
    </row>
    <row r="24" spans="2:8" outlineLevel="1" x14ac:dyDescent="0.25">
      <c r="B24" s="149" t="s">
        <v>521</v>
      </c>
      <c r="C24" s="243" t="s">
        <v>522</v>
      </c>
      <c r="D24" s="165">
        <v>61167.489238709684</v>
      </c>
      <c r="E24" s="165"/>
      <c r="F24" s="165">
        <v>36794.625376344091</v>
      </c>
      <c r="G24" s="165">
        <v>24372.863862365593</v>
      </c>
      <c r="H24" s="165"/>
    </row>
    <row r="25" spans="2:8" outlineLevel="1" x14ac:dyDescent="0.25">
      <c r="B25" s="149" t="s">
        <v>525</v>
      </c>
      <c r="C25" s="243" t="s">
        <v>526</v>
      </c>
      <c r="D25" s="165">
        <v>146936.84671327434</v>
      </c>
      <c r="E25" s="165"/>
      <c r="F25" s="165">
        <v>85634.415504424775</v>
      </c>
      <c r="G25" s="165">
        <v>61302.431208849557</v>
      </c>
      <c r="H25" s="165"/>
    </row>
    <row r="26" spans="2:8" outlineLevel="1" x14ac:dyDescent="0.25">
      <c r="B26" s="149" t="s">
        <v>529</v>
      </c>
      <c r="C26" s="243" t="s">
        <v>530</v>
      </c>
      <c r="D26" s="165">
        <v>1302116.3662040001</v>
      </c>
      <c r="E26" s="165"/>
      <c r="F26" s="165"/>
      <c r="G26" s="165"/>
      <c r="H26" s="165">
        <v>1302116.3662040001</v>
      </c>
    </row>
    <row r="27" spans="2:8" outlineLevel="1" x14ac:dyDescent="0.25">
      <c r="B27" s="149" t="s">
        <v>531</v>
      </c>
      <c r="C27" s="243" t="s">
        <v>532</v>
      </c>
      <c r="D27" s="165">
        <v>1835637.9263199999</v>
      </c>
      <c r="E27" s="165"/>
      <c r="F27" s="165"/>
      <c r="G27" s="165"/>
      <c r="H27" s="165">
        <v>1835637.9263199999</v>
      </c>
    </row>
    <row r="28" spans="2:8" outlineLevel="1" x14ac:dyDescent="0.25">
      <c r="B28" s="149" t="s">
        <v>533</v>
      </c>
      <c r="C28" s="243" t="s">
        <v>534</v>
      </c>
      <c r="D28" s="165">
        <v>12725.696287519882</v>
      </c>
      <c r="E28" s="165"/>
      <c r="F28" s="165">
        <v>3668.643063867798</v>
      </c>
      <c r="G28" s="165">
        <v>7060.4881963522994</v>
      </c>
      <c r="H28" s="165">
        <v>1996.5650272997846</v>
      </c>
    </row>
    <row r="29" spans="2:8" outlineLevel="1" x14ac:dyDescent="0.25">
      <c r="B29" s="149" t="s">
        <v>537</v>
      </c>
      <c r="C29" s="243" t="s">
        <v>541</v>
      </c>
      <c r="D29" s="165">
        <v>2691974.5197775364</v>
      </c>
      <c r="E29" s="165"/>
      <c r="F29" s="165">
        <v>150428.48245131018</v>
      </c>
      <c r="G29" s="165">
        <v>164541.31524609521</v>
      </c>
      <c r="H29" s="165">
        <v>2377004.7220801311</v>
      </c>
    </row>
    <row r="30" spans="2:8" outlineLevel="1" x14ac:dyDescent="0.25">
      <c r="B30" s="149" t="s">
        <v>539</v>
      </c>
      <c r="C30" s="243" t="s">
        <v>1</v>
      </c>
      <c r="D30" s="165">
        <v>331723</v>
      </c>
      <c r="E30" s="165"/>
      <c r="F30" s="165">
        <v>71492.025862068956</v>
      </c>
      <c r="G30" s="165">
        <v>130472.94719827587</v>
      </c>
      <c r="H30" s="165">
        <v>129758.02693965517</v>
      </c>
    </row>
    <row r="31" spans="2:8" ht="15.75" outlineLevel="1" thickBot="1" x14ac:dyDescent="0.3">
      <c r="B31" s="149" t="s">
        <v>540</v>
      </c>
      <c r="C31" s="243" t="s">
        <v>538</v>
      </c>
      <c r="D31" s="165">
        <v>786679.91873518052</v>
      </c>
      <c r="E31" s="165"/>
      <c r="F31" s="165">
        <v>109160.05806193801</v>
      </c>
      <c r="G31" s="165">
        <v>144674.01181375229</v>
      </c>
      <c r="H31" s="165">
        <v>532845.84885949024</v>
      </c>
    </row>
    <row r="32" spans="2:8" s="92" customFormat="1" x14ac:dyDescent="0.25">
      <c r="B32" s="161" t="s">
        <v>61</v>
      </c>
      <c r="C32" s="162"/>
      <c r="D32" s="191">
        <v>63640583.343912087</v>
      </c>
      <c r="E32" s="191">
        <v>4298463.16</v>
      </c>
      <c r="F32" s="191">
        <v>16028589.445019299</v>
      </c>
      <c r="G32" s="191">
        <v>14609949.899661407</v>
      </c>
      <c r="H32" s="191">
        <v>28703580.839231364</v>
      </c>
    </row>
  </sheetData>
  <sheetProtection sheet="1" objects="1" scenarios="1"/>
  <hyperlinks>
    <hyperlink ref="I1" location="'Table of contents'!A1" display="Return to TOC" xr:uid="{D6F65241-58D5-4728-B948-25AA3B802EEE}"/>
  </hyperlinks>
  <printOptions horizontalCentered="1"/>
  <pageMargins left="0.25" right="0.25" top="0.5" bottom="0.5" header="0.25" footer="0.25"/>
  <pageSetup scale="4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isk">
    <tabColor theme="3" tint="0.39997558519241921"/>
    <pageSetUpPr fitToPage="1"/>
  </sheetPr>
  <dimension ref="B1:F22"/>
  <sheetViews>
    <sheetView showGridLines="0" zoomScale="90" zoomScaleNormal="90" workbookViewId="0">
      <pane xSplit="3" ySplit="2" topLeftCell="D3" activePane="bottomRight" state="frozen"/>
      <selection pane="topRight"/>
      <selection pane="bottomLeft"/>
      <selection pane="bottomRight" activeCell="E34" sqref="E34"/>
    </sheetView>
  </sheetViews>
  <sheetFormatPr defaultColWidth="8.85546875" defaultRowHeight="15" outlineLevelRow="1" x14ac:dyDescent="0.25"/>
  <cols>
    <col min="1" max="1" width="4.7109375" style="5" customWidth="1"/>
    <col min="2" max="2" width="8.7109375" style="5" customWidth="1"/>
    <col min="3" max="3" width="50.7109375" style="6" customWidth="1"/>
    <col min="4" max="4" width="10.7109375" style="155" customWidth="1"/>
    <col min="5" max="5" width="184.7109375" style="155" customWidth="1"/>
    <col min="6" max="16384" width="8.85546875" style="5"/>
  </cols>
  <sheetData>
    <row r="1" spans="2:6" x14ac:dyDescent="0.25">
      <c r="B1" s="154"/>
      <c r="E1" s="70" t="s">
        <v>66</v>
      </c>
    </row>
    <row r="2" spans="2:6" s="80" customFormat="1" ht="36" customHeight="1" thickBot="1" x14ac:dyDescent="0.3">
      <c r="B2" s="156" t="s">
        <v>54</v>
      </c>
      <c r="C2" s="157" t="s">
        <v>3</v>
      </c>
      <c r="D2" s="158" t="s">
        <v>169</v>
      </c>
      <c r="E2" s="159" t="s">
        <v>69</v>
      </c>
    </row>
    <row r="3" spans="2:6" x14ac:dyDescent="0.25">
      <c r="B3" s="238" t="s">
        <v>544</v>
      </c>
      <c r="C3" s="239"/>
      <c r="D3" s="240">
        <v>6770000</v>
      </c>
      <c r="E3" s="240"/>
      <c r="F3" s="148"/>
    </row>
    <row r="4" spans="2:6" x14ac:dyDescent="0.25">
      <c r="B4" s="216" t="s">
        <v>552</v>
      </c>
      <c r="C4" s="217"/>
      <c r="D4" s="218">
        <v>6000000</v>
      </c>
      <c r="E4" s="218"/>
      <c r="F4" s="148"/>
    </row>
    <row r="5" spans="2:6" outlineLevel="1" x14ac:dyDescent="0.25">
      <c r="B5" s="149" t="s">
        <v>381</v>
      </c>
      <c r="C5" s="150" t="s">
        <v>162</v>
      </c>
      <c r="D5" s="165">
        <v>300000</v>
      </c>
      <c r="E5" s="253" t="s">
        <v>626</v>
      </c>
      <c r="F5" s="148"/>
    </row>
    <row r="6" spans="2:6" outlineLevel="1" x14ac:dyDescent="0.25">
      <c r="B6" s="149" t="s">
        <v>384</v>
      </c>
      <c r="C6" s="150" t="s">
        <v>820</v>
      </c>
      <c r="D6" s="165">
        <v>250000</v>
      </c>
      <c r="E6" s="253" t="s">
        <v>627</v>
      </c>
      <c r="F6" s="148"/>
    </row>
    <row r="7" spans="2:6" outlineLevel="1" x14ac:dyDescent="0.25">
      <c r="B7" s="149" t="s">
        <v>389</v>
      </c>
      <c r="C7" s="150" t="s">
        <v>821</v>
      </c>
      <c r="D7" s="165">
        <v>300000</v>
      </c>
      <c r="E7" s="253" t="s">
        <v>628</v>
      </c>
      <c r="F7" s="148"/>
    </row>
    <row r="8" spans="2:6" outlineLevel="1" x14ac:dyDescent="0.25">
      <c r="B8" s="149" t="s">
        <v>389</v>
      </c>
      <c r="C8" s="150" t="s">
        <v>822</v>
      </c>
      <c r="D8" s="165">
        <v>300000</v>
      </c>
      <c r="E8" s="253" t="s">
        <v>629</v>
      </c>
      <c r="F8" s="148"/>
    </row>
    <row r="9" spans="2:6" outlineLevel="1" x14ac:dyDescent="0.25">
      <c r="B9" s="149" t="s">
        <v>391</v>
      </c>
      <c r="C9" s="150" t="s">
        <v>823</v>
      </c>
      <c r="D9" s="165">
        <v>250000</v>
      </c>
      <c r="E9" s="253" t="s">
        <v>630</v>
      </c>
      <c r="F9" s="148"/>
    </row>
    <row r="10" spans="2:6" ht="15.75" customHeight="1" outlineLevel="1" x14ac:dyDescent="0.25">
      <c r="B10" s="149" t="s">
        <v>391</v>
      </c>
      <c r="C10" s="150" t="s">
        <v>824</v>
      </c>
      <c r="D10" s="165">
        <v>800000</v>
      </c>
      <c r="E10" s="253" t="s">
        <v>631</v>
      </c>
      <c r="F10" s="148"/>
    </row>
    <row r="11" spans="2:6" ht="16.5" customHeight="1" outlineLevel="1" x14ac:dyDescent="0.25">
      <c r="B11" s="149" t="s">
        <v>391</v>
      </c>
      <c r="C11" s="150" t="s">
        <v>825</v>
      </c>
      <c r="D11" s="165">
        <v>1300000</v>
      </c>
      <c r="E11" s="253" t="s">
        <v>632</v>
      </c>
      <c r="F11" s="148"/>
    </row>
    <row r="12" spans="2:6" ht="16.5" customHeight="1" outlineLevel="1" x14ac:dyDescent="0.25">
      <c r="B12" s="149" t="s">
        <v>391</v>
      </c>
      <c r="C12" s="150" t="s">
        <v>826</v>
      </c>
      <c r="D12" s="165">
        <v>1200000</v>
      </c>
      <c r="E12" s="253" t="s">
        <v>633</v>
      </c>
      <c r="F12" s="148"/>
    </row>
    <row r="13" spans="2:6" ht="15.75" customHeight="1" outlineLevel="1" x14ac:dyDescent="0.25">
      <c r="B13" s="149" t="s">
        <v>391</v>
      </c>
      <c r="C13" s="150" t="s">
        <v>827</v>
      </c>
      <c r="D13" s="165">
        <v>450000</v>
      </c>
      <c r="E13" s="253" t="s">
        <v>634</v>
      </c>
      <c r="F13" s="148"/>
    </row>
    <row r="14" spans="2:6" outlineLevel="1" x14ac:dyDescent="0.25">
      <c r="B14" s="149" t="s">
        <v>391</v>
      </c>
      <c r="C14" s="150" t="s">
        <v>828</v>
      </c>
      <c r="D14" s="165">
        <v>250000</v>
      </c>
      <c r="E14" s="253" t="s">
        <v>635</v>
      </c>
      <c r="F14" s="148"/>
    </row>
    <row r="15" spans="2:6" outlineLevel="1" x14ac:dyDescent="0.25">
      <c r="B15" s="149" t="s">
        <v>391</v>
      </c>
      <c r="C15" s="150" t="s">
        <v>829</v>
      </c>
      <c r="D15" s="165">
        <v>300000</v>
      </c>
      <c r="E15" s="253" t="s">
        <v>636</v>
      </c>
      <c r="F15" s="148"/>
    </row>
    <row r="16" spans="2:6" ht="21.75" customHeight="1" outlineLevel="1" x14ac:dyDescent="0.25">
      <c r="B16" s="149" t="s">
        <v>391</v>
      </c>
      <c r="C16" s="150" t="s">
        <v>830</v>
      </c>
      <c r="D16" s="165">
        <v>300000</v>
      </c>
      <c r="E16" s="253" t="s">
        <v>637</v>
      </c>
      <c r="F16" s="148"/>
    </row>
    <row r="17" spans="2:6" x14ac:dyDescent="0.25">
      <c r="B17" s="216" t="s">
        <v>553</v>
      </c>
      <c r="C17" s="217"/>
      <c r="D17" s="218">
        <v>770000</v>
      </c>
      <c r="E17" s="218"/>
      <c r="F17" s="148"/>
    </row>
    <row r="18" spans="2:6" ht="21" customHeight="1" outlineLevel="1" x14ac:dyDescent="0.25">
      <c r="B18" s="149" t="s">
        <v>391</v>
      </c>
      <c r="C18" s="150" t="s">
        <v>824</v>
      </c>
      <c r="D18" s="165">
        <v>200000</v>
      </c>
      <c r="E18" s="253" t="s">
        <v>631</v>
      </c>
      <c r="F18" s="148"/>
    </row>
    <row r="19" spans="2:6" ht="16.5" customHeight="1" outlineLevel="1" x14ac:dyDescent="0.25">
      <c r="B19" s="149" t="s">
        <v>391</v>
      </c>
      <c r="C19" s="150" t="s">
        <v>825</v>
      </c>
      <c r="D19" s="165">
        <v>220000</v>
      </c>
      <c r="E19" s="253" t="s">
        <v>632</v>
      </c>
      <c r="F19" s="148"/>
    </row>
    <row r="20" spans="2:6" ht="15.75" customHeight="1" outlineLevel="1" x14ac:dyDescent="0.25">
      <c r="B20" s="149" t="s">
        <v>391</v>
      </c>
      <c r="C20" s="150" t="s">
        <v>826</v>
      </c>
      <c r="D20" s="165">
        <v>300000</v>
      </c>
      <c r="E20" s="253" t="s">
        <v>633</v>
      </c>
      <c r="F20" s="148"/>
    </row>
    <row r="21" spans="2:6" ht="18" customHeight="1" outlineLevel="1" thickBot="1" x14ac:dyDescent="0.3">
      <c r="B21" s="149" t="s">
        <v>391</v>
      </c>
      <c r="C21" s="150" t="s">
        <v>830</v>
      </c>
      <c r="D21" s="165">
        <v>50000</v>
      </c>
      <c r="E21" s="253" t="s">
        <v>637</v>
      </c>
      <c r="F21" s="148"/>
    </row>
    <row r="22" spans="2:6" s="92" customFormat="1" x14ac:dyDescent="0.25">
      <c r="B22" s="161" t="s">
        <v>61</v>
      </c>
      <c r="C22" s="162"/>
      <c r="D22" s="163">
        <v>6770000</v>
      </c>
      <c r="E22" s="163"/>
    </row>
  </sheetData>
  <hyperlinks>
    <hyperlink ref="E1" location="'Table of contents'!A1" display="Return to TOC" xr:uid="{00000000-0004-0000-0800-000000000000}"/>
  </hyperlinks>
  <printOptions horizontalCentered="1"/>
  <pageMargins left="0.25" right="0.25" top="0.5" bottom="0.5" header="0.25" footer="0.25"/>
  <pageSetup scale="1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tem">
    <tabColor theme="3" tint="0.39997558519241921"/>
    <pageSetUpPr fitToPage="1"/>
  </sheetPr>
  <dimension ref="B1:K275"/>
  <sheetViews>
    <sheetView showGridLines="0" zoomScale="90" zoomScaleNormal="90" workbookViewId="0">
      <pane xSplit="5" ySplit="2" topLeftCell="F3" activePane="bottomRight" state="frozen"/>
      <selection pane="topRight"/>
      <selection pane="bottomLeft"/>
      <selection pane="bottomRight"/>
    </sheetView>
  </sheetViews>
  <sheetFormatPr defaultColWidth="8.85546875" defaultRowHeight="15" outlineLevelRow="1" x14ac:dyDescent="0.25"/>
  <cols>
    <col min="1" max="1" width="4.7109375" style="5" customWidth="1"/>
    <col min="2" max="2" width="8.7109375" style="5" customWidth="1"/>
    <col min="3" max="3" width="14.7109375" style="5" customWidth="1"/>
    <col min="4" max="4" width="15.42578125" style="5" hidden="1" customWidth="1"/>
    <col min="5" max="5" width="60.7109375" style="6" customWidth="1"/>
    <col min="6" max="6" width="10.7109375" style="155" customWidth="1"/>
    <col min="7" max="7" width="8.7109375" style="155" customWidth="1"/>
    <col min="8" max="8" width="18.7109375" style="155" customWidth="1"/>
    <col min="9" max="9" width="12" style="155" customWidth="1"/>
    <col min="10" max="10" width="60.7109375" style="155" customWidth="1"/>
    <col min="11" max="16384" width="8.85546875" style="5"/>
  </cols>
  <sheetData>
    <row r="1" spans="2:11" x14ac:dyDescent="0.25">
      <c r="B1" s="154"/>
      <c r="C1" s="154"/>
      <c r="D1" s="154"/>
      <c r="J1" s="70" t="s">
        <v>66</v>
      </c>
    </row>
    <row r="2" spans="2:11" s="80" customFormat="1" ht="36" customHeight="1" thickBot="1" x14ac:dyDescent="0.3">
      <c r="B2" s="156" t="s">
        <v>53</v>
      </c>
      <c r="C2" s="156" t="s">
        <v>55</v>
      </c>
      <c r="D2" s="156" t="s">
        <v>177</v>
      </c>
      <c r="E2" s="157" t="s">
        <v>3</v>
      </c>
      <c r="F2" s="158" t="s">
        <v>4</v>
      </c>
      <c r="G2" s="159" t="s">
        <v>5</v>
      </c>
      <c r="H2" s="158" t="s">
        <v>172</v>
      </c>
      <c r="I2" s="158" t="s">
        <v>516</v>
      </c>
      <c r="J2" s="159" t="s">
        <v>69</v>
      </c>
    </row>
    <row r="3" spans="2:11" x14ac:dyDescent="0.25">
      <c r="B3" s="238" t="s">
        <v>544</v>
      </c>
      <c r="C3" s="238"/>
      <c r="D3" s="238"/>
      <c r="E3" s="239"/>
      <c r="F3" s="240"/>
      <c r="G3" s="240"/>
      <c r="H3" s="240">
        <v>63640583.343912065</v>
      </c>
      <c r="I3" s="240"/>
      <c r="J3" s="240"/>
      <c r="K3" s="148"/>
    </row>
    <row r="4" spans="2:11" x14ac:dyDescent="0.25">
      <c r="B4" s="216" t="s">
        <v>552</v>
      </c>
      <c r="C4" s="216"/>
      <c r="D4" s="216"/>
      <c r="E4" s="217"/>
      <c r="F4" s="218"/>
      <c r="G4" s="218"/>
      <c r="H4" s="218">
        <v>56387421.598621145</v>
      </c>
      <c r="I4" s="218"/>
      <c r="J4" s="218"/>
      <c r="K4" s="148"/>
    </row>
    <row r="5" spans="2:11" outlineLevel="1" x14ac:dyDescent="0.25">
      <c r="B5" s="149" t="s">
        <v>41</v>
      </c>
      <c r="C5" s="149" t="s">
        <v>299</v>
      </c>
      <c r="D5" s="149">
        <v>85</v>
      </c>
      <c r="E5" s="150" t="s">
        <v>653</v>
      </c>
      <c r="F5" s="151">
        <v>1</v>
      </c>
      <c r="G5" s="152" t="s">
        <v>870</v>
      </c>
      <c r="H5" s="151">
        <v>2530</v>
      </c>
      <c r="I5" s="151">
        <v>0</v>
      </c>
      <c r="J5" s="253" t="s">
        <v>562</v>
      </c>
      <c r="K5" s="148"/>
    </row>
    <row r="6" spans="2:11" outlineLevel="1" x14ac:dyDescent="0.25">
      <c r="B6" s="149" t="s">
        <v>41</v>
      </c>
      <c r="C6" s="149" t="s">
        <v>299</v>
      </c>
      <c r="D6" s="149">
        <v>84</v>
      </c>
      <c r="E6" s="150" t="s">
        <v>654</v>
      </c>
      <c r="F6" s="151">
        <v>1</v>
      </c>
      <c r="G6" s="152" t="s">
        <v>870</v>
      </c>
      <c r="H6" s="151">
        <v>505.56</v>
      </c>
      <c r="I6" s="151">
        <v>0</v>
      </c>
      <c r="J6" s="253" t="s">
        <v>562</v>
      </c>
      <c r="K6" s="148"/>
    </row>
    <row r="7" spans="2:11" outlineLevel="1" x14ac:dyDescent="0.25">
      <c r="B7" s="149" t="s">
        <v>42</v>
      </c>
      <c r="C7" s="149" t="s">
        <v>180</v>
      </c>
      <c r="D7" s="149">
        <v>93</v>
      </c>
      <c r="E7" s="150" t="s">
        <v>655</v>
      </c>
      <c r="F7" s="151">
        <v>160</v>
      </c>
      <c r="G7" s="152" t="s">
        <v>871</v>
      </c>
      <c r="H7" s="151">
        <v>9793.5143050847473</v>
      </c>
      <c r="I7" s="151">
        <v>160</v>
      </c>
      <c r="J7" s="253" t="s">
        <v>563</v>
      </c>
      <c r="K7" s="148"/>
    </row>
    <row r="8" spans="2:11" ht="30" outlineLevel="1" x14ac:dyDescent="0.25">
      <c r="B8" s="149" t="s">
        <v>42</v>
      </c>
      <c r="C8" s="149" t="s">
        <v>184</v>
      </c>
      <c r="D8" s="149">
        <v>346</v>
      </c>
      <c r="E8" s="150" t="s">
        <v>656</v>
      </c>
      <c r="F8" s="151">
        <v>40</v>
      </c>
      <c r="G8" s="152" t="s">
        <v>872</v>
      </c>
      <c r="H8" s="151">
        <v>7096.725966101696</v>
      </c>
      <c r="I8" s="151">
        <v>40</v>
      </c>
      <c r="J8" s="253" t="s">
        <v>564</v>
      </c>
      <c r="K8" s="148"/>
    </row>
    <row r="9" spans="2:11" ht="30" outlineLevel="1" x14ac:dyDescent="0.25">
      <c r="B9" s="149" t="s">
        <v>42</v>
      </c>
      <c r="C9" s="149" t="s">
        <v>184</v>
      </c>
      <c r="D9" s="149">
        <v>345</v>
      </c>
      <c r="E9" s="150" t="s">
        <v>657</v>
      </c>
      <c r="F9" s="151">
        <v>40</v>
      </c>
      <c r="G9" s="152" t="s">
        <v>872</v>
      </c>
      <c r="H9" s="151">
        <v>7096.725966101696</v>
      </c>
      <c r="I9" s="151">
        <v>40</v>
      </c>
      <c r="J9" s="253" t="s">
        <v>565</v>
      </c>
      <c r="K9" s="148"/>
    </row>
    <row r="10" spans="2:11" outlineLevel="1" x14ac:dyDescent="0.25">
      <c r="B10" s="149" t="s">
        <v>42</v>
      </c>
      <c r="C10" s="149" t="s">
        <v>184</v>
      </c>
      <c r="D10" s="149">
        <v>350</v>
      </c>
      <c r="E10" s="150" t="s">
        <v>658</v>
      </c>
      <c r="F10" s="151">
        <v>24</v>
      </c>
      <c r="G10" s="152" t="s">
        <v>872</v>
      </c>
      <c r="H10" s="151">
        <v>4258.0355796610165</v>
      </c>
      <c r="I10" s="151">
        <v>24</v>
      </c>
      <c r="J10" s="253" t="s">
        <v>566</v>
      </c>
      <c r="K10" s="148"/>
    </row>
    <row r="11" spans="2:11" outlineLevel="1" x14ac:dyDescent="0.25">
      <c r="B11" s="149" t="s">
        <v>42</v>
      </c>
      <c r="C11" s="149" t="s">
        <v>184</v>
      </c>
      <c r="D11" s="149">
        <v>94</v>
      </c>
      <c r="E11" s="150" t="s">
        <v>659</v>
      </c>
      <c r="F11" s="151">
        <v>160</v>
      </c>
      <c r="G11" s="152" t="s">
        <v>871</v>
      </c>
      <c r="H11" s="151">
        <v>28386.903864406784</v>
      </c>
      <c r="I11" s="151">
        <v>160</v>
      </c>
      <c r="J11" s="253" t="s">
        <v>563</v>
      </c>
      <c r="K11" s="148"/>
    </row>
    <row r="12" spans="2:11" outlineLevel="1" x14ac:dyDescent="0.25">
      <c r="B12" s="149" t="s">
        <v>42</v>
      </c>
      <c r="C12" s="149" t="s">
        <v>184</v>
      </c>
      <c r="D12" s="149">
        <v>348</v>
      </c>
      <c r="E12" s="150" t="s">
        <v>660</v>
      </c>
      <c r="F12" s="151">
        <v>24</v>
      </c>
      <c r="G12" s="152" t="s">
        <v>872</v>
      </c>
      <c r="H12" s="151">
        <v>4258.0355796610165</v>
      </c>
      <c r="I12" s="151">
        <v>24</v>
      </c>
      <c r="J12" s="253" t="s">
        <v>567</v>
      </c>
      <c r="K12" s="148"/>
    </row>
    <row r="13" spans="2:11" outlineLevel="1" x14ac:dyDescent="0.25">
      <c r="B13" s="149" t="s">
        <v>42</v>
      </c>
      <c r="C13" s="149" t="s">
        <v>184</v>
      </c>
      <c r="D13" s="149">
        <v>347</v>
      </c>
      <c r="E13" s="150" t="s">
        <v>661</v>
      </c>
      <c r="F13" s="151">
        <v>120</v>
      </c>
      <c r="G13" s="152" t="s">
        <v>872</v>
      </c>
      <c r="H13" s="151">
        <v>23141.074169491527</v>
      </c>
      <c r="I13" s="151">
        <v>120</v>
      </c>
      <c r="J13" s="253" t="s">
        <v>568</v>
      </c>
      <c r="K13" s="148"/>
    </row>
    <row r="14" spans="2:11" outlineLevel="1" x14ac:dyDescent="0.25">
      <c r="B14" s="149" t="s">
        <v>42</v>
      </c>
      <c r="C14" s="149" t="s">
        <v>184</v>
      </c>
      <c r="D14" s="149">
        <v>349</v>
      </c>
      <c r="E14" s="150" t="s">
        <v>662</v>
      </c>
      <c r="F14" s="151">
        <v>80</v>
      </c>
      <c r="G14" s="152" t="s">
        <v>872</v>
      </c>
      <c r="H14" s="151">
        <v>14193.451932203392</v>
      </c>
      <c r="I14" s="151">
        <v>80</v>
      </c>
      <c r="J14" s="253" t="s">
        <v>569</v>
      </c>
      <c r="K14" s="148"/>
    </row>
    <row r="15" spans="2:11" outlineLevel="1" x14ac:dyDescent="0.25">
      <c r="B15" s="149" t="s">
        <v>42</v>
      </c>
      <c r="C15" s="149" t="s">
        <v>302</v>
      </c>
      <c r="D15" s="149">
        <v>88</v>
      </c>
      <c r="E15" s="150" t="s">
        <v>663</v>
      </c>
      <c r="F15" s="151">
        <v>1</v>
      </c>
      <c r="G15" s="152" t="s">
        <v>870</v>
      </c>
      <c r="H15" s="151">
        <v>31692.16</v>
      </c>
      <c r="I15" s="151">
        <v>0</v>
      </c>
      <c r="J15" s="253" t="s">
        <v>562</v>
      </c>
      <c r="K15" s="148"/>
    </row>
    <row r="16" spans="2:11" outlineLevel="1" x14ac:dyDescent="0.25">
      <c r="B16" s="149" t="s">
        <v>42</v>
      </c>
      <c r="C16" s="149" t="s">
        <v>308</v>
      </c>
      <c r="D16" s="149">
        <v>92</v>
      </c>
      <c r="E16" s="150" t="s">
        <v>664</v>
      </c>
      <c r="F16" s="151">
        <v>1</v>
      </c>
      <c r="G16" s="152" t="s">
        <v>870</v>
      </c>
      <c r="H16" s="151">
        <v>2584.0700000000002</v>
      </c>
      <c r="I16" s="151">
        <v>0</v>
      </c>
      <c r="J16" s="253" t="s">
        <v>562</v>
      </c>
      <c r="K16" s="148"/>
    </row>
    <row r="17" spans="2:11" outlineLevel="1" x14ac:dyDescent="0.25">
      <c r="B17" s="149" t="s">
        <v>43</v>
      </c>
      <c r="C17" s="149" t="s">
        <v>189</v>
      </c>
      <c r="D17" s="149">
        <v>201</v>
      </c>
      <c r="E17" s="150" t="s">
        <v>665</v>
      </c>
      <c r="F17" s="151">
        <v>1</v>
      </c>
      <c r="G17" s="152" t="s">
        <v>870</v>
      </c>
      <c r="H17" s="151">
        <v>61784.14</v>
      </c>
      <c r="I17" s="151">
        <v>0</v>
      </c>
      <c r="J17" s="253" t="s">
        <v>562</v>
      </c>
      <c r="K17" s="148"/>
    </row>
    <row r="18" spans="2:11" outlineLevel="1" x14ac:dyDescent="0.25">
      <c r="B18" s="149" t="s">
        <v>43</v>
      </c>
      <c r="C18" s="149" t="s">
        <v>189</v>
      </c>
      <c r="D18" s="149">
        <v>203</v>
      </c>
      <c r="E18" s="150" t="s">
        <v>666</v>
      </c>
      <c r="F18" s="151">
        <v>480</v>
      </c>
      <c r="G18" s="152" t="s">
        <v>871</v>
      </c>
      <c r="H18" s="151">
        <v>29380.542915254235</v>
      </c>
      <c r="I18" s="151">
        <v>480</v>
      </c>
      <c r="J18" s="253" t="s">
        <v>549</v>
      </c>
      <c r="K18" s="148"/>
    </row>
    <row r="19" spans="2:11" outlineLevel="1" x14ac:dyDescent="0.25">
      <c r="B19" s="149" t="s">
        <v>43</v>
      </c>
      <c r="C19" s="149" t="s">
        <v>189</v>
      </c>
      <c r="D19" s="149">
        <v>0</v>
      </c>
      <c r="E19" s="150" t="s">
        <v>667</v>
      </c>
      <c r="F19" s="151">
        <v>1</v>
      </c>
      <c r="G19" s="152" t="s">
        <v>870</v>
      </c>
      <c r="H19" s="151">
        <v>43276.5765499634</v>
      </c>
      <c r="I19" s="151">
        <v>0</v>
      </c>
      <c r="J19" s="253" t="s">
        <v>549</v>
      </c>
      <c r="K19" s="148"/>
    </row>
    <row r="20" spans="2:11" outlineLevel="1" x14ac:dyDescent="0.25">
      <c r="B20" s="149" t="s">
        <v>43</v>
      </c>
      <c r="C20" s="149" t="s">
        <v>193</v>
      </c>
      <c r="D20" s="149">
        <v>202</v>
      </c>
      <c r="E20" s="150" t="s">
        <v>668</v>
      </c>
      <c r="F20" s="151">
        <v>1</v>
      </c>
      <c r="G20" s="152" t="s">
        <v>870</v>
      </c>
      <c r="H20" s="151">
        <v>27731.5</v>
      </c>
      <c r="I20" s="151">
        <v>0</v>
      </c>
      <c r="J20" s="253" t="s">
        <v>562</v>
      </c>
      <c r="K20" s="148"/>
    </row>
    <row r="21" spans="2:11" outlineLevel="1" x14ac:dyDescent="0.25">
      <c r="B21" s="149" t="s">
        <v>43</v>
      </c>
      <c r="C21" s="149" t="s">
        <v>193</v>
      </c>
      <c r="D21" s="149">
        <v>204</v>
      </c>
      <c r="E21" s="150" t="s">
        <v>669</v>
      </c>
      <c r="F21" s="151">
        <v>480</v>
      </c>
      <c r="G21" s="152" t="s">
        <v>871</v>
      </c>
      <c r="H21" s="151">
        <v>85160.711593220331</v>
      </c>
      <c r="I21" s="151">
        <v>480</v>
      </c>
      <c r="J21" s="253" t="s">
        <v>549</v>
      </c>
      <c r="K21" s="148"/>
    </row>
    <row r="22" spans="2:11" outlineLevel="1" x14ac:dyDescent="0.25">
      <c r="B22" s="149" t="s">
        <v>43</v>
      </c>
      <c r="C22" s="149" t="s">
        <v>193</v>
      </c>
      <c r="D22" s="149">
        <v>0</v>
      </c>
      <c r="E22" s="150" t="s">
        <v>670</v>
      </c>
      <c r="F22" s="151">
        <v>1</v>
      </c>
      <c r="G22" s="152" t="s">
        <v>870</v>
      </c>
      <c r="H22" s="151">
        <v>64914.864824945085</v>
      </c>
      <c r="I22" s="151">
        <v>0</v>
      </c>
      <c r="J22" s="253" t="s">
        <v>549</v>
      </c>
      <c r="K22" s="148"/>
    </row>
    <row r="23" spans="2:11" outlineLevel="1" x14ac:dyDescent="0.25">
      <c r="B23" s="149" t="s">
        <v>44</v>
      </c>
      <c r="C23" s="149" t="s">
        <v>197</v>
      </c>
      <c r="D23" s="149">
        <v>197</v>
      </c>
      <c r="E23" s="150" t="s">
        <v>671</v>
      </c>
      <c r="F23" s="151">
        <v>1</v>
      </c>
      <c r="G23" s="152" t="s">
        <v>870</v>
      </c>
      <c r="H23" s="151">
        <v>71775.929999999993</v>
      </c>
      <c r="I23" s="151">
        <v>0</v>
      </c>
      <c r="J23" s="253" t="s">
        <v>562</v>
      </c>
      <c r="K23" s="148"/>
    </row>
    <row r="24" spans="2:11" ht="60" outlineLevel="1" x14ac:dyDescent="0.25">
      <c r="B24" s="149" t="s">
        <v>44</v>
      </c>
      <c r="C24" s="149" t="s">
        <v>197</v>
      </c>
      <c r="D24" s="149">
        <v>193</v>
      </c>
      <c r="E24" s="150" t="s">
        <v>672</v>
      </c>
      <c r="F24" s="151">
        <v>180</v>
      </c>
      <c r="G24" s="152" t="s">
        <v>871</v>
      </c>
      <c r="H24" s="151">
        <v>11656.993423728814</v>
      </c>
      <c r="I24" s="151">
        <v>180</v>
      </c>
      <c r="J24" s="253" t="s">
        <v>570</v>
      </c>
      <c r="K24" s="148"/>
    </row>
    <row r="25" spans="2:11" outlineLevel="1" x14ac:dyDescent="0.25">
      <c r="B25" s="149" t="s">
        <v>44</v>
      </c>
      <c r="C25" s="149" t="s">
        <v>197</v>
      </c>
      <c r="D25" s="149">
        <v>0</v>
      </c>
      <c r="E25" s="150" t="s">
        <v>673</v>
      </c>
      <c r="F25" s="151">
        <v>1</v>
      </c>
      <c r="G25" s="152" t="s">
        <v>870</v>
      </c>
      <c r="H25" s="151">
        <v>137944.08775300829</v>
      </c>
      <c r="I25" s="151">
        <v>0</v>
      </c>
      <c r="J25" s="253" t="s">
        <v>549</v>
      </c>
      <c r="K25" s="148"/>
    </row>
    <row r="26" spans="2:11" outlineLevel="1" x14ac:dyDescent="0.25">
      <c r="B26" s="149" t="s">
        <v>44</v>
      </c>
      <c r="C26" s="149" t="s">
        <v>201</v>
      </c>
      <c r="D26" s="149">
        <v>198</v>
      </c>
      <c r="E26" s="150" t="s">
        <v>674</v>
      </c>
      <c r="F26" s="151">
        <v>1</v>
      </c>
      <c r="G26" s="152" t="s">
        <v>870</v>
      </c>
      <c r="H26" s="151">
        <v>7768.23</v>
      </c>
      <c r="I26" s="151">
        <v>0</v>
      </c>
      <c r="J26" s="253" t="s">
        <v>562</v>
      </c>
      <c r="K26" s="148"/>
    </row>
    <row r="27" spans="2:11" outlineLevel="1" x14ac:dyDescent="0.25">
      <c r="B27" s="149" t="s">
        <v>44</v>
      </c>
      <c r="C27" s="149" t="s">
        <v>201</v>
      </c>
      <c r="D27" s="149">
        <v>0</v>
      </c>
      <c r="E27" s="150" t="s">
        <v>675</v>
      </c>
      <c r="F27" s="151">
        <v>1</v>
      </c>
      <c r="G27" s="152" t="s">
        <v>870</v>
      </c>
      <c r="H27" s="151">
        <v>1241496.7897770747</v>
      </c>
      <c r="I27" s="151">
        <v>0</v>
      </c>
      <c r="J27" s="253" t="s">
        <v>549</v>
      </c>
      <c r="K27" s="148"/>
    </row>
    <row r="28" spans="2:11" outlineLevel="1" x14ac:dyDescent="0.25">
      <c r="B28" s="149" t="s">
        <v>45</v>
      </c>
      <c r="C28" s="149" t="s">
        <v>316</v>
      </c>
      <c r="D28" s="149">
        <v>106</v>
      </c>
      <c r="E28" s="150" t="s">
        <v>676</v>
      </c>
      <c r="F28" s="151">
        <v>120</v>
      </c>
      <c r="G28" s="152" t="s">
        <v>871</v>
      </c>
      <c r="H28" s="151">
        <v>8451.2827354838737</v>
      </c>
      <c r="I28" s="151">
        <v>120</v>
      </c>
      <c r="J28" s="253" t="s">
        <v>563</v>
      </c>
      <c r="K28" s="148"/>
    </row>
    <row r="29" spans="2:11" outlineLevel="1" x14ac:dyDescent="0.25">
      <c r="B29" s="149" t="s">
        <v>45</v>
      </c>
      <c r="C29" s="149" t="s">
        <v>321</v>
      </c>
      <c r="D29" s="149">
        <v>107</v>
      </c>
      <c r="E29" s="150" t="s">
        <v>677</v>
      </c>
      <c r="F29" s="151">
        <v>120</v>
      </c>
      <c r="G29" s="152" t="s">
        <v>871</v>
      </c>
      <c r="H29" s="151">
        <v>21227.155200000001</v>
      </c>
      <c r="I29" s="151">
        <v>120</v>
      </c>
      <c r="J29" s="253" t="s">
        <v>571</v>
      </c>
      <c r="K29" s="148"/>
    </row>
    <row r="30" spans="2:11" outlineLevel="1" x14ac:dyDescent="0.25">
      <c r="B30" s="149" t="s">
        <v>45</v>
      </c>
      <c r="C30" s="149" t="s">
        <v>321</v>
      </c>
      <c r="D30" s="149">
        <v>437</v>
      </c>
      <c r="E30" s="150" t="s">
        <v>677</v>
      </c>
      <c r="F30" s="151">
        <v>1</v>
      </c>
      <c r="G30" s="152" t="s">
        <v>870</v>
      </c>
      <c r="H30" s="151">
        <v>41041.379999999997</v>
      </c>
      <c r="I30" s="151">
        <v>0</v>
      </c>
      <c r="J30" s="253" t="s">
        <v>562</v>
      </c>
      <c r="K30" s="148"/>
    </row>
    <row r="31" spans="2:11" outlineLevel="1" x14ac:dyDescent="0.25">
      <c r="B31" s="149" t="s">
        <v>45</v>
      </c>
      <c r="C31" s="149" t="s">
        <v>205</v>
      </c>
      <c r="D31" s="149">
        <v>238</v>
      </c>
      <c r="E31" s="150" t="s">
        <v>678</v>
      </c>
      <c r="F31" s="151">
        <v>360</v>
      </c>
      <c r="G31" s="152" t="s">
        <v>871</v>
      </c>
      <c r="H31" s="151">
        <v>24476.060903225807</v>
      </c>
      <c r="I31" s="151">
        <v>360</v>
      </c>
      <c r="J31" s="253" t="s">
        <v>572</v>
      </c>
      <c r="K31" s="148"/>
    </row>
    <row r="32" spans="2:11" outlineLevel="1" x14ac:dyDescent="0.25">
      <c r="B32" s="149" t="s">
        <v>45</v>
      </c>
      <c r="C32" s="149" t="s">
        <v>205</v>
      </c>
      <c r="D32" s="149">
        <v>439</v>
      </c>
      <c r="E32" s="150" t="s">
        <v>678</v>
      </c>
      <c r="F32" s="151">
        <v>1</v>
      </c>
      <c r="G32" s="152" t="s">
        <v>870</v>
      </c>
      <c r="H32" s="151">
        <v>114504.9</v>
      </c>
      <c r="I32" s="151">
        <v>0</v>
      </c>
      <c r="J32" s="253" t="s">
        <v>562</v>
      </c>
      <c r="K32" s="148"/>
    </row>
    <row r="33" spans="2:11" ht="30" outlineLevel="1" x14ac:dyDescent="0.25">
      <c r="B33" s="149" t="s">
        <v>45</v>
      </c>
      <c r="C33" s="149" t="s">
        <v>208</v>
      </c>
      <c r="D33" s="149">
        <v>239</v>
      </c>
      <c r="E33" s="150" t="s">
        <v>679</v>
      </c>
      <c r="F33" s="151">
        <v>1920</v>
      </c>
      <c r="G33" s="152" t="s">
        <v>871</v>
      </c>
      <c r="H33" s="151">
        <v>341751.85672258062</v>
      </c>
      <c r="I33" s="151">
        <v>1920</v>
      </c>
      <c r="J33" s="253" t="s">
        <v>573</v>
      </c>
      <c r="K33" s="148"/>
    </row>
    <row r="34" spans="2:11" outlineLevel="1" x14ac:dyDescent="0.25">
      <c r="B34" s="149" t="s">
        <v>45</v>
      </c>
      <c r="C34" s="149" t="s">
        <v>208</v>
      </c>
      <c r="D34" s="149">
        <v>440</v>
      </c>
      <c r="E34" s="150" t="s">
        <v>679</v>
      </c>
      <c r="F34" s="151">
        <v>1</v>
      </c>
      <c r="G34" s="152" t="s">
        <v>870</v>
      </c>
      <c r="H34" s="151">
        <v>144715.35000000003</v>
      </c>
      <c r="I34" s="151">
        <v>0</v>
      </c>
      <c r="J34" s="253" t="s">
        <v>562</v>
      </c>
      <c r="K34" s="148"/>
    </row>
    <row r="35" spans="2:11" outlineLevel="1" x14ac:dyDescent="0.25">
      <c r="B35" s="149" t="s">
        <v>45</v>
      </c>
      <c r="C35" s="149" t="s">
        <v>327</v>
      </c>
      <c r="D35" s="149">
        <v>442</v>
      </c>
      <c r="E35" s="150" t="s">
        <v>680</v>
      </c>
      <c r="F35" s="151">
        <v>1</v>
      </c>
      <c r="G35" s="152" t="s">
        <v>870</v>
      </c>
      <c r="H35" s="151">
        <v>115232.57</v>
      </c>
      <c r="I35" s="151">
        <v>0</v>
      </c>
      <c r="J35" s="253" t="s">
        <v>562</v>
      </c>
      <c r="K35" s="148"/>
    </row>
    <row r="36" spans="2:11" ht="30" outlineLevel="1" x14ac:dyDescent="0.25">
      <c r="B36" s="149" t="s">
        <v>45</v>
      </c>
      <c r="C36" s="149" t="s">
        <v>331</v>
      </c>
      <c r="D36" s="149">
        <v>242</v>
      </c>
      <c r="E36" s="150" t="s">
        <v>681</v>
      </c>
      <c r="F36" s="151">
        <v>880</v>
      </c>
      <c r="G36" s="152" t="s">
        <v>871</v>
      </c>
      <c r="H36" s="151">
        <v>59830.371096774194</v>
      </c>
      <c r="I36" s="151">
        <v>880</v>
      </c>
      <c r="J36" s="253" t="s">
        <v>886</v>
      </c>
      <c r="K36" s="148"/>
    </row>
    <row r="37" spans="2:11" outlineLevel="1" x14ac:dyDescent="0.25">
      <c r="B37" s="149" t="s">
        <v>45</v>
      </c>
      <c r="C37" s="149" t="s">
        <v>331</v>
      </c>
      <c r="D37" s="149">
        <v>443</v>
      </c>
      <c r="E37" s="150" t="s">
        <v>681</v>
      </c>
      <c r="F37" s="151">
        <v>1</v>
      </c>
      <c r="G37" s="152" t="s">
        <v>870</v>
      </c>
      <c r="H37" s="151">
        <v>64873.310000000005</v>
      </c>
      <c r="I37" s="151">
        <v>0</v>
      </c>
      <c r="J37" s="253" t="s">
        <v>562</v>
      </c>
      <c r="K37" s="148"/>
    </row>
    <row r="38" spans="2:11" ht="30" outlineLevel="1" x14ac:dyDescent="0.25">
      <c r="B38" s="149" t="s">
        <v>45</v>
      </c>
      <c r="C38" s="149" t="s">
        <v>212</v>
      </c>
      <c r="D38" s="149">
        <v>243</v>
      </c>
      <c r="E38" s="150" t="s">
        <v>682</v>
      </c>
      <c r="F38" s="151">
        <v>1200</v>
      </c>
      <c r="G38" s="152" t="s">
        <v>871</v>
      </c>
      <c r="H38" s="151">
        <v>216241.62735483871</v>
      </c>
      <c r="I38" s="151">
        <v>1200</v>
      </c>
      <c r="J38" s="253" t="s">
        <v>574</v>
      </c>
      <c r="K38" s="148"/>
    </row>
    <row r="39" spans="2:11" outlineLevel="1" x14ac:dyDescent="0.25">
      <c r="B39" s="149" t="s">
        <v>45</v>
      </c>
      <c r="C39" s="149" t="s">
        <v>216</v>
      </c>
      <c r="D39" s="149">
        <v>126</v>
      </c>
      <c r="E39" s="150" t="s">
        <v>683</v>
      </c>
      <c r="F39" s="151">
        <v>280</v>
      </c>
      <c r="G39" s="152" t="s">
        <v>871</v>
      </c>
      <c r="H39" s="151">
        <v>20368.388645161293</v>
      </c>
      <c r="I39" s="151">
        <v>280</v>
      </c>
      <c r="J39" s="253" t="s">
        <v>563</v>
      </c>
      <c r="K39" s="148"/>
    </row>
    <row r="40" spans="2:11" ht="30" outlineLevel="1" x14ac:dyDescent="0.25">
      <c r="B40" s="149" t="s">
        <v>45</v>
      </c>
      <c r="C40" s="149" t="s">
        <v>336</v>
      </c>
      <c r="D40" s="149">
        <v>127</v>
      </c>
      <c r="E40" s="150" t="s">
        <v>684</v>
      </c>
      <c r="F40" s="151">
        <v>320</v>
      </c>
      <c r="G40" s="152" t="s">
        <v>871</v>
      </c>
      <c r="H40" s="151">
        <v>56958.642787096775</v>
      </c>
      <c r="I40" s="151">
        <v>320</v>
      </c>
      <c r="J40" s="253" t="s">
        <v>575</v>
      </c>
      <c r="K40" s="148"/>
    </row>
    <row r="41" spans="2:11" outlineLevel="1" x14ac:dyDescent="0.25">
      <c r="B41" s="149" t="s">
        <v>45</v>
      </c>
      <c r="C41" s="149" t="s">
        <v>220</v>
      </c>
      <c r="D41" s="149">
        <v>128</v>
      </c>
      <c r="E41" s="150" t="s">
        <v>685</v>
      </c>
      <c r="F41" s="151">
        <v>80</v>
      </c>
      <c r="G41" s="152" t="s">
        <v>871</v>
      </c>
      <c r="H41" s="151">
        <v>5819.539612903227</v>
      </c>
      <c r="I41" s="151">
        <v>80</v>
      </c>
      <c r="J41" s="253" t="s">
        <v>563</v>
      </c>
      <c r="K41" s="148"/>
    </row>
    <row r="42" spans="2:11" outlineLevel="1" x14ac:dyDescent="0.25">
      <c r="B42" s="149" t="s">
        <v>45</v>
      </c>
      <c r="C42" s="149" t="s">
        <v>220</v>
      </c>
      <c r="D42" s="149">
        <v>444</v>
      </c>
      <c r="E42" s="150" t="s">
        <v>685</v>
      </c>
      <c r="F42" s="151">
        <v>1</v>
      </c>
      <c r="G42" s="152" t="s">
        <v>870</v>
      </c>
      <c r="H42" s="151">
        <v>2860.76</v>
      </c>
      <c r="I42" s="151">
        <v>0</v>
      </c>
      <c r="J42" s="253" t="s">
        <v>562</v>
      </c>
      <c r="K42" s="148"/>
    </row>
    <row r="43" spans="2:11" ht="30" outlineLevel="1" x14ac:dyDescent="0.25">
      <c r="B43" s="149" t="s">
        <v>45</v>
      </c>
      <c r="C43" s="149" t="s">
        <v>223</v>
      </c>
      <c r="D43" s="149">
        <v>129</v>
      </c>
      <c r="E43" s="150" t="s">
        <v>686</v>
      </c>
      <c r="F43" s="151">
        <v>240</v>
      </c>
      <c r="G43" s="152" t="s">
        <v>871</v>
      </c>
      <c r="H43" s="151">
        <v>42718.982090322577</v>
      </c>
      <c r="I43" s="151">
        <v>240</v>
      </c>
      <c r="J43" s="253" t="s">
        <v>576</v>
      </c>
      <c r="K43" s="148"/>
    </row>
    <row r="44" spans="2:11" outlineLevel="1" x14ac:dyDescent="0.25">
      <c r="B44" s="149" t="s">
        <v>45</v>
      </c>
      <c r="C44" s="149" t="s">
        <v>342</v>
      </c>
      <c r="D44" s="149">
        <v>247</v>
      </c>
      <c r="E44" s="150" t="s">
        <v>687</v>
      </c>
      <c r="F44" s="151">
        <v>380</v>
      </c>
      <c r="G44" s="152" t="s">
        <v>871</v>
      </c>
      <c r="H44" s="151">
        <v>26762.395329032261</v>
      </c>
      <c r="I44" s="151">
        <v>380</v>
      </c>
      <c r="J44" s="253" t="s">
        <v>563</v>
      </c>
      <c r="K44" s="148"/>
    </row>
    <row r="45" spans="2:11" outlineLevel="1" x14ac:dyDescent="0.25">
      <c r="B45" s="149" t="s">
        <v>46</v>
      </c>
      <c r="C45" s="149" t="s">
        <v>227</v>
      </c>
      <c r="D45" s="149">
        <v>468</v>
      </c>
      <c r="E45" s="150" t="s">
        <v>688</v>
      </c>
      <c r="F45" s="151">
        <v>3</v>
      </c>
      <c r="G45" s="152" t="s">
        <v>872</v>
      </c>
      <c r="H45" s="151">
        <v>17041.684961769912</v>
      </c>
      <c r="I45" s="151">
        <v>0</v>
      </c>
      <c r="J45" s="253" t="s">
        <v>577</v>
      </c>
      <c r="K45" s="148"/>
    </row>
    <row r="46" spans="2:11" ht="45" outlineLevel="1" x14ac:dyDescent="0.25">
      <c r="B46" s="149" t="s">
        <v>46</v>
      </c>
      <c r="C46" s="149" t="s">
        <v>231</v>
      </c>
      <c r="D46" s="149">
        <v>302</v>
      </c>
      <c r="E46" s="150" t="s">
        <v>689</v>
      </c>
      <c r="F46" s="151">
        <v>4</v>
      </c>
      <c r="G46" s="152" t="s">
        <v>872</v>
      </c>
      <c r="H46" s="151">
        <v>1327378.7610619469</v>
      </c>
      <c r="I46" s="151">
        <v>0</v>
      </c>
      <c r="J46" s="253" t="s">
        <v>578</v>
      </c>
      <c r="K46" s="148"/>
    </row>
    <row r="47" spans="2:11" ht="30" outlineLevel="1" x14ac:dyDescent="0.25">
      <c r="B47" s="149" t="s">
        <v>46</v>
      </c>
      <c r="C47" s="149" t="s">
        <v>364</v>
      </c>
      <c r="D47" s="149">
        <v>322</v>
      </c>
      <c r="E47" s="150" t="s">
        <v>690</v>
      </c>
      <c r="F47" s="151">
        <v>1</v>
      </c>
      <c r="G47" s="152" t="s">
        <v>872</v>
      </c>
      <c r="H47" s="151">
        <v>2654.757522123894</v>
      </c>
      <c r="I47" s="151">
        <v>0</v>
      </c>
      <c r="J47" s="253" t="s">
        <v>549</v>
      </c>
      <c r="K47" s="148"/>
    </row>
    <row r="48" spans="2:11" ht="30" outlineLevel="1" x14ac:dyDescent="0.25">
      <c r="B48" s="149" t="s">
        <v>46</v>
      </c>
      <c r="C48" s="149" t="s">
        <v>364</v>
      </c>
      <c r="D48" s="149">
        <v>326</v>
      </c>
      <c r="E48" s="150" t="s">
        <v>691</v>
      </c>
      <c r="F48" s="151">
        <v>2</v>
      </c>
      <c r="G48" s="152" t="s">
        <v>872</v>
      </c>
      <c r="H48" s="151">
        <v>175313.54986725663</v>
      </c>
      <c r="I48" s="151">
        <v>0</v>
      </c>
      <c r="J48" s="253" t="s">
        <v>579</v>
      </c>
      <c r="K48" s="148"/>
    </row>
    <row r="49" spans="2:11" ht="30" outlineLevel="1" x14ac:dyDescent="0.25">
      <c r="B49" s="149" t="s">
        <v>46</v>
      </c>
      <c r="C49" s="149" t="s">
        <v>364</v>
      </c>
      <c r="D49" s="149">
        <v>328</v>
      </c>
      <c r="E49" s="150" t="s">
        <v>692</v>
      </c>
      <c r="F49" s="151">
        <v>1</v>
      </c>
      <c r="G49" s="152" t="s">
        <v>872</v>
      </c>
      <c r="H49" s="151">
        <v>8625.7496489675505</v>
      </c>
      <c r="I49" s="151">
        <v>0</v>
      </c>
      <c r="J49" s="253" t="s">
        <v>580</v>
      </c>
      <c r="K49" s="148"/>
    </row>
    <row r="50" spans="2:11" ht="75" outlineLevel="1" x14ac:dyDescent="0.25">
      <c r="B50" s="149" t="s">
        <v>46</v>
      </c>
      <c r="C50" s="149" t="s">
        <v>364</v>
      </c>
      <c r="D50" s="149">
        <v>338</v>
      </c>
      <c r="E50" s="150" t="s">
        <v>693</v>
      </c>
      <c r="F50" s="151">
        <v>4</v>
      </c>
      <c r="G50" s="152" t="s">
        <v>870</v>
      </c>
      <c r="H50" s="151">
        <v>1066455.9180000001</v>
      </c>
      <c r="I50" s="151">
        <v>0</v>
      </c>
      <c r="J50" s="253" t="s">
        <v>885</v>
      </c>
      <c r="K50" s="148"/>
    </row>
    <row r="51" spans="2:11" outlineLevel="1" x14ac:dyDescent="0.25">
      <c r="B51" s="149" t="s">
        <v>46</v>
      </c>
      <c r="C51" s="149" t="s">
        <v>368</v>
      </c>
      <c r="D51" s="149">
        <v>421</v>
      </c>
      <c r="E51" s="150" t="s">
        <v>694</v>
      </c>
      <c r="F51" s="151">
        <v>1500</v>
      </c>
      <c r="G51" s="152" t="s">
        <v>873</v>
      </c>
      <c r="H51" s="151">
        <v>156796.61615044245</v>
      </c>
      <c r="I51" s="151">
        <v>0</v>
      </c>
      <c r="J51" s="253" t="s">
        <v>581</v>
      </c>
      <c r="K51" s="148"/>
    </row>
    <row r="52" spans="2:11" outlineLevel="1" x14ac:dyDescent="0.25">
      <c r="B52" s="149" t="s">
        <v>46</v>
      </c>
      <c r="C52" s="149" t="s">
        <v>368</v>
      </c>
      <c r="D52" s="149">
        <v>411</v>
      </c>
      <c r="E52" s="150" t="s">
        <v>695</v>
      </c>
      <c r="F52" s="151">
        <v>2750</v>
      </c>
      <c r="G52" s="152" t="s">
        <v>873</v>
      </c>
      <c r="H52" s="151">
        <v>199305.92097345134</v>
      </c>
      <c r="I52" s="151">
        <v>0</v>
      </c>
      <c r="J52" s="253" t="s">
        <v>582</v>
      </c>
      <c r="K52" s="148"/>
    </row>
    <row r="53" spans="2:11" ht="45" outlineLevel="1" x14ac:dyDescent="0.25">
      <c r="B53" s="149" t="s">
        <v>46</v>
      </c>
      <c r="C53" s="149" t="s">
        <v>368</v>
      </c>
      <c r="D53" s="149">
        <v>423</v>
      </c>
      <c r="E53" s="150" t="s">
        <v>696</v>
      </c>
      <c r="F53" s="151">
        <v>33</v>
      </c>
      <c r="G53" s="152" t="s">
        <v>872</v>
      </c>
      <c r="H53" s="151">
        <v>4340.5762964601772</v>
      </c>
      <c r="I53" s="151">
        <v>0</v>
      </c>
      <c r="J53" s="253" t="s">
        <v>583</v>
      </c>
      <c r="K53" s="148"/>
    </row>
    <row r="54" spans="2:11" ht="30" outlineLevel="1" x14ac:dyDescent="0.25">
      <c r="B54" s="149" t="s">
        <v>46</v>
      </c>
      <c r="C54" s="149" t="s">
        <v>368</v>
      </c>
      <c r="D54" s="149">
        <v>415</v>
      </c>
      <c r="E54" s="150" t="s">
        <v>697</v>
      </c>
      <c r="F54" s="151">
        <v>48</v>
      </c>
      <c r="G54" s="152" t="s">
        <v>872</v>
      </c>
      <c r="H54" s="151">
        <v>7056.8976283185839</v>
      </c>
      <c r="I54" s="151">
        <v>0</v>
      </c>
      <c r="J54" s="253" t="s">
        <v>584</v>
      </c>
      <c r="K54" s="148"/>
    </row>
    <row r="55" spans="2:11" ht="30" outlineLevel="1" x14ac:dyDescent="0.25">
      <c r="B55" s="149" t="s">
        <v>46</v>
      </c>
      <c r="C55" s="149" t="s">
        <v>368</v>
      </c>
      <c r="D55" s="149">
        <v>413</v>
      </c>
      <c r="E55" s="150" t="s">
        <v>698</v>
      </c>
      <c r="F55" s="151">
        <v>2000</v>
      </c>
      <c r="G55" s="152" t="s">
        <v>873</v>
      </c>
      <c r="H55" s="151">
        <v>16017.037050147494</v>
      </c>
      <c r="I55" s="151">
        <v>0</v>
      </c>
      <c r="J55" s="253" t="s">
        <v>585</v>
      </c>
      <c r="K55" s="148"/>
    </row>
    <row r="56" spans="2:11" ht="45" outlineLevel="1" x14ac:dyDescent="0.25">
      <c r="B56" s="149" t="s">
        <v>46</v>
      </c>
      <c r="C56" s="149" t="s">
        <v>368</v>
      </c>
      <c r="D56" s="149">
        <v>417</v>
      </c>
      <c r="E56" s="150" t="s">
        <v>699</v>
      </c>
      <c r="F56" s="151">
        <v>1500</v>
      </c>
      <c r="G56" s="152" t="s">
        <v>873</v>
      </c>
      <c r="H56" s="151">
        <v>24805.390597345133</v>
      </c>
      <c r="I56" s="151">
        <v>0</v>
      </c>
      <c r="J56" s="253" t="s">
        <v>586</v>
      </c>
      <c r="K56" s="148"/>
    </row>
    <row r="57" spans="2:11" ht="30" outlineLevel="1" x14ac:dyDescent="0.25">
      <c r="B57" s="149" t="s">
        <v>46</v>
      </c>
      <c r="C57" s="149" t="s">
        <v>373</v>
      </c>
      <c r="D57" s="149">
        <v>310</v>
      </c>
      <c r="E57" s="150" t="s">
        <v>700</v>
      </c>
      <c r="F57" s="151">
        <v>8</v>
      </c>
      <c r="G57" s="152" t="s">
        <v>872</v>
      </c>
      <c r="H57" s="151">
        <v>30972.171091445427</v>
      </c>
      <c r="I57" s="151">
        <v>0</v>
      </c>
      <c r="J57" s="253" t="s">
        <v>587</v>
      </c>
      <c r="K57" s="148"/>
    </row>
    <row r="58" spans="2:11" ht="75" outlineLevel="1" x14ac:dyDescent="0.25">
      <c r="B58" s="149" t="s">
        <v>46</v>
      </c>
      <c r="C58" s="149" t="s">
        <v>378</v>
      </c>
      <c r="D58" s="149">
        <v>478</v>
      </c>
      <c r="E58" s="150" t="s">
        <v>701</v>
      </c>
      <c r="F58" s="151">
        <v>1</v>
      </c>
      <c r="G58" s="152" t="s">
        <v>872</v>
      </c>
      <c r="H58" s="151">
        <v>67724.512551342181</v>
      </c>
      <c r="I58" s="151">
        <v>0</v>
      </c>
      <c r="J58" s="253" t="s">
        <v>884</v>
      </c>
      <c r="K58" s="148"/>
    </row>
    <row r="59" spans="2:11" outlineLevel="1" x14ac:dyDescent="0.25">
      <c r="B59" s="149" t="s">
        <v>46</v>
      </c>
      <c r="C59" s="149" t="s">
        <v>378</v>
      </c>
      <c r="D59" s="149">
        <v>419</v>
      </c>
      <c r="E59" s="150" t="s">
        <v>702</v>
      </c>
      <c r="F59" s="151">
        <v>2</v>
      </c>
      <c r="G59" s="152" t="s">
        <v>872</v>
      </c>
      <c r="H59" s="151">
        <v>21503.535929203539</v>
      </c>
      <c r="I59" s="151">
        <v>0</v>
      </c>
      <c r="J59" s="253" t="s">
        <v>549</v>
      </c>
      <c r="K59" s="148"/>
    </row>
    <row r="60" spans="2:11" ht="45" outlineLevel="1" x14ac:dyDescent="0.25">
      <c r="B60" s="149" t="s">
        <v>46</v>
      </c>
      <c r="C60" s="149" t="s">
        <v>378</v>
      </c>
      <c r="D60" s="149">
        <v>428</v>
      </c>
      <c r="E60" s="150" t="s">
        <v>703</v>
      </c>
      <c r="F60" s="151">
        <v>33</v>
      </c>
      <c r="G60" s="152" t="s">
        <v>872</v>
      </c>
      <c r="H60" s="151">
        <v>8266.4503413274342</v>
      </c>
      <c r="I60" s="151">
        <v>0</v>
      </c>
      <c r="J60" s="253" t="s">
        <v>588</v>
      </c>
      <c r="K60" s="148"/>
    </row>
    <row r="61" spans="2:11" outlineLevel="1" x14ac:dyDescent="0.25">
      <c r="B61" s="149" t="s">
        <v>46</v>
      </c>
      <c r="C61" s="149" t="s">
        <v>378</v>
      </c>
      <c r="D61" s="149">
        <v>472</v>
      </c>
      <c r="E61" s="150" t="s">
        <v>704</v>
      </c>
      <c r="F61" s="151">
        <v>12</v>
      </c>
      <c r="G61" s="152" t="s">
        <v>872</v>
      </c>
      <c r="H61" s="151">
        <v>1592.8545132743363</v>
      </c>
      <c r="I61" s="151">
        <v>0</v>
      </c>
      <c r="J61" s="253" t="s">
        <v>589</v>
      </c>
      <c r="K61" s="148"/>
    </row>
    <row r="62" spans="2:11" outlineLevel="1" x14ac:dyDescent="0.25">
      <c r="B62" s="149" t="s">
        <v>46</v>
      </c>
      <c r="C62" s="149" t="s">
        <v>378</v>
      </c>
      <c r="D62" s="149">
        <v>445</v>
      </c>
      <c r="E62" s="150" t="s">
        <v>705</v>
      </c>
      <c r="F62" s="151">
        <v>1</v>
      </c>
      <c r="G62" s="152" t="s">
        <v>870</v>
      </c>
      <c r="H62" s="151">
        <v>609143.34</v>
      </c>
      <c r="I62" s="151">
        <v>0</v>
      </c>
      <c r="J62" s="253" t="s">
        <v>562</v>
      </c>
      <c r="K62" s="148"/>
    </row>
    <row r="63" spans="2:11" outlineLevel="1" x14ac:dyDescent="0.25">
      <c r="B63" s="149" t="s">
        <v>46</v>
      </c>
      <c r="C63" s="149" t="s">
        <v>378</v>
      </c>
      <c r="D63" s="149">
        <v>320</v>
      </c>
      <c r="E63" s="150" t="s">
        <v>706</v>
      </c>
      <c r="F63" s="151">
        <v>8</v>
      </c>
      <c r="G63" s="152" t="s">
        <v>872</v>
      </c>
      <c r="H63" s="151">
        <v>21238.060176991152</v>
      </c>
      <c r="I63" s="151">
        <v>0</v>
      </c>
      <c r="J63" s="253" t="s">
        <v>549</v>
      </c>
      <c r="K63" s="148"/>
    </row>
    <row r="64" spans="2:11" ht="30" outlineLevel="1" x14ac:dyDescent="0.25">
      <c r="B64" s="149" t="s">
        <v>46</v>
      </c>
      <c r="C64" s="149" t="s">
        <v>235</v>
      </c>
      <c r="D64" s="149">
        <v>470</v>
      </c>
      <c r="E64" s="150" t="s">
        <v>707</v>
      </c>
      <c r="F64" s="151">
        <v>250</v>
      </c>
      <c r="G64" s="152" t="s">
        <v>873</v>
      </c>
      <c r="H64" s="151">
        <v>580.72820796460178</v>
      </c>
      <c r="I64" s="151">
        <v>0</v>
      </c>
      <c r="J64" s="253" t="s">
        <v>590</v>
      </c>
      <c r="K64" s="148"/>
    </row>
    <row r="65" spans="2:11" outlineLevel="1" x14ac:dyDescent="0.25">
      <c r="B65" s="149" t="s">
        <v>46</v>
      </c>
      <c r="C65" s="149" t="s">
        <v>387</v>
      </c>
      <c r="D65" s="149">
        <v>334</v>
      </c>
      <c r="E65" s="150" t="s">
        <v>708</v>
      </c>
      <c r="F65" s="151">
        <v>4</v>
      </c>
      <c r="G65" s="152" t="s">
        <v>872</v>
      </c>
      <c r="H65" s="151">
        <v>152648.55752212391</v>
      </c>
      <c r="I65" s="151">
        <v>0</v>
      </c>
      <c r="J65" s="253" t="s">
        <v>549</v>
      </c>
      <c r="K65" s="148"/>
    </row>
    <row r="66" spans="2:11" ht="75" outlineLevel="1" x14ac:dyDescent="0.25">
      <c r="B66" s="149" t="s">
        <v>46</v>
      </c>
      <c r="C66" s="149" t="s">
        <v>387</v>
      </c>
      <c r="D66" s="149">
        <v>482</v>
      </c>
      <c r="E66" s="150" t="s">
        <v>709</v>
      </c>
      <c r="F66" s="151">
        <v>1</v>
      </c>
      <c r="G66" s="152" t="s">
        <v>870</v>
      </c>
      <c r="H66" s="151">
        <v>1545013.5704277286</v>
      </c>
      <c r="I66" s="151">
        <v>0</v>
      </c>
      <c r="J66" s="253" t="s">
        <v>883</v>
      </c>
      <c r="K66" s="148"/>
    </row>
    <row r="67" spans="2:11" outlineLevel="1" x14ac:dyDescent="0.25">
      <c r="B67" s="149" t="s">
        <v>46</v>
      </c>
      <c r="C67" s="149" t="s">
        <v>388</v>
      </c>
      <c r="D67" s="149">
        <v>298</v>
      </c>
      <c r="E67" s="150" t="s">
        <v>710</v>
      </c>
      <c r="F67" s="151">
        <v>10000</v>
      </c>
      <c r="G67" s="152" t="s">
        <v>873</v>
      </c>
      <c r="H67" s="151">
        <v>19578.836725663718</v>
      </c>
      <c r="I67" s="151">
        <v>0</v>
      </c>
      <c r="J67" s="253" t="s">
        <v>591</v>
      </c>
      <c r="K67" s="148"/>
    </row>
    <row r="68" spans="2:11" ht="75" outlineLevel="1" x14ac:dyDescent="0.25">
      <c r="B68" s="149" t="s">
        <v>46</v>
      </c>
      <c r="C68" s="149" t="s">
        <v>392</v>
      </c>
      <c r="D68" s="149">
        <v>476</v>
      </c>
      <c r="E68" s="150" t="s">
        <v>711</v>
      </c>
      <c r="F68" s="151">
        <v>1</v>
      </c>
      <c r="G68" s="152" t="s">
        <v>872</v>
      </c>
      <c r="H68" s="151">
        <v>263177.17465781712</v>
      </c>
      <c r="I68" s="151">
        <v>0</v>
      </c>
      <c r="J68" s="253" t="s">
        <v>882</v>
      </c>
      <c r="K68" s="148"/>
    </row>
    <row r="69" spans="2:11" outlineLevel="1" x14ac:dyDescent="0.25">
      <c r="B69" s="149" t="s">
        <v>46</v>
      </c>
      <c r="C69" s="149" t="s">
        <v>396</v>
      </c>
      <c r="D69" s="149">
        <v>393</v>
      </c>
      <c r="E69" s="150" t="s">
        <v>712</v>
      </c>
      <c r="F69" s="151">
        <v>480</v>
      </c>
      <c r="G69" s="152" t="s">
        <v>873</v>
      </c>
      <c r="H69" s="151">
        <v>14174.812313628317</v>
      </c>
      <c r="I69" s="151">
        <v>0</v>
      </c>
      <c r="J69" s="253" t="s">
        <v>592</v>
      </c>
      <c r="K69" s="148"/>
    </row>
    <row r="70" spans="2:11" outlineLevel="1" x14ac:dyDescent="0.25">
      <c r="B70" s="149" t="s">
        <v>46</v>
      </c>
      <c r="C70" s="149" t="s">
        <v>396</v>
      </c>
      <c r="D70" s="149">
        <v>395</v>
      </c>
      <c r="E70" s="150" t="s">
        <v>713</v>
      </c>
      <c r="F70" s="151">
        <v>24</v>
      </c>
      <c r="G70" s="152" t="s">
        <v>872</v>
      </c>
      <c r="H70" s="151">
        <v>22007.93985840708</v>
      </c>
      <c r="I70" s="151">
        <v>0</v>
      </c>
      <c r="J70" s="253" t="s">
        <v>593</v>
      </c>
      <c r="K70" s="148"/>
    </row>
    <row r="71" spans="2:11" ht="30" outlineLevel="1" x14ac:dyDescent="0.25">
      <c r="B71" s="149" t="s">
        <v>46</v>
      </c>
      <c r="C71" s="149" t="s">
        <v>396</v>
      </c>
      <c r="D71" s="149">
        <v>432</v>
      </c>
      <c r="E71" s="150" t="s">
        <v>714</v>
      </c>
      <c r="F71" s="151">
        <v>1</v>
      </c>
      <c r="G71" s="152" t="s">
        <v>870</v>
      </c>
      <c r="H71" s="151">
        <v>13119866.98178466</v>
      </c>
      <c r="I71" s="151">
        <v>0</v>
      </c>
      <c r="J71" s="253" t="s">
        <v>594</v>
      </c>
      <c r="K71" s="148"/>
    </row>
    <row r="72" spans="2:11" ht="75" outlineLevel="1" x14ac:dyDescent="0.25">
      <c r="B72" s="149" t="s">
        <v>46</v>
      </c>
      <c r="C72" s="149" t="s">
        <v>399</v>
      </c>
      <c r="D72" s="149">
        <v>260</v>
      </c>
      <c r="E72" s="150" t="s">
        <v>715</v>
      </c>
      <c r="F72" s="151">
        <v>4400</v>
      </c>
      <c r="G72" s="152" t="s">
        <v>873</v>
      </c>
      <c r="H72" s="151">
        <v>25600.71170501475</v>
      </c>
      <c r="I72" s="151">
        <v>0</v>
      </c>
      <c r="J72" s="253" t="s">
        <v>595</v>
      </c>
      <c r="K72" s="148"/>
    </row>
    <row r="73" spans="2:11" ht="30" outlineLevel="1" x14ac:dyDescent="0.25">
      <c r="B73" s="149" t="s">
        <v>46</v>
      </c>
      <c r="C73" s="149" t="s">
        <v>399</v>
      </c>
      <c r="D73" s="149">
        <v>268</v>
      </c>
      <c r="E73" s="150" t="s">
        <v>716</v>
      </c>
      <c r="F73" s="151">
        <v>25</v>
      </c>
      <c r="G73" s="152" t="s">
        <v>872</v>
      </c>
      <c r="H73" s="151">
        <v>774.30427728613563</v>
      </c>
      <c r="I73" s="151">
        <v>0</v>
      </c>
      <c r="J73" s="253" t="s">
        <v>549</v>
      </c>
      <c r="K73" s="148"/>
    </row>
    <row r="74" spans="2:11" ht="30" outlineLevel="1" x14ac:dyDescent="0.25">
      <c r="B74" s="149" t="s">
        <v>46</v>
      </c>
      <c r="C74" s="149" t="s">
        <v>399</v>
      </c>
      <c r="D74" s="149">
        <v>266</v>
      </c>
      <c r="E74" s="150" t="s">
        <v>717</v>
      </c>
      <c r="F74" s="151">
        <v>50</v>
      </c>
      <c r="G74" s="152" t="s">
        <v>872</v>
      </c>
      <c r="H74" s="151">
        <v>1216.7638643067849</v>
      </c>
      <c r="I74" s="151">
        <v>0</v>
      </c>
      <c r="J74" s="253" t="s">
        <v>549</v>
      </c>
      <c r="K74" s="148"/>
    </row>
    <row r="75" spans="2:11" ht="30" outlineLevel="1" x14ac:dyDescent="0.25">
      <c r="B75" s="149" t="s">
        <v>46</v>
      </c>
      <c r="C75" s="149" t="s">
        <v>399</v>
      </c>
      <c r="D75" s="149">
        <v>264</v>
      </c>
      <c r="E75" s="150" t="s">
        <v>718</v>
      </c>
      <c r="F75" s="151">
        <v>100</v>
      </c>
      <c r="G75" s="152" t="s">
        <v>872</v>
      </c>
      <c r="H75" s="151">
        <v>2654.757522123894</v>
      </c>
      <c r="I75" s="151">
        <v>0</v>
      </c>
      <c r="J75" s="253" t="s">
        <v>549</v>
      </c>
      <c r="K75" s="148"/>
    </row>
    <row r="76" spans="2:11" ht="30" outlineLevel="1" x14ac:dyDescent="0.25">
      <c r="B76" s="149" t="s">
        <v>46</v>
      </c>
      <c r="C76" s="149" t="s">
        <v>399</v>
      </c>
      <c r="D76" s="149">
        <v>262</v>
      </c>
      <c r="E76" s="150" t="s">
        <v>719</v>
      </c>
      <c r="F76" s="151">
        <v>100</v>
      </c>
      <c r="G76" s="152" t="s">
        <v>872</v>
      </c>
      <c r="H76" s="151">
        <v>2322.9128318584071</v>
      </c>
      <c r="I76" s="151">
        <v>0</v>
      </c>
      <c r="J76" s="253" t="s">
        <v>596</v>
      </c>
      <c r="K76" s="148"/>
    </row>
    <row r="77" spans="2:11" ht="150" outlineLevel="1" x14ac:dyDescent="0.25">
      <c r="B77" s="149" t="s">
        <v>46</v>
      </c>
      <c r="C77" s="149" t="s">
        <v>399</v>
      </c>
      <c r="D77" s="149">
        <v>474</v>
      </c>
      <c r="E77" s="150" t="s">
        <v>720</v>
      </c>
      <c r="F77" s="151">
        <v>1</v>
      </c>
      <c r="G77" s="152" t="s">
        <v>870</v>
      </c>
      <c r="H77" s="151">
        <v>116145.64159292035</v>
      </c>
      <c r="I77" s="151">
        <v>0</v>
      </c>
      <c r="J77" s="253" t="s">
        <v>881</v>
      </c>
      <c r="K77" s="148"/>
    </row>
    <row r="78" spans="2:11" outlineLevel="1" x14ac:dyDescent="0.25">
      <c r="B78" s="149" t="s">
        <v>47</v>
      </c>
      <c r="C78" s="149" t="s">
        <v>401</v>
      </c>
      <c r="D78" s="149">
        <v>481</v>
      </c>
      <c r="E78" s="150" t="s">
        <v>721</v>
      </c>
      <c r="F78" s="151">
        <v>1</v>
      </c>
      <c r="G78" s="152" t="s">
        <v>870</v>
      </c>
      <c r="H78" s="151">
        <v>45091.772188000003</v>
      </c>
      <c r="I78" s="151">
        <v>0</v>
      </c>
      <c r="J78" s="253" t="s">
        <v>549</v>
      </c>
      <c r="K78" s="148"/>
    </row>
    <row r="79" spans="2:11" ht="75" outlineLevel="1" x14ac:dyDescent="0.25">
      <c r="B79" s="149" t="s">
        <v>47</v>
      </c>
      <c r="C79" s="149" t="s">
        <v>401</v>
      </c>
      <c r="D79" s="149">
        <v>480</v>
      </c>
      <c r="E79" s="150" t="s">
        <v>722</v>
      </c>
      <c r="F79" s="151">
        <v>1</v>
      </c>
      <c r="G79" s="152" t="s">
        <v>870</v>
      </c>
      <c r="H79" s="151">
        <v>86952.137199999997</v>
      </c>
      <c r="I79" s="151">
        <v>0</v>
      </c>
      <c r="J79" s="253" t="s">
        <v>880</v>
      </c>
      <c r="K79" s="148"/>
    </row>
    <row r="80" spans="2:11" outlineLevel="1" x14ac:dyDescent="0.25">
      <c r="B80" s="149" t="s">
        <v>47</v>
      </c>
      <c r="C80" s="149" t="s">
        <v>401</v>
      </c>
      <c r="D80" s="149">
        <v>288</v>
      </c>
      <c r="E80" s="150" t="s">
        <v>723</v>
      </c>
      <c r="F80" s="151">
        <v>760</v>
      </c>
      <c r="G80" s="152" t="s">
        <v>873</v>
      </c>
      <c r="H80" s="151">
        <v>44934.468000000001</v>
      </c>
      <c r="I80" s="151">
        <v>0</v>
      </c>
      <c r="J80" s="253" t="s">
        <v>597</v>
      </c>
      <c r="K80" s="148"/>
    </row>
    <row r="81" spans="2:11" outlineLevel="1" x14ac:dyDescent="0.25">
      <c r="B81" s="149" t="s">
        <v>47</v>
      </c>
      <c r="C81" s="149" t="s">
        <v>401</v>
      </c>
      <c r="D81" s="149">
        <v>289</v>
      </c>
      <c r="E81" s="150" t="s">
        <v>724</v>
      </c>
      <c r="F81" s="151">
        <v>760</v>
      </c>
      <c r="G81" s="152" t="s">
        <v>873</v>
      </c>
      <c r="H81" s="151">
        <v>274358.28810000001</v>
      </c>
      <c r="I81" s="151">
        <v>1900</v>
      </c>
      <c r="J81" s="253" t="s">
        <v>597</v>
      </c>
      <c r="K81" s="148"/>
    </row>
    <row r="82" spans="2:11" outlineLevel="1" x14ac:dyDescent="0.25">
      <c r="B82" s="149" t="s">
        <v>47</v>
      </c>
      <c r="C82" s="149" t="s">
        <v>401</v>
      </c>
      <c r="D82" s="149">
        <v>343</v>
      </c>
      <c r="E82" s="150" t="s">
        <v>725</v>
      </c>
      <c r="F82" s="151">
        <v>24</v>
      </c>
      <c r="G82" s="152" t="s">
        <v>872</v>
      </c>
      <c r="H82" s="151">
        <v>16693.919999999998</v>
      </c>
      <c r="I82" s="151">
        <v>0</v>
      </c>
      <c r="J82" s="253" t="s">
        <v>598</v>
      </c>
      <c r="K82" s="148"/>
    </row>
    <row r="83" spans="2:11" outlineLevel="1" x14ac:dyDescent="0.25">
      <c r="B83" s="149" t="s">
        <v>47</v>
      </c>
      <c r="C83" s="149" t="s">
        <v>401</v>
      </c>
      <c r="D83" s="149">
        <v>344</v>
      </c>
      <c r="E83" s="150" t="s">
        <v>726</v>
      </c>
      <c r="F83" s="151">
        <v>24</v>
      </c>
      <c r="G83" s="152" t="s">
        <v>872</v>
      </c>
      <c r="H83" s="151">
        <v>199033.3272</v>
      </c>
      <c r="I83" s="151">
        <v>1440</v>
      </c>
      <c r="J83" s="253" t="s">
        <v>549</v>
      </c>
      <c r="K83" s="148"/>
    </row>
    <row r="84" spans="2:11" ht="30" outlineLevel="1" x14ac:dyDescent="0.25">
      <c r="B84" s="149" t="s">
        <v>47</v>
      </c>
      <c r="C84" s="149" t="s">
        <v>240</v>
      </c>
      <c r="D84" s="149">
        <v>132</v>
      </c>
      <c r="E84" s="150" t="s">
        <v>727</v>
      </c>
      <c r="F84" s="151">
        <v>32</v>
      </c>
      <c r="G84" s="152" t="s">
        <v>871</v>
      </c>
      <c r="H84" s="151">
        <v>2114.670752</v>
      </c>
      <c r="I84" s="151">
        <v>32</v>
      </c>
      <c r="J84" s="253" t="s">
        <v>599</v>
      </c>
      <c r="K84" s="148"/>
    </row>
    <row r="85" spans="2:11" outlineLevel="1" x14ac:dyDescent="0.25">
      <c r="B85" s="149" t="s">
        <v>47</v>
      </c>
      <c r="C85" s="149" t="s">
        <v>242</v>
      </c>
      <c r="D85" s="149">
        <v>0</v>
      </c>
      <c r="E85" s="150" t="s">
        <v>728</v>
      </c>
      <c r="F85" s="151">
        <v>1</v>
      </c>
      <c r="G85" s="152" t="s">
        <v>870</v>
      </c>
      <c r="H85" s="151">
        <v>179242.99730440011</v>
      </c>
      <c r="I85" s="151">
        <v>0</v>
      </c>
      <c r="J85" s="253" t="s">
        <v>549</v>
      </c>
      <c r="K85" s="148"/>
    </row>
    <row r="86" spans="2:11" outlineLevel="1" x14ac:dyDescent="0.25">
      <c r="B86" s="149" t="s">
        <v>47</v>
      </c>
      <c r="C86" s="149" t="s">
        <v>242</v>
      </c>
      <c r="D86" s="149">
        <v>0</v>
      </c>
      <c r="E86" s="150" t="s">
        <v>729</v>
      </c>
      <c r="F86" s="151">
        <v>1</v>
      </c>
      <c r="G86" s="152" t="s">
        <v>870</v>
      </c>
      <c r="H86" s="151">
        <v>179242.99730440011</v>
      </c>
      <c r="I86" s="151">
        <v>0</v>
      </c>
      <c r="J86" s="253" t="s">
        <v>549</v>
      </c>
      <c r="K86" s="148"/>
    </row>
    <row r="87" spans="2:11" outlineLevel="1" x14ac:dyDescent="0.25">
      <c r="B87" s="149" t="s">
        <v>47</v>
      </c>
      <c r="C87" s="149" t="s">
        <v>422</v>
      </c>
      <c r="D87" s="149">
        <v>342</v>
      </c>
      <c r="E87" s="150" t="s">
        <v>730</v>
      </c>
      <c r="F87" s="151">
        <v>12</v>
      </c>
      <c r="G87" s="152" t="s">
        <v>872</v>
      </c>
      <c r="H87" s="151">
        <v>137515.55544</v>
      </c>
      <c r="I87" s="151">
        <v>720</v>
      </c>
      <c r="J87" s="253" t="s">
        <v>549</v>
      </c>
      <c r="K87" s="148"/>
    </row>
    <row r="88" spans="2:11" outlineLevel="1" x14ac:dyDescent="0.25">
      <c r="B88" s="149" t="s">
        <v>47</v>
      </c>
      <c r="C88" s="149" t="s">
        <v>247</v>
      </c>
      <c r="D88" s="149">
        <v>321</v>
      </c>
      <c r="E88" s="150" t="s">
        <v>731</v>
      </c>
      <c r="F88" s="151">
        <v>8</v>
      </c>
      <c r="G88" s="152" t="s">
        <v>872</v>
      </c>
      <c r="H88" s="151">
        <v>27307.056767999999</v>
      </c>
      <c r="I88" s="151">
        <v>128</v>
      </c>
      <c r="J88" s="253" t="s">
        <v>549</v>
      </c>
      <c r="K88" s="148"/>
    </row>
    <row r="89" spans="2:11" outlineLevel="1" x14ac:dyDescent="0.25">
      <c r="B89" s="149" t="s">
        <v>47</v>
      </c>
      <c r="C89" s="149" t="s">
        <v>248</v>
      </c>
      <c r="D89" s="149">
        <v>422</v>
      </c>
      <c r="E89" s="150" t="s">
        <v>732</v>
      </c>
      <c r="F89" s="151">
        <v>1500</v>
      </c>
      <c r="G89" s="152" t="s">
        <v>873</v>
      </c>
      <c r="H89" s="151">
        <v>59181.192554999994</v>
      </c>
      <c r="I89" s="151">
        <v>315</v>
      </c>
      <c r="J89" s="253" t="s">
        <v>581</v>
      </c>
      <c r="K89" s="148"/>
    </row>
    <row r="90" spans="2:11" outlineLevel="1" x14ac:dyDescent="0.25">
      <c r="B90" s="149" t="s">
        <v>47</v>
      </c>
      <c r="C90" s="149" t="s">
        <v>248</v>
      </c>
      <c r="D90" s="149">
        <v>412</v>
      </c>
      <c r="E90" s="150" t="s">
        <v>733</v>
      </c>
      <c r="F90" s="151">
        <v>2750</v>
      </c>
      <c r="G90" s="152" t="s">
        <v>873</v>
      </c>
      <c r="H90" s="151">
        <v>108498.85832199999</v>
      </c>
      <c r="I90" s="151">
        <v>577.5</v>
      </c>
      <c r="J90" s="253" t="s">
        <v>582</v>
      </c>
      <c r="K90" s="148"/>
    </row>
    <row r="91" spans="2:11" outlineLevel="1" x14ac:dyDescent="0.25">
      <c r="B91" s="149" t="s">
        <v>47</v>
      </c>
      <c r="C91" s="149" t="s">
        <v>428</v>
      </c>
      <c r="D91" s="149">
        <v>341</v>
      </c>
      <c r="E91" s="150" t="s">
        <v>734</v>
      </c>
      <c r="F91" s="151">
        <v>12</v>
      </c>
      <c r="G91" s="152" t="s">
        <v>872</v>
      </c>
      <c r="H91" s="151">
        <v>7651.38</v>
      </c>
      <c r="I91" s="151">
        <v>0</v>
      </c>
      <c r="J91" s="253" t="s">
        <v>598</v>
      </c>
      <c r="K91" s="148"/>
    </row>
    <row r="92" spans="2:11" outlineLevel="1" x14ac:dyDescent="0.25">
      <c r="B92" s="149" t="s">
        <v>47</v>
      </c>
      <c r="C92" s="149" t="s">
        <v>251</v>
      </c>
      <c r="D92" s="149">
        <v>293</v>
      </c>
      <c r="E92" s="150" t="s">
        <v>735</v>
      </c>
      <c r="F92" s="151">
        <v>570</v>
      </c>
      <c r="G92" s="152" t="s">
        <v>874</v>
      </c>
      <c r="H92" s="151">
        <v>65015.718195000001</v>
      </c>
      <c r="I92" s="151">
        <v>285</v>
      </c>
      <c r="J92" s="253" t="s">
        <v>549</v>
      </c>
      <c r="K92" s="148"/>
    </row>
    <row r="93" spans="2:11" outlineLevel="1" x14ac:dyDescent="0.25">
      <c r="B93" s="149" t="s">
        <v>47</v>
      </c>
      <c r="C93" s="149" t="s">
        <v>251</v>
      </c>
      <c r="D93" s="149">
        <v>292</v>
      </c>
      <c r="E93" s="150" t="s">
        <v>736</v>
      </c>
      <c r="F93" s="151">
        <v>570</v>
      </c>
      <c r="G93" s="152" t="s">
        <v>874</v>
      </c>
      <c r="H93" s="151">
        <v>27753.642</v>
      </c>
      <c r="I93" s="151">
        <v>0</v>
      </c>
      <c r="J93" s="253" t="s">
        <v>549</v>
      </c>
      <c r="K93" s="148"/>
    </row>
    <row r="94" spans="2:11" outlineLevel="1" x14ac:dyDescent="0.25">
      <c r="B94" s="149" t="s">
        <v>47</v>
      </c>
      <c r="C94" s="149" t="s">
        <v>251</v>
      </c>
      <c r="D94" s="149">
        <v>283</v>
      </c>
      <c r="E94" s="150" t="s">
        <v>737</v>
      </c>
      <c r="F94" s="151">
        <v>4.25</v>
      </c>
      <c r="G94" s="152" t="s">
        <v>875</v>
      </c>
      <c r="H94" s="151">
        <v>83877.67147500001</v>
      </c>
      <c r="I94" s="151">
        <v>425</v>
      </c>
      <c r="J94" s="253" t="s">
        <v>600</v>
      </c>
      <c r="K94" s="148"/>
    </row>
    <row r="95" spans="2:11" outlineLevel="1" x14ac:dyDescent="0.25">
      <c r="B95" s="149" t="s">
        <v>47</v>
      </c>
      <c r="C95" s="149" t="s">
        <v>251</v>
      </c>
      <c r="D95" s="149">
        <v>290</v>
      </c>
      <c r="E95" s="150" t="s">
        <v>738</v>
      </c>
      <c r="F95" s="151">
        <v>2520</v>
      </c>
      <c r="G95" s="152" t="s">
        <v>874</v>
      </c>
      <c r="H95" s="151">
        <v>67371.393599999996</v>
      </c>
      <c r="I95" s="151">
        <v>0</v>
      </c>
      <c r="J95" s="253" t="s">
        <v>601</v>
      </c>
      <c r="K95" s="148"/>
    </row>
    <row r="96" spans="2:11" outlineLevel="1" x14ac:dyDescent="0.25">
      <c r="B96" s="149" t="s">
        <v>47</v>
      </c>
      <c r="C96" s="149" t="s">
        <v>251</v>
      </c>
      <c r="D96" s="149">
        <v>291</v>
      </c>
      <c r="E96" s="150" t="s">
        <v>739</v>
      </c>
      <c r="F96" s="151">
        <v>2520</v>
      </c>
      <c r="G96" s="152" t="s">
        <v>874</v>
      </c>
      <c r="H96" s="151">
        <v>388267.75763999997</v>
      </c>
      <c r="I96" s="151">
        <v>2520</v>
      </c>
      <c r="J96" s="253" t="s">
        <v>601</v>
      </c>
      <c r="K96" s="148"/>
    </row>
    <row r="97" spans="2:11" ht="30" outlineLevel="1" x14ac:dyDescent="0.25">
      <c r="B97" s="149" t="s">
        <v>47</v>
      </c>
      <c r="C97" s="149" t="s">
        <v>251</v>
      </c>
      <c r="D97" s="149">
        <v>286</v>
      </c>
      <c r="E97" s="150" t="s">
        <v>740</v>
      </c>
      <c r="F97" s="151">
        <v>4900</v>
      </c>
      <c r="G97" s="152" t="s">
        <v>876</v>
      </c>
      <c r="H97" s="151">
        <v>340834.2</v>
      </c>
      <c r="I97" s="151">
        <v>0</v>
      </c>
      <c r="J97" s="253" t="s">
        <v>602</v>
      </c>
      <c r="K97" s="148"/>
    </row>
    <row r="98" spans="2:11" ht="30" outlineLevel="1" x14ac:dyDescent="0.25">
      <c r="B98" s="149" t="s">
        <v>47</v>
      </c>
      <c r="C98" s="149" t="s">
        <v>251</v>
      </c>
      <c r="D98" s="149">
        <v>287</v>
      </c>
      <c r="E98" s="150" t="s">
        <v>741</v>
      </c>
      <c r="F98" s="151">
        <v>4900</v>
      </c>
      <c r="G98" s="152" t="s">
        <v>876</v>
      </c>
      <c r="H98" s="151">
        <v>150993.01685999997</v>
      </c>
      <c r="I98" s="151">
        <v>980</v>
      </c>
      <c r="J98" s="253" t="s">
        <v>602</v>
      </c>
      <c r="K98" s="148"/>
    </row>
    <row r="99" spans="2:11" outlineLevel="1" x14ac:dyDescent="0.25">
      <c r="B99" s="149" t="s">
        <v>47</v>
      </c>
      <c r="C99" s="149" t="s">
        <v>431</v>
      </c>
      <c r="D99" s="149">
        <v>270</v>
      </c>
      <c r="E99" s="150" t="s">
        <v>742</v>
      </c>
      <c r="F99" s="151">
        <v>800</v>
      </c>
      <c r="G99" s="152" t="s">
        <v>873</v>
      </c>
      <c r="H99" s="151">
        <v>18493.206399999999</v>
      </c>
      <c r="I99" s="151">
        <v>0</v>
      </c>
      <c r="J99" s="253" t="s">
        <v>549</v>
      </c>
      <c r="K99" s="148"/>
    </row>
    <row r="100" spans="2:11" outlineLevel="1" x14ac:dyDescent="0.25">
      <c r="B100" s="149" t="s">
        <v>47</v>
      </c>
      <c r="C100" s="149" t="s">
        <v>431</v>
      </c>
      <c r="D100" s="149">
        <v>271</v>
      </c>
      <c r="E100" s="150" t="s">
        <v>743</v>
      </c>
      <c r="F100" s="151">
        <v>800</v>
      </c>
      <c r="G100" s="152" t="s">
        <v>873</v>
      </c>
      <c r="H100" s="151">
        <v>73955.763359999997</v>
      </c>
      <c r="I100" s="151">
        <v>480</v>
      </c>
      <c r="J100" s="253" t="s">
        <v>549</v>
      </c>
      <c r="K100" s="148"/>
    </row>
    <row r="101" spans="2:11" outlineLevel="1" x14ac:dyDescent="0.25">
      <c r="B101" s="149" t="s">
        <v>47</v>
      </c>
      <c r="C101" s="149" t="s">
        <v>431</v>
      </c>
      <c r="D101" s="149">
        <v>276</v>
      </c>
      <c r="E101" s="150" t="s">
        <v>744</v>
      </c>
      <c r="F101" s="151">
        <v>3</v>
      </c>
      <c r="G101" s="152" t="s">
        <v>872</v>
      </c>
      <c r="H101" s="151">
        <v>3419.9350000000004</v>
      </c>
      <c r="I101" s="151">
        <v>0</v>
      </c>
      <c r="J101" s="253" t="s">
        <v>603</v>
      </c>
      <c r="K101" s="148"/>
    </row>
    <row r="102" spans="2:11" outlineLevel="1" x14ac:dyDescent="0.25">
      <c r="B102" s="149" t="s">
        <v>47</v>
      </c>
      <c r="C102" s="149" t="s">
        <v>431</v>
      </c>
      <c r="D102" s="149">
        <v>277</v>
      </c>
      <c r="E102" s="150" t="s">
        <v>745</v>
      </c>
      <c r="F102" s="151">
        <v>3</v>
      </c>
      <c r="G102" s="152" t="s">
        <v>872</v>
      </c>
      <c r="H102" s="151">
        <v>6779.278307999999</v>
      </c>
      <c r="I102" s="151">
        <v>44</v>
      </c>
      <c r="J102" s="253" t="s">
        <v>603</v>
      </c>
      <c r="K102" s="148"/>
    </row>
    <row r="103" spans="2:11" outlineLevel="1" x14ac:dyDescent="0.25">
      <c r="B103" s="149" t="s">
        <v>47</v>
      </c>
      <c r="C103" s="149" t="s">
        <v>431</v>
      </c>
      <c r="D103" s="149">
        <v>278</v>
      </c>
      <c r="E103" s="150" t="s">
        <v>746</v>
      </c>
      <c r="F103" s="151">
        <v>280</v>
      </c>
      <c r="G103" s="152" t="s">
        <v>873</v>
      </c>
      <c r="H103" s="151">
        <v>109066.944</v>
      </c>
      <c r="I103" s="151">
        <v>0</v>
      </c>
      <c r="J103" s="253" t="s">
        <v>549</v>
      </c>
      <c r="K103" s="148"/>
    </row>
    <row r="104" spans="2:11" outlineLevel="1" x14ac:dyDescent="0.25">
      <c r="B104" s="149" t="s">
        <v>47</v>
      </c>
      <c r="C104" s="149" t="s">
        <v>431</v>
      </c>
      <c r="D104" s="149">
        <v>279</v>
      </c>
      <c r="E104" s="150" t="s">
        <v>747</v>
      </c>
      <c r="F104" s="151">
        <v>280</v>
      </c>
      <c r="G104" s="152" t="s">
        <v>873</v>
      </c>
      <c r="H104" s="151">
        <v>361286.52448000002</v>
      </c>
      <c r="I104" s="151">
        <v>2240</v>
      </c>
      <c r="J104" s="253" t="s">
        <v>549</v>
      </c>
      <c r="K104" s="148"/>
    </row>
    <row r="105" spans="2:11" outlineLevel="1" x14ac:dyDescent="0.25">
      <c r="B105" s="149" t="s">
        <v>47</v>
      </c>
      <c r="C105" s="149" t="s">
        <v>252</v>
      </c>
      <c r="D105" s="149">
        <v>336</v>
      </c>
      <c r="E105" s="150" t="s">
        <v>748</v>
      </c>
      <c r="F105" s="151">
        <v>4</v>
      </c>
      <c r="G105" s="152" t="s">
        <v>872</v>
      </c>
      <c r="H105" s="151">
        <v>10864.9596</v>
      </c>
      <c r="I105" s="151">
        <v>0</v>
      </c>
      <c r="J105" s="253" t="s">
        <v>604</v>
      </c>
      <c r="K105" s="148"/>
    </row>
    <row r="106" spans="2:11" outlineLevel="1" x14ac:dyDescent="0.25">
      <c r="B106" s="149" t="s">
        <v>47</v>
      </c>
      <c r="C106" s="149" t="s">
        <v>252</v>
      </c>
      <c r="D106" s="149">
        <v>337</v>
      </c>
      <c r="E106" s="150" t="s">
        <v>749</v>
      </c>
      <c r="F106" s="151">
        <v>4</v>
      </c>
      <c r="G106" s="152" t="s">
        <v>872</v>
      </c>
      <c r="H106" s="151">
        <v>45852.575405000003</v>
      </c>
      <c r="I106" s="151">
        <v>297.60000000000002</v>
      </c>
      <c r="J106" s="253" t="s">
        <v>604</v>
      </c>
      <c r="K106" s="148"/>
    </row>
    <row r="107" spans="2:11" ht="30" outlineLevel="1" x14ac:dyDescent="0.25">
      <c r="B107" s="149" t="s">
        <v>47</v>
      </c>
      <c r="C107" s="149" t="s">
        <v>252</v>
      </c>
      <c r="D107" s="149">
        <v>430</v>
      </c>
      <c r="E107" s="150" t="s">
        <v>750</v>
      </c>
      <c r="F107" s="151">
        <v>12</v>
      </c>
      <c r="G107" s="152" t="s">
        <v>872</v>
      </c>
      <c r="H107" s="151">
        <v>109331.2644</v>
      </c>
      <c r="I107" s="151">
        <v>0</v>
      </c>
      <c r="J107" s="253" t="s">
        <v>549</v>
      </c>
      <c r="K107" s="148"/>
    </row>
    <row r="108" spans="2:11" ht="30" outlineLevel="1" x14ac:dyDescent="0.25">
      <c r="B108" s="149" t="s">
        <v>47</v>
      </c>
      <c r="C108" s="149" t="s">
        <v>252</v>
      </c>
      <c r="D108" s="149">
        <v>431</v>
      </c>
      <c r="E108" s="150" t="s">
        <v>751</v>
      </c>
      <c r="F108" s="151">
        <v>12</v>
      </c>
      <c r="G108" s="152" t="s">
        <v>872</v>
      </c>
      <c r="H108" s="151">
        <v>231111.76049999997</v>
      </c>
      <c r="I108" s="151">
        <v>1500</v>
      </c>
      <c r="J108" s="253" t="s">
        <v>549</v>
      </c>
      <c r="K108" s="148"/>
    </row>
    <row r="109" spans="2:11" outlineLevel="1" x14ac:dyDescent="0.25">
      <c r="B109" s="149" t="s">
        <v>47</v>
      </c>
      <c r="C109" s="149" t="s">
        <v>252</v>
      </c>
      <c r="D109" s="149">
        <v>388</v>
      </c>
      <c r="E109" s="150" t="s">
        <v>752</v>
      </c>
      <c r="F109" s="151">
        <v>1</v>
      </c>
      <c r="G109" s="152" t="s">
        <v>872</v>
      </c>
      <c r="H109" s="151">
        <v>14174.854643999999</v>
      </c>
      <c r="I109" s="151">
        <v>92</v>
      </c>
      <c r="J109" s="253" t="s">
        <v>605</v>
      </c>
      <c r="K109" s="148"/>
    </row>
    <row r="110" spans="2:11" outlineLevel="1" x14ac:dyDescent="0.25">
      <c r="B110" s="149" t="s">
        <v>47</v>
      </c>
      <c r="C110" s="149" t="s">
        <v>252</v>
      </c>
      <c r="D110" s="149">
        <v>387</v>
      </c>
      <c r="E110" s="150" t="s">
        <v>753</v>
      </c>
      <c r="F110" s="151">
        <v>1</v>
      </c>
      <c r="G110" s="152" t="s">
        <v>872</v>
      </c>
      <c r="H110" s="151">
        <v>3593.83</v>
      </c>
      <c r="I110" s="151">
        <v>0</v>
      </c>
      <c r="J110" s="253" t="s">
        <v>605</v>
      </c>
      <c r="K110" s="148"/>
    </row>
    <row r="111" spans="2:11" outlineLevel="1" x14ac:dyDescent="0.25">
      <c r="B111" s="149" t="s">
        <v>47</v>
      </c>
      <c r="C111" s="149" t="s">
        <v>252</v>
      </c>
      <c r="D111" s="149">
        <v>391</v>
      </c>
      <c r="E111" s="150" t="s">
        <v>754</v>
      </c>
      <c r="F111" s="151">
        <v>4</v>
      </c>
      <c r="G111" s="152" t="s">
        <v>872</v>
      </c>
      <c r="H111" s="151">
        <v>5564.64</v>
      </c>
      <c r="I111" s="151">
        <v>0</v>
      </c>
      <c r="J111" s="253" t="s">
        <v>606</v>
      </c>
      <c r="K111" s="148"/>
    </row>
    <row r="112" spans="2:11" outlineLevel="1" x14ac:dyDescent="0.25">
      <c r="B112" s="149" t="s">
        <v>47</v>
      </c>
      <c r="C112" s="149" t="s">
        <v>252</v>
      </c>
      <c r="D112" s="149">
        <v>392</v>
      </c>
      <c r="E112" s="150" t="s">
        <v>755</v>
      </c>
      <c r="F112" s="151">
        <v>4</v>
      </c>
      <c r="G112" s="152" t="s">
        <v>872</v>
      </c>
      <c r="H112" s="151">
        <v>14791.152672</v>
      </c>
      <c r="I112" s="151">
        <v>96</v>
      </c>
      <c r="J112" s="253" t="s">
        <v>606</v>
      </c>
      <c r="K112" s="148"/>
    </row>
    <row r="113" spans="2:11" outlineLevel="1" x14ac:dyDescent="0.25">
      <c r="B113" s="149" t="s">
        <v>47</v>
      </c>
      <c r="C113" s="149" t="s">
        <v>252</v>
      </c>
      <c r="D113" s="149">
        <v>313</v>
      </c>
      <c r="E113" s="150" t="s">
        <v>756</v>
      </c>
      <c r="F113" s="151">
        <v>4</v>
      </c>
      <c r="G113" s="152" t="s">
        <v>872</v>
      </c>
      <c r="H113" s="151">
        <v>7395.5763360000001</v>
      </c>
      <c r="I113" s="151">
        <v>48</v>
      </c>
      <c r="J113" s="253" t="s">
        <v>549</v>
      </c>
      <c r="K113" s="148"/>
    </row>
    <row r="114" spans="2:11" outlineLevel="1" x14ac:dyDescent="0.25">
      <c r="B114" s="149" t="s">
        <v>47</v>
      </c>
      <c r="C114" s="149" t="s">
        <v>252</v>
      </c>
      <c r="D114" s="149">
        <v>312</v>
      </c>
      <c r="E114" s="150" t="s">
        <v>757</v>
      </c>
      <c r="F114" s="151">
        <v>4</v>
      </c>
      <c r="G114" s="152" t="s">
        <v>872</v>
      </c>
      <c r="H114" s="151">
        <v>11210.66286</v>
      </c>
      <c r="I114" s="151">
        <v>0</v>
      </c>
      <c r="J114" s="253" t="s">
        <v>549</v>
      </c>
      <c r="K114" s="148"/>
    </row>
    <row r="115" spans="2:11" outlineLevel="1" x14ac:dyDescent="0.25">
      <c r="B115" s="149" t="s">
        <v>47</v>
      </c>
      <c r="C115" s="149" t="s">
        <v>252</v>
      </c>
      <c r="D115" s="149">
        <v>324</v>
      </c>
      <c r="E115" s="150" t="s">
        <v>758</v>
      </c>
      <c r="F115" s="151">
        <v>3</v>
      </c>
      <c r="G115" s="152" t="s">
        <v>872</v>
      </c>
      <c r="H115" s="151">
        <v>5765.836515</v>
      </c>
      <c r="I115" s="151">
        <v>0</v>
      </c>
      <c r="J115" s="253" t="s">
        <v>577</v>
      </c>
      <c r="K115" s="148"/>
    </row>
    <row r="116" spans="2:11" outlineLevel="1" x14ac:dyDescent="0.25">
      <c r="B116" s="149" t="s">
        <v>47</v>
      </c>
      <c r="C116" s="149" t="s">
        <v>252</v>
      </c>
      <c r="D116" s="149">
        <v>325</v>
      </c>
      <c r="E116" s="150" t="s">
        <v>759</v>
      </c>
      <c r="F116" s="151">
        <v>3</v>
      </c>
      <c r="G116" s="152" t="s">
        <v>872</v>
      </c>
      <c r="H116" s="151">
        <v>4622.2352099999998</v>
      </c>
      <c r="I116" s="151">
        <v>30</v>
      </c>
      <c r="J116" s="253" t="s">
        <v>549</v>
      </c>
      <c r="K116" s="148"/>
    </row>
    <row r="117" spans="2:11" outlineLevel="1" x14ac:dyDescent="0.25">
      <c r="B117" s="149" t="s">
        <v>47</v>
      </c>
      <c r="C117" s="149" t="s">
        <v>253</v>
      </c>
      <c r="D117" s="149">
        <v>469</v>
      </c>
      <c r="E117" s="150" t="s">
        <v>760</v>
      </c>
      <c r="F117" s="151">
        <v>3</v>
      </c>
      <c r="G117" s="152" t="s">
        <v>872</v>
      </c>
      <c r="H117" s="151">
        <v>15088.862430000001</v>
      </c>
      <c r="I117" s="151">
        <v>90</v>
      </c>
      <c r="J117" s="253" t="s">
        <v>577</v>
      </c>
      <c r="K117" s="148"/>
    </row>
    <row r="118" spans="2:11" ht="45" outlineLevel="1" x14ac:dyDescent="0.25">
      <c r="B118" s="149" t="s">
        <v>47</v>
      </c>
      <c r="C118" s="149" t="s">
        <v>255</v>
      </c>
      <c r="D118" s="149">
        <v>303</v>
      </c>
      <c r="E118" s="150" t="s">
        <v>761</v>
      </c>
      <c r="F118" s="151">
        <v>4</v>
      </c>
      <c r="G118" s="152" t="s">
        <v>872</v>
      </c>
      <c r="H118" s="151">
        <v>169250.89367999998</v>
      </c>
      <c r="I118" s="151">
        <v>880</v>
      </c>
      <c r="J118" s="253" t="s">
        <v>578</v>
      </c>
      <c r="K118" s="148"/>
    </row>
    <row r="119" spans="2:11" ht="30" outlineLevel="1" x14ac:dyDescent="0.25">
      <c r="B119" s="149" t="s">
        <v>47</v>
      </c>
      <c r="C119" s="149" t="s">
        <v>434</v>
      </c>
      <c r="D119" s="149">
        <v>323</v>
      </c>
      <c r="E119" s="150" t="s">
        <v>762</v>
      </c>
      <c r="F119" s="151">
        <v>1</v>
      </c>
      <c r="G119" s="152" t="s">
        <v>872</v>
      </c>
      <c r="H119" s="151">
        <v>3077.2889759999998</v>
      </c>
      <c r="I119" s="151">
        <v>16</v>
      </c>
      <c r="J119" s="253" t="s">
        <v>549</v>
      </c>
      <c r="K119" s="148"/>
    </row>
    <row r="120" spans="2:11" ht="30" outlineLevel="1" x14ac:dyDescent="0.25">
      <c r="B120" s="149" t="s">
        <v>47</v>
      </c>
      <c r="C120" s="149" t="s">
        <v>434</v>
      </c>
      <c r="D120" s="149">
        <v>311</v>
      </c>
      <c r="E120" s="150" t="s">
        <v>763</v>
      </c>
      <c r="F120" s="151">
        <v>8</v>
      </c>
      <c r="G120" s="152" t="s">
        <v>872</v>
      </c>
      <c r="H120" s="151">
        <v>207526.46823999999</v>
      </c>
      <c r="I120" s="151">
        <v>1040</v>
      </c>
      <c r="J120" s="253" t="s">
        <v>549</v>
      </c>
      <c r="K120" s="148"/>
    </row>
    <row r="121" spans="2:11" ht="30" outlineLevel="1" x14ac:dyDescent="0.25">
      <c r="B121" s="149" t="s">
        <v>47</v>
      </c>
      <c r="C121" s="149" t="s">
        <v>435</v>
      </c>
      <c r="D121" s="149">
        <v>327</v>
      </c>
      <c r="E121" s="150" t="s">
        <v>764</v>
      </c>
      <c r="F121" s="151">
        <v>2</v>
      </c>
      <c r="G121" s="152" t="s">
        <v>872</v>
      </c>
      <c r="H121" s="151">
        <v>13847.800391999999</v>
      </c>
      <c r="I121" s="151">
        <v>72</v>
      </c>
      <c r="J121" s="253" t="s">
        <v>607</v>
      </c>
      <c r="K121" s="148"/>
    </row>
    <row r="122" spans="2:11" ht="30" outlineLevel="1" x14ac:dyDescent="0.25">
      <c r="B122" s="149" t="s">
        <v>47</v>
      </c>
      <c r="C122" s="149" t="s">
        <v>435</v>
      </c>
      <c r="D122" s="149">
        <v>329</v>
      </c>
      <c r="E122" s="150" t="s">
        <v>765</v>
      </c>
      <c r="F122" s="151">
        <v>1</v>
      </c>
      <c r="G122" s="152" t="s">
        <v>872</v>
      </c>
      <c r="H122" s="151">
        <v>3461.9500979999998</v>
      </c>
      <c r="I122" s="151">
        <v>18</v>
      </c>
      <c r="J122" s="253" t="s">
        <v>607</v>
      </c>
      <c r="K122" s="148"/>
    </row>
    <row r="123" spans="2:11" ht="30" outlineLevel="1" x14ac:dyDescent="0.25">
      <c r="B123" s="149" t="s">
        <v>47</v>
      </c>
      <c r="C123" s="149" t="s">
        <v>435</v>
      </c>
      <c r="D123" s="149">
        <v>339</v>
      </c>
      <c r="E123" s="150" t="s">
        <v>766</v>
      </c>
      <c r="F123" s="151">
        <v>4</v>
      </c>
      <c r="G123" s="152" t="s">
        <v>872</v>
      </c>
      <c r="H123" s="151">
        <v>317168.78580000001</v>
      </c>
      <c r="I123" s="151">
        <v>1800</v>
      </c>
      <c r="J123" s="253" t="s">
        <v>549</v>
      </c>
      <c r="K123" s="148"/>
    </row>
    <row r="124" spans="2:11" outlineLevel="1" x14ac:dyDescent="0.25">
      <c r="B124" s="149" t="s">
        <v>47</v>
      </c>
      <c r="C124" s="149" t="s">
        <v>436</v>
      </c>
      <c r="D124" s="149">
        <v>403</v>
      </c>
      <c r="E124" s="150" t="s">
        <v>767</v>
      </c>
      <c r="F124" s="151">
        <v>300</v>
      </c>
      <c r="G124" s="152" t="s">
        <v>873</v>
      </c>
      <c r="H124" s="151">
        <v>3972.4573799999998</v>
      </c>
      <c r="I124" s="151">
        <v>0</v>
      </c>
      <c r="J124" s="253" t="s">
        <v>608</v>
      </c>
      <c r="K124" s="148"/>
    </row>
    <row r="125" spans="2:11" outlineLevel="1" x14ac:dyDescent="0.25">
      <c r="B125" s="149" t="s">
        <v>47</v>
      </c>
      <c r="C125" s="149" t="s">
        <v>436</v>
      </c>
      <c r="D125" s="149">
        <v>404</v>
      </c>
      <c r="E125" s="150" t="s">
        <v>768</v>
      </c>
      <c r="F125" s="151">
        <v>300</v>
      </c>
      <c r="G125" s="152" t="s">
        <v>873</v>
      </c>
      <c r="H125" s="151">
        <v>4401.7589719999996</v>
      </c>
      <c r="I125" s="151">
        <v>28.568999999999999</v>
      </c>
      <c r="J125" s="253" t="s">
        <v>608</v>
      </c>
      <c r="K125" s="148"/>
    </row>
    <row r="126" spans="2:11" outlineLevel="1" x14ac:dyDescent="0.25">
      <c r="B126" s="149" t="s">
        <v>47</v>
      </c>
      <c r="C126" s="149" t="s">
        <v>436</v>
      </c>
      <c r="D126" s="149">
        <v>397</v>
      </c>
      <c r="E126" s="150" t="s">
        <v>769</v>
      </c>
      <c r="F126" s="151">
        <v>440</v>
      </c>
      <c r="G126" s="152" t="s">
        <v>873</v>
      </c>
      <c r="H126" s="151">
        <v>22770.506879999997</v>
      </c>
      <c r="I126" s="151">
        <v>0</v>
      </c>
      <c r="J126" s="253" t="s">
        <v>609</v>
      </c>
      <c r="K126" s="148"/>
    </row>
    <row r="127" spans="2:11" ht="30" outlineLevel="1" x14ac:dyDescent="0.25">
      <c r="B127" s="149" t="s">
        <v>47</v>
      </c>
      <c r="C127" s="149" t="s">
        <v>436</v>
      </c>
      <c r="D127" s="149">
        <v>399</v>
      </c>
      <c r="E127" s="150" t="s">
        <v>770</v>
      </c>
      <c r="F127" s="151">
        <v>800</v>
      </c>
      <c r="G127" s="152" t="s">
        <v>873</v>
      </c>
      <c r="H127" s="151">
        <v>41400.921600000001</v>
      </c>
      <c r="I127" s="151">
        <v>0</v>
      </c>
      <c r="J127" s="253" t="s">
        <v>610</v>
      </c>
      <c r="K127" s="148"/>
    </row>
    <row r="128" spans="2:11" outlineLevel="1" x14ac:dyDescent="0.25">
      <c r="B128" s="149" t="s">
        <v>47</v>
      </c>
      <c r="C128" s="149" t="s">
        <v>436</v>
      </c>
      <c r="D128" s="149">
        <v>398</v>
      </c>
      <c r="E128" s="150" t="s">
        <v>771</v>
      </c>
      <c r="F128" s="151">
        <v>440</v>
      </c>
      <c r="G128" s="152" t="s">
        <v>873</v>
      </c>
      <c r="H128" s="151">
        <v>103045.026038</v>
      </c>
      <c r="I128" s="151">
        <v>668.8</v>
      </c>
      <c r="J128" s="253" t="s">
        <v>609</v>
      </c>
      <c r="K128" s="148"/>
    </row>
    <row r="129" spans="2:11" ht="30" outlineLevel="1" x14ac:dyDescent="0.25">
      <c r="B129" s="149" t="s">
        <v>47</v>
      </c>
      <c r="C129" s="149" t="s">
        <v>436</v>
      </c>
      <c r="D129" s="149">
        <v>400</v>
      </c>
      <c r="E129" s="150" t="s">
        <v>772</v>
      </c>
      <c r="F129" s="151">
        <v>800</v>
      </c>
      <c r="G129" s="152" t="s">
        <v>873</v>
      </c>
      <c r="H129" s="151">
        <v>187354.600512</v>
      </c>
      <c r="I129" s="151">
        <v>1216</v>
      </c>
      <c r="J129" s="253" t="s">
        <v>610</v>
      </c>
      <c r="K129" s="148"/>
    </row>
    <row r="130" spans="2:11" outlineLevel="1" x14ac:dyDescent="0.25">
      <c r="B130" s="149" t="s">
        <v>47</v>
      </c>
      <c r="C130" s="149" t="s">
        <v>437</v>
      </c>
      <c r="D130" s="149">
        <v>394</v>
      </c>
      <c r="E130" s="150" t="s">
        <v>773</v>
      </c>
      <c r="F130" s="151">
        <v>480</v>
      </c>
      <c r="G130" s="152" t="s">
        <v>873</v>
      </c>
      <c r="H130" s="151">
        <v>68470.694136000006</v>
      </c>
      <c r="I130" s="151">
        <v>216</v>
      </c>
      <c r="J130" s="253" t="s">
        <v>592</v>
      </c>
      <c r="K130" s="148"/>
    </row>
    <row r="131" spans="2:11" outlineLevel="1" x14ac:dyDescent="0.25">
      <c r="B131" s="149" t="s">
        <v>47</v>
      </c>
      <c r="C131" s="149" t="s">
        <v>437</v>
      </c>
      <c r="D131" s="149">
        <v>396</v>
      </c>
      <c r="E131" s="150" t="s">
        <v>774</v>
      </c>
      <c r="F131" s="151">
        <v>24</v>
      </c>
      <c r="G131" s="152" t="s">
        <v>872</v>
      </c>
      <c r="H131" s="151">
        <v>13847.800391999999</v>
      </c>
      <c r="I131" s="151">
        <v>72</v>
      </c>
      <c r="J131" s="253" t="s">
        <v>611</v>
      </c>
      <c r="K131" s="148"/>
    </row>
    <row r="132" spans="2:11" ht="30" outlineLevel="1" x14ac:dyDescent="0.25">
      <c r="B132" s="149" t="s">
        <v>47</v>
      </c>
      <c r="C132" s="149" t="s">
        <v>438</v>
      </c>
      <c r="D132" s="149">
        <v>485</v>
      </c>
      <c r="E132" s="150" t="s">
        <v>775</v>
      </c>
      <c r="F132" s="151">
        <v>2</v>
      </c>
      <c r="G132" s="152" t="s">
        <v>872</v>
      </c>
      <c r="H132" s="151">
        <v>1876557.7410850001</v>
      </c>
      <c r="I132" s="151">
        <v>9756.94</v>
      </c>
      <c r="J132" s="253" t="s">
        <v>612</v>
      </c>
      <c r="K132" s="148"/>
    </row>
    <row r="133" spans="2:11" ht="30" outlineLevel="1" x14ac:dyDescent="0.25">
      <c r="B133" s="149" t="s">
        <v>47</v>
      </c>
      <c r="C133" s="149" t="s">
        <v>440</v>
      </c>
      <c r="D133" s="149">
        <v>471</v>
      </c>
      <c r="E133" s="150" t="s">
        <v>776</v>
      </c>
      <c r="F133" s="151">
        <v>250</v>
      </c>
      <c r="G133" s="152" t="s">
        <v>873</v>
      </c>
      <c r="H133" s="151">
        <v>3990.8936199999998</v>
      </c>
      <c r="I133" s="151">
        <v>20</v>
      </c>
      <c r="J133" s="253" t="s">
        <v>549</v>
      </c>
      <c r="K133" s="148"/>
    </row>
    <row r="134" spans="2:11" outlineLevel="1" x14ac:dyDescent="0.25">
      <c r="B134" s="149" t="s">
        <v>47</v>
      </c>
      <c r="C134" s="149" t="s">
        <v>440</v>
      </c>
      <c r="D134" s="149">
        <v>261</v>
      </c>
      <c r="E134" s="150" t="s">
        <v>777</v>
      </c>
      <c r="F134" s="151">
        <v>4400</v>
      </c>
      <c r="G134" s="152" t="s">
        <v>873</v>
      </c>
      <c r="H134" s="151">
        <v>42312.723419999995</v>
      </c>
      <c r="I134" s="151">
        <v>220</v>
      </c>
      <c r="J134" s="253" t="s">
        <v>613</v>
      </c>
      <c r="K134" s="148"/>
    </row>
    <row r="135" spans="2:11" ht="30" outlineLevel="1" x14ac:dyDescent="0.25">
      <c r="B135" s="149" t="s">
        <v>47</v>
      </c>
      <c r="C135" s="149" t="s">
        <v>440</v>
      </c>
      <c r="D135" s="149">
        <v>269</v>
      </c>
      <c r="E135" s="150" t="s">
        <v>778</v>
      </c>
      <c r="F135" s="151">
        <v>25</v>
      </c>
      <c r="G135" s="152" t="s">
        <v>872</v>
      </c>
      <c r="H135" s="151">
        <v>4808.2640249999995</v>
      </c>
      <c r="I135" s="151">
        <v>25</v>
      </c>
      <c r="J135" s="253" t="s">
        <v>549</v>
      </c>
      <c r="K135" s="148"/>
    </row>
    <row r="136" spans="2:11" ht="30" outlineLevel="1" x14ac:dyDescent="0.25">
      <c r="B136" s="149" t="s">
        <v>47</v>
      </c>
      <c r="C136" s="149" t="s">
        <v>440</v>
      </c>
      <c r="D136" s="149">
        <v>267</v>
      </c>
      <c r="E136" s="150" t="s">
        <v>779</v>
      </c>
      <c r="F136" s="151">
        <v>50</v>
      </c>
      <c r="G136" s="152" t="s">
        <v>872</v>
      </c>
      <c r="H136" s="151">
        <v>9616.528049999999</v>
      </c>
      <c r="I136" s="151">
        <v>50</v>
      </c>
      <c r="J136" s="253" t="s">
        <v>549</v>
      </c>
      <c r="K136" s="148"/>
    </row>
    <row r="137" spans="2:11" ht="30" outlineLevel="1" x14ac:dyDescent="0.25">
      <c r="B137" s="149" t="s">
        <v>47</v>
      </c>
      <c r="C137" s="149" t="s">
        <v>440</v>
      </c>
      <c r="D137" s="149">
        <v>265</v>
      </c>
      <c r="E137" s="150" t="s">
        <v>780</v>
      </c>
      <c r="F137" s="151">
        <v>100</v>
      </c>
      <c r="G137" s="152" t="s">
        <v>872</v>
      </c>
      <c r="H137" s="151">
        <v>19233.056099999998</v>
      </c>
      <c r="I137" s="151">
        <v>100</v>
      </c>
      <c r="J137" s="253" t="s">
        <v>549</v>
      </c>
      <c r="K137" s="148"/>
    </row>
    <row r="138" spans="2:11" outlineLevel="1" x14ac:dyDescent="0.25">
      <c r="B138" s="149" t="s">
        <v>47</v>
      </c>
      <c r="C138" s="149" t="s">
        <v>440</v>
      </c>
      <c r="D138" s="149">
        <v>263</v>
      </c>
      <c r="E138" s="150" t="s">
        <v>781</v>
      </c>
      <c r="F138" s="151">
        <v>100</v>
      </c>
      <c r="G138" s="152" t="s">
        <v>872</v>
      </c>
      <c r="H138" s="151">
        <v>19233.056099999998</v>
      </c>
      <c r="I138" s="151">
        <v>100</v>
      </c>
      <c r="J138" s="253" t="s">
        <v>596</v>
      </c>
      <c r="K138" s="148"/>
    </row>
    <row r="139" spans="2:11" outlineLevel="1" x14ac:dyDescent="0.25">
      <c r="B139" s="149" t="s">
        <v>47</v>
      </c>
      <c r="C139" s="149" t="s">
        <v>440</v>
      </c>
      <c r="D139" s="149">
        <v>475</v>
      </c>
      <c r="E139" s="150" t="s">
        <v>782</v>
      </c>
      <c r="F139" s="151">
        <v>1</v>
      </c>
      <c r="G139" s="152" t="s">
        <v>870</v>
      </c>
      <c r="H139" s="151">
        <v>92318.669280000002</v>
      </c>
      <c r="I139" s="151">
        <v>480</v>
      </c>
      <c r="J139" s="253" t="s">
        <v>549</v>
      </c>
      <c r="K139" s="148"/>
    </row>
    <row r="140" spans="2:11" outlineLevel="1" x14ac:dyDescent="0.25">
      <c r="B140" s="149" t="s">
        <v>47</v>
      </c>
      <c r="C140" s="149" t="s">
        <v>440</v>
      </c>
      <c r="D140" s="149">
        <v>299</v>
      </c>
      <c r="E140" s="150" t="s">
        <v>783</v>
      </c>
      <c r="F140" s="151">
        <v>10000</v>
      </c>
      <c r="G140" s="152" t="s">
        <v>873</v>
      </c>
      <c r="H140" s="151">
        <v>46159.334640000001</v>
      </c>
      <c r="I140" s="151">
        <v>240</v>
      </c>
      <c r="J140" s="253" t="s">
        <v>591</v>
      </c>
      <c r="K140" s="148"/>
    </row>
    <row r="141" spans="2:11" ht="45" outlineLevel="1" x14ac:dyDescent="0.25">
      <c r="B141" s="149" t="s">
        <v>47</v>
      </c>
      <c r="C141" s="149" t="s">
        <v>440</v>
      </c>
      <c r="D141" s="149">
        <v>425</v>
      </c>
      <c r="E141" s="150" t="s">
        <v>784</v>
      </c>
      <c r="F141" s="151">
        <v>33</v>
      </c>
      <c r="G141" s="152" t="s">
        <v>872</v>
      </c>
      <c r="H141" s="151">
        <v>25331.618532</v>
      </c>
      <c r="I141" s="151">
        <v>132</v>
      </c>
      <c r="J141" s="253" t="s">
        <v>583</v>
      </c>
      <c r="K141" s="148"/>
    </row>
    <row r="142" spans="2:11" outlineLevel="1" x14ac:dyDescent="0.25">
      <c r="B142" s="149" t="s">
        <v>47</v>
      </c>
      <c r="C142" s="149" t="s">
        <v>440</v>
      </c>
      <c r="D142" s="149">
        <v>416</v>
      </c>
      <c r="E142" s="150" t="s">
        <v>785</v>
      </c>
      <c r="F142" s="151">
        <v>48</v>
      </c>
      <c r="G142" s="152" t="s">
        <v>872</v>
      </c>
      <c r="H142" s="151">
        <v>36845.990592000002</v>
      </c>
      <c r="I142" s="151">
        <v>192</v>
      </c>
      <c r="J142" s="253" t="s">
        <v>614</v>
      </c>
      <c r="K142" s="148"/>
    </row>
    <row r="143" spans="2:11" ht="45" outlineLevel="1" x14ac:dyDescent="0.25">
      <c r="B143" s="149" t="s">
        <v>47</v>
      </c>
      <c r="C143" s="149" t="s">
        <v>440</v>
      </c>
      <c r="D143" s="149">
        <v>418</v>
      </c>
      <c r="E143" s="150" t="s">
        <v>786</v>
      </c>
      <c r="F143" s="151">
        <v>1500</v>
      </c>
      <c r="G143" s="152" t="s">
        <v>873</v>
      </c>
      <c r="H143" s="151">
        <v>60450.453314999999</v>
      </c>
      <c r="I143" s="151">
        <v>315</v>
      </c>
      <c r="J143" s="253" t="s">
        <v>586</v>
      </c>
      <c r="K143" s="148"/>
    </row>
    <row r="144" spans="2:11" ht="30" outlineLevel="1" x14ac:dyDescent="0.25">
      <c r="B144" s="149" t="s">
        <v>47</v>
      </c>
      <c r="C144" s="149" t="s">
        <v>440</v>
      </c>
      <c r="D144" s="149">
        <v>414</v>
      </c>
      <c r="E144" s="150" t="s">
        <v>787</v>
      </c>
      <c r="F144" s="151">
        <v>2000</v>
      </c>
      <c r="G144" s="152" t="s">
        <v>873</v>
      </c>
      <c r="H144" s="151">
        <v>57571.8603</v>
      </c>
      <c r="I144" s="151">
        <v>300</v>
      </c>
      <c r="J144" s="253" t="s">
        <v>615</v>
      </c>
      <c r="K144" s="148"/>
    </row>
    <row r="145" spans="2:11" outlineLevel="1" x14ac:dyDescent="0.25">
      <c r="B145" s="149" t="s">
        <v>47</v>
      </c>
      <c r="C145" s="149" t="s">
        <v>441</v>
      </c>
      <c r="D145" s="149">
        <v>479</v>
      </c>
      <c r="E145" s="150" t="s">
        <v>788</v>
      </c>
      <c r="F145" s="151">
        <v>1</v>
      </c>
      <c r="G145" s="152" t="s">
        <v>872</v>
      </c>
      <c r="H145" s="151">
        <v>69239.001959999994</v>
      </c>
      <c r="I145" s="151">
        <v>360</v>
      </c>
      <c r="J145" s="253" t="s">
        <v>549</v>
      </c>
      <c r="K145" s="148"/>
    </row>
    <row r="146" spans="2:11" outlineLevel="1" x14ac:dyDescent="0.25">
      <c r="B146" s="149" t="s">
        <v>47</v>
      </c>
      <c r="C146" s="149" t="s">
        <v>441</v>
      </c>
      <c r="D146" s="149">
        <v>420</v>
      </c>
      <c r="E146" s="150" t="s">
        <v>789</v>
      </c>
      <c r="F146" s="151">
        <v>2</v>
      </c>
      <c r="G146" s="152" t="s">
        <v>872</v>
      </c>
      <c r="H146" s="151">
        <v>6923.9001959999996</v>
      </c>
      <c r="I146" s="151">
        <v>36</v>
      </c>
      <c r="J146" s="253" t="s">
        <v>549</v>
      </c>
      <c r="K146" s="148"/>
    </row>
    <row r="147" spans="2:11" ht="45" outlineLevel="1" x14ac:dyDescent="0.25">
      <c r="B147" s="149" t="s">
        <v>47</v>
      </c>
      <c r="C147" s="149" t="s">
        <v>441</v>
      </c>
      <c r="D147" s="149">
        <v>429</v>
      </c>
      <c r="E147" s="150" t="s">
        <v>790</v>
      </c>
      <c r="F147" s="151">
        <v>33</v>
      </c>
      <c r="G147" s="152" t="s">
        <v>872</v>
      </c>
      <c r="H147" s="151">
        <v>12693.817025999999</v>
      </c>
      <c r="I147" s="151">
        <v>66</v>
      </c>
      <c r="J147" s="253" t="s">
        <v>588</v>
      </c>
      <c r="K147" s="148"/>
    </row>
    <row r="148" spans="2:11" outlineLevel="1" x14ac:dyDescent="0.25">
      <c r="B148" s="149" t="s">
        <v>47</v>
      </c>
      <c r="C148" s="149" t="s">
        <v>441</v>
      </c>
      <c r="D148" s="149">
        <v>473</v>
      </c>
      <c r="E148" s="150" t="s">
        <v>791</v>
      </c>
      <c r="F148" s="151">
        <v>12</v>
      </c>
      <c r="G148" s="152" t="s">
        <v>872</v>
      </c>
      <c r="H148" s="151">
        <v>13847.800391999999</v>
      </c>
      <c r="I148" s="151">
        <v>72</v>
      </c>
      <c r="J148" s="253" t="s">
        <v>549</v>
      </c>
      <c r="K148" s="148"/>
    </row>
    <row r="149" spans="2:11" ht="30" outlineLevel="1" x14ac:dyDescent="0.25">
      <c r="B149" s="149" t="s">
        <v>47</v>
      </c>
      <c r="C149" s="149" t="s">
        <v>441</v>
      </c>
      <c r="D149" s="149">
        <v>294</v>
      </c>
      <c r="E149" s="150" t="s">
        <v>792</v>
      </c>
      <c r="F149" s="151">
        <v>12</v>
      </c>
      <c r="G149" s="152" t="s">
        <v>872</v>
      </c>
      <c r="H149" s="151">
        <v>17389.5</v>
      </c>
      <c r="I149" s="151">
        <v>0</v>
      </c>
      <c r="J149" s="253" t="s">
        <v>549</v>
      </c>
      <c r="K149" s="148"/>
    </row>
    <row r="150" spans="2:11" ht="30" outlineLevel="1" x14ac:dyDescent="0.25">
      <c r="B150" s="149" t="s">
        <v>47</v>
      </c>
      <c r="C150" s="149" t="s">
        <v>441</v>
      </c>
      <c r="D150" s="149">
        <v>295</v>
      </c>
      <c r="E150" s="150" t="s">
        <v>793</v>
      </c>
      <c r="F150" s="151">
        <v>12</v>
      </c>
      <c r="G150" s="152" t="s">
        <v>872</v>
      </c>
      <c r="H150" s="151">
        <v>14367.217031999999</v>
      </c>
      <c r="I150" s="151">
        <v>72</v>
      </c>
      <c r="J150" s="253" t="s">
        <v>549</v>
      </c>
      <c r="K150" s="148"/>
    </row>
    <row r="151" spans="2:11" ht="45" outlineLevel="1" x14ac:dyDescent="0.25">
      <c r="B151" s="149" t="s">
        <v>47</v>
      </c>
      <c r="C151" s="149" t="s">
        <v>441</v>
      </c>
      <c r="D151" s="149">
        <v>297</v>
      </c>
      <c r="E151" s="150" t="s">
        <v>794</v>
      </c>
      <c r="F151" s="151">
        <v>1200</v>
      </c>
      <c r="G151" s="152" t="s">
        <v>873</v>
      </c>
      <c r="H151" s="151">
        <v>239453.61720000001</v>
      </c>
      <c r="I151" s="151">
        <v>1200</v>
      </c>
      <c r="J151" s="253" t="s">
        <v>616</v>
      </c>
      <c r="K151" s="148"/>
    </row>
    <row r="152" spans="2:11" ht="45" outlineLevel="1" x14ac:dyDescent="0.25">
      <c r="B152" s="149" t="s">
        <v>47</v>
      </c>
      <c r="C152" s="149" t="s">
        <v>441</v>
      </c>
      <c r="D152" s="149">
        <v>296</v>
      </c>
      <c r="E152" s="150" t="s">
        <v>795</v>
      </c>
      <c r="F152" s="151">
        <v>1200</v>
      </c>
      <c r="G152" s="152" t="s">
        <v>873</v>
      </c>
      <c r="H152" s="151">
        <v>41734.800000000003</v>
      </c>
      <c r="I152" s="151">
        <v>0</v>
      </c>
      <c r="J152" s="253" t="s">
        <v>616</v>
      </c>
      <c r="K152" s="148"/>
    </row>
    <row r="153" spans="2:11" outlineLevel="1" x14ac:dyDescent="0.25">
      <c r="B153" s="149" t="s">
        <v>47</v>
      </c>
      <c r="C153" s="149" t="s">
        <v>443</v>
      </c>
      <c r="D153" s="149">
        <v>335</v>
      </c>
      <c r="E153" s="150" t="s">
        <v>796</v>
      </c>
      <c r="F153" s="151">
        <v>4</v>
      </c>
      <c r="G153" s="152" t="s">
        <v>872</v>
      </c>
      <c r="H153" s="151">
        <v>92318.669280000002</v>
      </c>
      <c r="I153" s="151">
        <v>480</v>
      </c>
      <c r="J153" s="253" t="s">
        <v>549</v>
      </c>
      <c r="K153" s="148"/>
    </row>
    <row r="154" spans="2:11" outlineLevel="1" x14ac:dyDescent="0.25">
      <c r="B154" s="149" t="s">
        <v>47</v>
      </c>
      <c r="C154" s="149" t="s">
        <v>445</v>
      </c>
      <c r="D154" s="149">
        <v>477</v>
      </c>
      <c r="E154" s="150" t="s">
        <v>797</v>
      </c>
      <c r="F154" s="151">
        <v>1</v>
      </c>
      <c r="G154" s="152" t="s">
        <v>872</v>
      </c>
      <c r="H154" s="151">
        <v>92318.669280000002</v>
      </c>
      <c r="I154" s="151">
        <v>480</v>
      </c>
      <c r="J154" s="253" t="s">
        <v>549</v>
      </c>
      <c r="K154" s="148"/>
    </row>
    <row r="155" spans="2:11" outlineLevel="1" x14ac:dyDescent="0.25">
      <c r="B155" s="149" t="s">
        <v>47</v>
      </c>
      <c r="C155" s="149" t="s">
        <v>446</v>
      </c>
      <c r="D155" s="149">
        <v>352</v>
      </c>
      <c r="E155" s="150" t="s">
        <v>798</v>
      </c>
      <c r="F155" s="151">
        <v>1</v>
      </c>
      <c r="G155" s="152" t="s">
        <v>870</v>
      </c>
      <c r="H155" s="151">
        <v>11593</v>
      </c>
      <c r="I155" s="151">
        <v>0</v>
      </c>
      <c r="J155" s="253" t="s">
        <v>617</v>
      </c>
      <c r="K155" s="148"/>
    </row>
    <row r="156" spans="2:11" outlineLevel="1" x14ac:dyDescent="0.25">
      <c r="B156" s="149" t="s">
        <v>48</v>
      </c>
      <c r="C156" s="149" t="s">
        <v>449</v>
      </c>
      <c r="D156" s="149">
        <v>138</v>
      </c>
      <c r="E156" s="150" t="s">
        <v>799</v>
      </c>
      <c r="F156" s="151">
        <v>1600</v>
      </c>
      <c r="G156" s="152" t="s">
        <v>871</v>
      </c>
      <c r="H156" s="151">
        <v>408064.576</v>
      </c>
      <c r="I156" s="151">
        <v>1600</v>
      </c>
      <c r="J156" s="253" t="s">
        <v>618</v>
      </c>
      <c r="K156" s="148"/>
    </row>
    <row r="157" spans="2:11" outlineLevel="1" x14ac:dyDescent="0.25">
      <c r="B157" s="149" t="s">
        <v>48</v>
      </c>
      <c r="C157" s="149" t="s">
        <v>450</v>
      </c>
      <c r="D157" s="149">
        <v>140</v>
      </c>
      <c r="E157" s="150" t="s">
        <v>800</v>
      </c>
      <c r="F157" s="151">
        <v>3200</v>
      </c>
      <c r="G157" s="152" t="s">
        <v>871</v>
      </c>
      <c r="H157" s="151">
        <v>708545.40480000002</v>
      </c>
      <c r="I157" s="151">
        <v>3200</v>
      </c>
      <c r="J157" s="253" t="s">
        <v>563</v>
      </c>
      <c r="K157" s="148"/>
    </row>
    <row r="158" spans="2:11" outlineLevel="1" x14ac:dyDescent="0.25">
      <c r="B158" s="149" t="s">
        <v>48</v>
      </c>
      <c r="C158" s="149" t="s">
        <v>260</v>
      </c>
      <c r="D158" s="149">
        <v>141</v>
      </c>
      <c r="E158" s="150" t="s">
        <v>801</v>
      </c>
      <c r="F158" s="151">
        <v>1650</v>
      </c>
      <c r="G158" s="152" t="s">
        <v>871</v>
      </c>
      <c r="H158" s="151">
        <v>119733.174</v>
      </c>
      <c r="I158" s="151">
        <v>1650</v>
      </c>
      <c r="J158" s="253" t="s">
        <v>563</v>
      </c>
      <c r="K158" s="148"/>
    </row>
    <row r="159" spans="2:11" outlineLevel="1" x14ac:dyDescent="0.25">
      <c r="B159" s="149" t="s">
        <v>48</v>
      </c>
      <c r="C159" s="149" t="s">
        <v>264</v>
      </c>
      <c r="D159" s="149">
        <v>144</v>
      </c>
      <c r="E159" s="150" t="s">
        <v>802</v>
      </c>
      <c r="F159" s="151">
        <v>120</v>
      </c>
      <c r="G159" s="152" t="s">
        <v>871</v>
      </c>
      <c r="H159" s="151">
        <v>26570.452679999999</v>
      </c>
      <c r="I159" s="151">
        <v>120</v>
      </c>
      <c r="J159" s="253" t="s">
        <v>619</v>
      </c>
      <c r="K159" s="148"/>
    </row>
    <row r="160" spans="2:11" ht="120" outlineLevel="1" x14ac:dyDescent="0.25">
      <c r="B160" s="149" t="s">
        <v>49</v>
      </c>
      <c r="C160" s="149" t="s">
        <v>268</v>
      </c>
      <c r="D160" s="149">
        <v>147</v>
      </c>
      <c r="E160" s="150" t="s">
        <v>803</v>
      </c>
      <c r="F160" s="151">
        <v>1278</v>
      </c>
      <c r="G160" s="152" t="s">
        <v>871</v>
      </c>
      <c r="H160" s="151">
        <v>92286.855419647851</v>
      </c>
      <c r="I160" s="151">
        <v>1278</v>
      </c>
      <c r="J160" s="253" t="s">
        <v>620</v>
      </c>
      <c r="K160" s="148"/>
    </row>
    <row r="161" spans="2:11" outlineLevel="1" x14ac:dyDescent="0.25">
      <c r="B161" s="149" t="s">
        <v>49</v>
      </c>
      <c r="C161" s="149" t="s">
        <v>268</v>
      </c>
      <c r="D161" s="149">
        <v>446</v>
      </c>
      <c r="E161" s="150" t="s">
        <v>803</v>
      </c>
      <c r="F161" s="151">
        <v>1</v>
      </c>
      <c r="G161" s="152" t="s">
        <v>870</v>
      </c>
      <c r="H161" s="151">
        <v>399645.01</v>
      </c>
      <c r="I161" s="151">
        <v>0</v>
      </c>
      <c r="J161" s="253" t="s">
        <v>562</v>
      </c>
      <c r="K161" s="148"/>
    </row>
    <row r="162" spans="2:11" ht="120" outlineLevel="1" x14ac:dyDescent="0.25">
      <c r="B162" s="149" t="s">
        <v>49</v>
      </c>
      <c r="C162" s="149" t="s">
        <v>271</v>
      </c>
      <c r="D162" s="149">
        <v>148</v>
      </c>
      <c r="E162" s="150" t="s">
        <v>804</v>
      </c>
      <c r="F162" s="151">
        <v>2172</v>
      </c>
      <c r="G162" s="152" t="s">
        <v>871</v>
      </c>
      <c r="H162" s="151">
        <v>393947.16479869973</v>
      </c>
      <c r="I162" s="151">
        <v>2172</v>
      </c>
      <c r="J162" s="253" t="s">
        <v>621</v>
      </c>
      <c r="K162" s="148"/>
    </row>
    <row r="163" spans="2:11" outlineLevel="1" x14ac:dyDescent="0.25">
      <c r="B163" s="149" t="s">
        <v>49</v>
      </c>
      <c r="C163" s="149" t="s">
        <v>271</v>
      </c>
      <c r="D163" s="149">
        <v>447</v>
      </c>
      <c r="E163" s="150" t="s">
        <v>804</v>
      </c>
      <c r="F163" s="151">
        <v>1</v>
      </c>
      <c r="G163" s="152" t="s">
        <v>870</v>
      </c>
      <c r="H163" s="151">
        <v>226748.79</v>
      </c>
      <c r="I163" s="151">
        <v>0</v>
      </c>
      <c r="J163" s="253" t="s">
        <v>562</v>
      </c>
      <c r="K163" s="148"/>
    </row>
    <row r="164" spans="2:11" outlineLevel="1" x14ac:dyDescent="0.25">
      <c r="B164" s="149" t="s">
        <v>49</v>
      </c>
      <c r="C164" s="149" t="s">
        <v>458</v>
      </c>
      <c r="D164" s="149">
        <v>153</v>
      </c>
      <c r="E164" s="150" t="s">
        <v>805</v>
      </c>
      <c r="F164" s="151">
        <v>120</v>
      </c>
      <c r="G164" s="152" t="s">
        <v>871</v>
      </c>
      <c r="H164" s="151">
        <v>6352.4927035665914</v>
      </c>
      <c r="I164" s="151">
        <v>120</v>
      </c>
      <c r="J164" s="253" t="s">
        <v>563</v>
      </c>
      <c r="K164" s="148"/>
    </row>
    <row r="165" spans="2:11" outlineLevel="1" x14ac:dyDescent="0.25">
      <c r="B165" s="149" t="s">
        <v>49</v>
      </c>
      <c r="C165" s="149" t="s">
        <v>461</v>
      </c>
      <c r="D165" s="149">
        <v>151</v>
      </c>
      <c r="E165" s="150" t="s">
        <v>806</v>
      </c>
      <c r="F165" s="151">
        <v>120</v>
      </c>
      <c r="G165" s="152" t="s">
        <v>871</v>
      </c>
      <c r="H165" s="151">
        <v>8950.5041227990969</v>
      </c>
      <c r="I165" s="151">
        <v>120</v>
      </c>
      <c r="J165" s="253" t="s">
        <v>563</v>
      </c>
      <c r="K165" s="148"/>
    </row>
    <row r="166" spans="2:11" outlineLevel="1" x14ac:dyDescent="0.25">
      <c r="B166" s="149" t="s">
        <v>49</v>
      </c>
      <c r="C166" s="149" t="s">
        <v>461</v>
      </c>
      <c r="D166" s="149">
        <v>149</v>
      </c>
      <c r="E166" s="150" t="s">
        <v>807</v>
      </c>
      <c r="F166" s="151">
        <v>40</v>
      </c>
      <c r="G166" s="152" t="s">
        <v>871</v>
      </c>
      <c r="H166" s="151">
        <v>2983.5013742663659</v>
      </c>
      <c r="I166" s="151">
        <v>40</v>
      </c>
      <c r="J166" s="253" t="s">
        <v>549</v>
      </c>
      <c r="K166" s="148"/>
    </row>
    <row r="167" spans="2:11" outlineLevel="1" x14ac:dyDescent="0.25">
      <c r="B167" s="149" t="s">
        <v>49</v>
      </c>
      <c r="C167" s="149" t="s">
        <v>275</v>
      </c>
      <c r="D167" s="149">
        <v>167</v>
      </c>
      <c r="E167" s="150" t="s">
        <v>808</v>
      </c>
      <c r="F167" s="151">
        <v>40</v>
      </c>
      <c r="G167" s="152" t="s">
        <v>871</v>
      </c>
      <c r="H167" s="151">
        <v>3104.7161355932203</v>
      </c>
      <c r="I167" s="151">
        <v>40</v>
      </c>
      <c r="J167" s="253" t="s">
        <v>563</v>
      </c>
      <c r="K167" s="148"/>
    </row>
    <row r="168" spans="2:11" outlineLevel="1" x14ac:dyDescent="0.25">
      <c r="B168" s="149" t="s">
        <v>49</v>
      </c>
      <c r="C168" s="149" t="s">
        <v>275</v>
      </c>
      <c r="D168" s="149">
        <v>448</v>
      </c>
      <c r="E168" s="150" t="s">
        <v>808</v>
      </c>
      <c r="F168" s="151">
        <v>1</v>
      </c>
      <c r="G168" s="152" t="s">
        <v>870</v>
      </c>
      <c r="H168" s="151">
        <v>53528.66</v>
      </c>
      <c r="I168" s="151">
        <v>0</v>
      </c>
      <c r="J168" s="253" t="s">
        <v>562</v>
      </c>
      <c r="K168" s="148"/>
    </row>
    <row r="169" spans="2:11" outlineLevel="1" x14ac:dyDescent="0.25">
      <c r="B169" s="149" t="s">
        <v>49</v>
      </c>
      <c r="C169" s="149" t="s">
        <v>279</v>
      </c>
      <c r="D169" s="149">
        <v>159</v>
      </c>
      <c r="E169" s="150" t="s">
        <v>809</v>
      </c>
      <c r="F169" s="151">
        <v>40</v>
      </c>
      <c r="G169" s="152" t="s">
        <v>871</v>
      </c>
      <c r="H169" s="151">
        <v>2705.7181016949153</v>
      </c>
      <c r="I169" s="151">
        <v>40</v>
      </c>
      <c r="J169" s="253" t="s">
        <v>571</v>
      </c>
      <c r="K169" s="148"/>
    </row>
    <row r="170" spans="2:11" outlineLevel="1" x14ac:dyDescent="0.25">
      <c r="B170" s="149" t="s">
        <v>49</v>
      </c>
      <c r="C170" s="149" t="s">
        <v>279</v>
      </c>
      <c r="D170" s="149">
        <v>449</v>
      </c>
      <c r="E170" s="150" t="s">
        <v>809</v>
      </c>
      <c r="F170" s="151">
        <v>1</v>
      </c>
      <c r="G170" s="152" t="s">
        <v>870</v>
      </c>
      <c r="H170" s="151">
        <v>3588.7</v>
      </c>
      <c r="I170" s="151">
        <v>0</v>
      </c>
      <c r="J170" s="253" t="s">
        <v>562</v>
      </c>
      <c r="K170" s="148"/>
    </row>
    <row r="171" spans="2:11" outlineLevel="1" x14ac:dyDescent="0.25">
      <c r="B171" s="149" t="s">
        <v>49</v>
      </c>
      <c r="C171" s="149" t="s">
        <v>282</v>
      </c>
      <c r="D171" s="149">
        <v>160</v>
      </c>
      <c r="E171" s="150" t="s">
        <v>810</v>
      </c>
      <c r="F171" s="151">
        <v>40</v>
      </c>
      <c r="G171" s="152" t="s">
        <v>871</v>
      </c>
      <c r="H171" s="151">
        <v>7096.725966101696</v>
      </c>
      <c r="I171" s="151">
        <v>40</v>
      </c>
      <c r="J171" s="253" t="s">
        <v>622</v>
      </c>
      <c r="K171" s="148"/>
    </row>
    <row r="172" spans="2:11" outlineLevel="1" x14ac:dyDescent="0.25">
      <c r="B172" s="149" t="s">
        <v>49</v>
      </c>
      <c r="C172" s="149" t="s">
        <v>282</v>
      </c>
      <c r="D172" s="149">
        <v>450</v>
      </c>
      <c r="E172" s="150" t="s">
        <v>810</v>
      </c>
      <c r="F172" s="151">
        <v>1</v>
      </c>
      <c r="G172" s="152" t="s">
        <v>870</v>
      </c>
      <c r="H172" s="151">
        <v>12655.61</v>
      </c>
      <c r="I172" s="151">
        <v>0</v>
      </c>
      <c r="J172" s="253" t="s">
        <v>562</v>
      </c>
      <c r="K172" s="148"/>
    </row>
    <row r="173" spans="2:11" outlineLevel="1" x14ac:dyDescent="0.25">
      <c r="B173" s="149" t="s">
        <v>49</v>
      </c>
      <c r="C173" s="149" t="s">
        <v>462</v>
      </c>
      <c r="D173" s="149">
        <v>157</v>
      </c>
      <c r="E173" s="150" t="s">
        <v>811</v>
      </c>
      <c r="F173" s="151">
        <v>480</v>
      </c>
      <c r="G173" s="152" t="s">
        <v>871</v>
      </c>
      <c r="H173" s="151">
        <v>25562.611124643801</v>
      </c>
      <c r="I173" s="151">
        <v>480</v>
      </c>
      <c r="J173" s="253" t="s">
        <v>549</v>
      </c>
      <c r="K173" s="148"/>
    </row>
    <row r="174" spans="2:11" outlineLevel="1" x14ac:dyDescent="0.25">
      <c r="B174" s="149" t="s">
        <v>49</v>
      </c>
      <c r="C174" s="149" t="s">
        <v>462</v>
      </c>
      <c r="D174" s="149">
        <v>155</v>
      </c>
      <c r="E174" s="150" t="s">
        <v>812</v>
      </c>
      <c r="F174" s="151">
        <v>80</v>
      </c>
      <c r="G174" s="152" t="s">
        <v>871</v>
      </c>
      <c r="H174" s="151">
        <v>4260.4351874406329</v>
      </c>
      <c r="I174" s="151">
        <v>80</v>
      </c>
      <c r="J174" s="253" t="s">
        <v>549</v>
      </c>
      <c r="K174" s="148"/>
    </row>
    <row r="175" spans="2:11" outlineLevel="1" x14ac:dyDescent="0.25">
      <c r="B175" s="149" t="s">
        <v>49</v>
      </c>
      <c r="C175" s="149" t="s">
        <v>286</v>
      </c>
      <c r="D175" s="149">
        <v>161</v>
      </c>
      <c r="E175" s="150" t="s">
        <v>813</v>
      </c>
      <c r="F175" s="151">
        <v>40</v>
      </c>
      <c r="G175" s="152" t="s">
        <v>871</v>
      </c>
      <c r="H175" s="151">
        <v>2568.9001132075473</v>
      </c>
      <c r="I175" s="151">
        <v>40</v>
      </c>
      <c r="J175" s="253" t="s">
        <v>563</v>
      </c>
      <c r="K175" s="148"/>
    </row>
    <row r="176" spans="2:11" outlineLevel="1" x14ac:dyDescent="0.25">
      <c r="B176" s="149" t="s">
        <v>49</v>
      </c>
      <c r="C176" s="149" t="s">
        <v>290</v>
      </c>
      <c r="D176" s="149">
        <v>253</v>
      </c>
      <c r="E176" s="150" t="s">
        <v>814</v>
      </c>
      <c r="F176" s="151">
        <v>1</v>
      </c>
      <c r="G176" s="152" t="s">
        <v>870</v>
      </c>
      <c r="H176" s="151">
        <v>82090.27</v>
      </c>
      <c r="I176" s="151">
        <v>0</v>
      </c>
      <c r="J176" s="253" t="s">
        <v>562</v>
      </c>
      <c r="K176" s="148"/>
    </row>
    <row r="177" spans="2:11" outlineLevel="1" x14ac:dyDescent="0.25">
      <c r="B177" s="149" t="s">
        <v>49</v>
      </c>
      <c r="C177" s="149" t="s">
        <v>290</v>
      </c>
      <c r="D177" s="149">
        <v>452</v>
      </c>
      <c r="E177" s="150" t="s">
        <v>814</v>
      </c>
      <c r="F177" s="151">
        <v>1720</v>
      </c>
      <c r="G177" s="152" t="s">
        <v>871</v>
      </c>
      <c r="H177" s="151">
        <v>295850.94888056035</v>
      </c>
      <c r="I177" s="151">
        <v>1720</v>
      </c>
      <c r="J177" s="253" t="s">
        <v>623</v>
      </c>
      <c r="K177" s="148"/>
    </row>
    <row r="178" spans="2:11" outlineLevel="1" x14ac:dyDescent="0.25">
      <c r="B178" s="149" t="s">
        <v>49</v>
      </c>
      <c r="C178" s="149" t="s">
        <v>294</v>
      </c>
      <c r="D178" s="149">
        <v>175</v>
      </c>
      <c r="E178" s="150" t="s">
        <v>815</v>
      </c>
      <c r="F178" s="151">
        <v>120</v>
      </c>
      <c r="G178" s="152" t="s">
        <v>871</v>
      </c>
      <c r="H178" s="151">
        <v>7970.7538799999993</v>
      </c>
      <c r="I178" s="151">
        <v>120</v>
      </c>
      <c r="J178" s="253" t="s">
        <v>549</v>
      </c>
      <c r="K178" s="148"/>
    </row>
    <row r="179" spans="2:11" outlineLevel="1" x14ac:dyDescent="0.25">
      <c r="B179" s="149" t="s">
        <v>51</v>
      </c>
      <c r="C179" s="149" t="s">
        <v>173</v>
      </c>
      <c r="D179" s="149">
        <v>0</v>
      </c>
      <c r="E179" s="150" t="s">
        <v>816</v>
      </c>
      <c r="F179" s="151">
        <v>1</v>
      </c>
      <c r="G179" s="152" t="s">
        <v>870</v>
      </c>
      <c r="H179" s="151">
        <v>58699.557839687499</v>
      </c>
      <c r="I179" s="151">
        <v>0</v>
      </c>
      <c r="J179" s="253" t="s">
        <v>549</v>
      </c>
      <c r="K179" s="148"/>
    </row>
    <row r="180" spans="2:11" outlineLevel="1" x14ac:dyDescent="0.25">
      <c r="B180" s="149" t="s">
        <v>51</v>
      </c>
      <c r="C180" s="149" t="s">
        <v>174</v>
      </c>
      <c r="D180" s="149">
        <v>170</v>
      </c>
      <c r="E180" s="150" t="s">
        <v>817</v>
      </c>
      <c r="F180" s="151">
        <v>1</v>
      </c>
      <c r="G180" s="152" t="s">
        <v>870</v>
      </c>
      <c r="H180" s="151">
        <v>38348.81</v>
      </c>
      <c r="I180" s="151">
        <v>0</v>
      </c>
      <c r="J180" s="253" t="s">
        <v>624</v>
      </c>
      <c r="K180" s="148"/>
    </row>
    <row r="181" spans="2:11" outlineLevel="1" x14ac:dyDescent="0.25">
      <c r="B181" s="149" t="s">
        <v>51</v>
      </c>
      <c r="C181" s="149" t="s">
        <v>175</v>
      </c>
      <c r="D181" s="149">
        <v>0</v>
      </c>
      <c r="E181" s="150" t="s">
        <v>818</v>
      </c>
      <c r="F181" s="151">
        <v>1</v>
      </c>
      <c r="G181" s="152" t="s">
        <v>870</v>
      </c>
      <c r="H181" s="151">
        <v>619149.12150803325</v>
      </c>
      <c r="I181" s="151">
        <v>0</v>
      </c>
      <c r="J181" s="253" t="s">
        <v>549</v>
      </c>
      <c r="K181" s="148"/>
    </row>
    <row r="182" spans="2:11" ht="75" outlineLevel="1" x14ac:dyDescent="0.25">
      <c r="B182" s="149" t="s">
        <v>51</v>
      </c>
      <c r="C182" s="149" t="s">
        <v>646</v>
      </c>
      <c r="D182" s="149">
        <v>483</v>
      </c>
      <c r="E182" s="150" t="s">
        <v>819</v>
      </c>
      <c r="F182" s="151">
        <v>1</v>
      </c>
      <c r="G182" s="152" t="s">
        <v>870</v>
      </c>
      <c r="H182" s="151">
        <v>192477.0903983051</v>
      </c>
      <c r="I182" s="151">
        <v>0</v>
      </c>
      <c r="J182" s="253" t="s">
        <v>625</v>
      </c>
      <c r="K182" s="148"/>
    </row>
    <row r="183" spans="2:11" ht="30" outlineLevel="1" x14ac:dyDescent="0.25">
      <c r="B183" s="149" t="s">
        <v>52</v>
      </c>
      <c r="C183" s="149" t="s">
        <v>139</v>
      </c>
      <c r="D183" s="149">
        <v>457</v>
      </c>
      <c r="E183" s="150" t="s">
        <v>162</v>
      </c>
      <c r="F183" s="151">
        <v>1</v>
      </c>
      <c r="G183" s="152" t="s">
        <v>870</v>
      </c>
      <c r="H183" s="151">
        <v>300000</v>
      </c>
      <c r="I183" s="151">
        <v>0</v>
      </c>
      <c r="J183" s="253" t="s">
        <v>626</v>
      </c>
      <c r="K183" s="148"/>
    </row>
    <row r="184" spans="2:11" ht="30" outlineLevel="1" x14ac:dyDescent="0.25">
      <c r="B184" s="149" t="s">
        <v>52</v>
      </c>
      <c r="C184" s="149" t="s">
        <v>163</v>
      </c>
      <c r="D184" s="149">
        <v>456</v>
      </c>
      <c r="E184" s="150" t="s">
        <v>820</v>
      </c>
      <c r="F184" s="151">
        <v>1</v>
      </c>
      <c r="G184" s="152" t="s">
        <v>870</v>
      </c>
      <c r="H184" s="151">
        <v>250000</v>
      </c>
      <c r="I184" s="151">
        <v>0</v>
      </c>
      <c r="J184" s="253" t="s">
        <v>627</v>
      </c>
      <c r="K184" s="148"/>
    </row>
    <row r="185" spans="2:11" ht="30" outlineLevel="1" x14ac:dyDescent="0.25">
      <c r="B185" s="149" t="s">
        <v>52</v>
      </c>
      <c r="C185" s="149" t="s">
        <v>165</v>
      </c>
      <c r="D185" s="149">
        <v>464</v>
      </c>
      <c r="E185" s="150" t="s">
        <v>821</v>
      </c>
      <c r="F185" s="151">
        <v>1</v>
      </c>
      <c r="G185" s="152" t="s">
        <v>870</v>
      </c>
      <c r="H185" s="151">
        <v>300000</v>
      </c>
      <c r="I185" s="151">
        <v>0</v>
      </c>
      <c r="J185" s="253" t="s">
        <v>628</v>
      </c>
      <c r="K185" s="148"/>
    </row>
    <row r="186" spans="2:11" ht="30" outlineLevel="1" x14ac:dyDescent="0.25">
      <c r="B186" s="149" t="s">
        <v>52</v>
      </c>
      <c r="C186" s="149" t="s">
        <v>165</v>
      </c>
      <c r="D186" s="149">
        <v>463</v>
      </c>
      <c r="E186" s="150" t="s">
        <v>822</v>
      </c>
      <c r="F186" s="151">
        <v>1</v>
      </c>
      <c r="G186" s="152" t="s">
        <v>870</v>
      </c>
      <c r="H186" s="151">
        <v>300000</v>
      </c>
      <c r="I186" s="151">
        <v>0</v>
      </c>
      <c r="J186" s="253" t="s">
        <v>629</v>
      </c>
      <c r="K186" s="148"/>
    </row>
    <row r="187" spans="2:11" outlineLevel="1" x14ac:dyDescent="0.25">
      <c r="B187" s="149" t="s">
        <v>52</v>
      </c>
      <c r="C187" s="149" t="s">
        <v>167</v>
      </c>
      <c r="D187" s="149">
        <v>484</v>
      </c>
      <c r="E187" s="150" t="s">
        <v>823</v>
      </c>
      <c r="F187" s="151">
        <v>1</v>
      </c>
      <c r="G187" s="152" t="s">
        <v>870</v>
      </c>
      <c r="H187" s="151">
        <v>250000</v>
      </c>
      <c r="I187" s="151">
        <v>0</v>
      </c>
      <c r="J187" s="253" t="s">
        <v>630</v>
      </c>
      <c r="K187" s="148"/>
    </row>
    <row r="188" spans="2:11" ht="30" outlineLevel="1" x14ac:dyDescent="0.25">
      <c r="B188" s="149" t="s">
        <v>52</v>
      </c>
      <c r="C188" s="149" t="s">
        <v>167</v>
      </c>
      <c r="D188" s="149">
        <v>455</v>
      </c>
      <c r="E188" s="150" t="s">
        <v>824</v>
      </c>
      <c r="F188" s="151">
        <v>1</v>
      </c>
      <c r="G188" s="152" t="s">
        <v>870</v>
      </c>
      <c r="H188" s="151">
        <v>800000</v>
      </c>
      <c r="I188" s="151">
        <v>0</v>
      </c>
      <c r="J188" s="253" t="s">
        <v>631</v>
      </c>
      <c r="K188" s="148"/>
    </row>
    <row r="189" spans="2:11" ht="45" outlineLevel="1" x14ac:dyDescent="0.25">
      <c r="B189" s="149" t="s">
        <v>52</v>
      </c>
      <c r="C189" s="149" t="s">
        <v>167</v>
      </c>
      <c r="D189" s="149">
        <v>461</v>
      </c>
      <c r="E189" s="150" t="s">
        <v>825</v>
      </c>
      <c r="F189" s="151">
        <v>1</v>
      </c>
      <c r="G189" s="152" t="s">
        <v>870</v>
      </c>
      <c r="H189" s="151">
        <v>1300000</v>
      </c>
      <c r="I189" s="151">
        <v>0</v>
      </c>
      <c r="J189" s="253" t="s">
        <v>632</v>
      </c>
      <c r="K189" s="148"/>
    </row>
    <row r="190" spans="2:11" ht="30" outlineLevel="1" x14ac:dyDescent="0.25">
      <c r="B190" s="149" t="s">
        <v>52</v>
      </c>
      <c r="C190" s="149" t="s">
        <v>167</v>
      </c>
      <c r="D190" s="149">
        <v>460</v>
      </c>
      <c r="E190" s="150" t="s">
        <v>826</v>
      </c>
      <c r="F190" s="151">
        <v>1</v>
      </c>
      <c r="G190" s="152" t="s">
        <v>870</v>
      </c>
      <c r="H190" s="151">
        <v>1200000</v>
      </c>
      <c r="I190" s="151">
        <v>0</v>
      </c>
      <c r="J190" s="253" t="s">
        <v>633</v>
      </c>
      <c r="K190" s="148"/>
    </row>
    <row r="191" spans="2:11" ht="45" outlineLevel="1" x14ac:dyDescent="0.25">
      <c r="B191" s="149" t="s">
        <v>52</v>
      </c>
      <c r="C191" s="149" t="s">
        <v>167</v>
      </c>
      <c r="D191" s="149">
        <v>453</v>
      </c>
      <c r="E191" s="150" t="s">
        <v>827</v>
      </c>
      <c r="F191" s="151">
        <v>1</v>
      </c>
      <c r="G191" s="152" t="s">
        <v>870</v>
      </c>
      <c r="H191" s="151">
        <v>450000</v>
      </c>
      <c r="I191" s="151">
        <v>0</v>
      </c>
      <c r="J191" s="253" t="s">
        <v>634</v>
      </c>
      <c r="K191" s="148"/>
    </row>
    <row r="192" spans="2:11" ht="30" outlineLevel="1" x14ac:dyDescent="0.25">
      <c r="B192" s="149" t="s">
        <v>52</v>
      </c>
      <c r="C192" s="149" t="s">
        <v>167</v>
      </c>
      <c r="D192" s="149">
        <v>462</v>
      </c>
      <c r="E192" s="150" t="s">
        <v>828</v>
      </c>
      <c r="F192" s="151">
        <v>1</v>
      </c>
      <c r="G192" s="152" t="s">
        <v>870</v>
      </c>
      <c r="H192" s="151">
        <v>250000</v>
      </c>
      <c r="I192" s="151">
        <v>0</v>
      </c>
      <c r="J192" s="253" t="s">
        <v>635</v>
      </c>
      <c r="K192" s="148"/>
    </row>
    <row r="193" spans="2:11" outlineLevel="1" x14ac:dyDescent="0.25">
      <c r="B193" s="149" t="s">
        <v>52</v>
      </c>
      <c r="C193" s="149" t="s">
        <v>167</v>
      </c>
      <c r="D193" s="149">
        <v>458</v>
      </c>
      <c r="E193" s="150" t="s">
        <v>829</v>
      </c>
      <c r="F193" s="151">
        <v>1</v>
      </c>
      <c r="G193" s="152" t="s">
        <v>870</v>
      </c>
      <c r="H193" s="151">
        <v>300000</v>
      </c>
      <c r="I193" s="151">
        <v>0</v>
      </c>
      <c r="J193" s="253" t="s">
        <v>636</v>
      </c>
      <c r="K193" s="148"/>
    </row>
    <row r="194" spans="2:11" ht="30" outlineLevel="1" x14ac:dyDescent="0.25">
      <c r="B194" s="149" t="s">
        <v>52</v>
      </c>
      <c r="C194" s="149" t="s">
        <v>167</v>
      </c>
      <c r="D194" s="149">
        <v>454</v>
      </c>
      <c r="E194" s="150" t="s">
        <v>830</v>
      </c>
      <c r="F194" s="151">
        <v>1</v>
      </c>
      <c r="G194" s="152" t="s">
        <v>870</v>
      </c>
      <c r="H194" s="151">
        <v>300000</v>
      </c>
      <c r="I194" s="151">
        <v>0</v>
      </c>
      <c r="J194" s="253" t="s">
        <v>637</v>
      </c>
      <c r="K194" s="148"/>
    </row>
    <row r="195" spans="2:11" outlineLevel="1" x14ac:dyDescent="0.25">
      <c r="B195" s="149" t="s">
        <v>57</v>
      </c>
      <c r="C195" s="149" t="s">
        <v>140</v>
      </c>
      <c r="D195" s="149">
        <v>0</v>
      </c>
      <c r="E195" s="150" t="s">
        <v>831</v>
      </c>
      <c r="F195" s="151">
        <v>1</v>
      </c>
      <c r="G195" s="152" t="s">
        <v>870</v>
      </c>
      <c r="H195" s="151">
        <v>440193.87009192794</v>
      </c>
      <c r="I195" s="151">
        <v>0</v>
      </c>
      <c r="J195" s="253" t="s">
        <v>549</v>
      </c>
      <c r="K195" s="148"/>
    </row>
    <row r="196" spans="2:11" outlineLevel="1" x14ac:dyDescent="0.25">
      <c r="B196" s="149" t="s">
        <v>57</v>
      </c>
      <c r="C196" s="149" t="s">
        <v>140</v>
      </c>
      <c r="D196" s="149">
        <v>205</v>
      </c>
      <c r="E196" s="150" t="s">
        <v>832</v>
      </c>
      <c r="F196" s="151">
        <v>1</v>
      </c>
      <c r="G196" s="152" t="s">
        <v>870</v>
      </c>
      <c r="H196" s="151">
        <v>173096.25</v>
      </c>
      <c r="I196" s="151">
        <v>0</v>
      </c>
      <c r="J196" s="253" t="s">
        <v>624</v>
      </c>
      <c r="K196" s="148"/>
    </row>
    <row r="197" spans="2:11" outlineLevel="1" x14ac:dyDescent="0.25">
      <c r="B197" s="149" t="s">
        <v>57</v>
      </c>
      <c r="C197" s="149" t="s">
        <v>141</v>
      </c>
      <c r="D197" s="149">
        <v>0</v>
      </c>
      <c r="E197" s="150" t="s">
        <v>833</v>
      </c>
      <c r="F197" s="151">
        <v>1</v>
      </c>
      <c r="G197" s="152" t="s">
        <v>870</v>
      </c>
      <c r="H197" s="151">
        <v>201557.73108943822</v>
      </c>
      <c r="I197" s="151">
        <v>0</v>
      </c>
      <c r="J197" s="253" t="s">
        <v>549</v>
      </c>
      <c r="K197" s="148"/>
    </row>
    <row r="198" spans="2:11" outlineLevel="1" x14ac:dyDescent="0.25">
      <c r="B198" s="149" t="s">
        <v>57</v>
      </c>
      <c r="C198" s="149" t="s">
        <v>141</v>
      </c>
      <c r="D198" s="149">
        <v>206</v>
      </c>
      <c r="E198" s="150" t="s">
        <v>834</v>
      </c>
      <c r="F198" s="151">
        <v>1</v>
      </c>
      <c r="G198" s="152" t="s">
        <v>870</v>
      </c>
      <c r="H198" s="151">
        <v>6373.45</v>
      </c>
      <c r="I198" s="151">
        <v>0</v>
      </c>
      <c r="J198" s="253" t="s">
        <v>624</v>
      </c>
      <c r="K198" s="148"/>
    </row>
    <row r="199" spans="2:11" outlineLevel="1" x14ac:dyDescent="0.25">
      <c r="B199" s="149" t="s">
        <v>57</v>
      </c>
      <c r="C199" s="149" t="s">
        <v>142</v>
      </c>
      <c r="D199" s="149">
        <v>0</v>
      </c>
      <c r="E199" s="150" t="s">
        <v>835</v>
      </c>
      <c r="F199" s="151">
        <v>1</v>
      </c>
      <c r="G199" s="152" t="s">
        <v>870</v>
      </c>
      <c r="H199" s="151">
        <v>166272.45184413085</v>
      </c>
      <c r="I199" s="151">
        <v>0</v>
      </c>
      <c r="J199" s="253" t="s">
        <v>549</v>
      </c>
      <c r="K199" s="148"/>
    </row>
    <row r="200" spans="2:11" outlineLevel="1" x14ac:dyDescent="0.25">
      <c r="B200" s="149" t="s">
        <v>57</v>
      </c>
      <c r="C200" s="149" t="s">
        <v>142</v>
      </c>
      <c r="D200" s="149">
        <v>207</v>
      </c>
      <c r="E200" s="150" t="s">
        <v>836</v>
      </c>
      <c r="F200" s="151">
        <v>1</v>
      </c>
      <c r="G200" s="152" t="s">
        <v>870</v>
      </c>
      <c r="H200" s="151">
        <v>703124.87999999989</v>
      </c>
      <c r="I200" s="151">
        <v>0</v>
      </c>
      <c r="J200" s="253" t="s">
        <v>624</v>
      </c>
      <c r="K200" s="148"/>
    </row>
    <row r="201" spans="2:11" outlineLevel="1" x14ac:dyDescent="0.25">
      <c r="B201" s="149" t="s">
        <v>57</v>
      </c>
      <c r="C201" s="149" t="s">
        <v>143</v>
      </c>
      <c r="D201" s="149">
        <v>0</v>
      </c>
      <c r="E201" s="150" t="s">
        <v>837</v>
      </c>
      <c r="F201" s="151">
        <v>1</v>
      </c>
      <c r="G201" s="152" t="s">
        <v>870</v>
      </c>
      <c r="H201" s="151">
        <v>4577054.3323454643</v>
      </c>
      <c r="I201" s="151">
        <v>0</v>
      </c>
      <c r="J201" s="253" t="s">
        <v>549</v>
      </c>
      <c r="K201" s="148"/>
    </row>
    <row r="202" spans="2:11" outlineLevel="1" x14ac:dyDescent="0.25">
      <c r="B202" s="149" t="s">
        <v>57</v>
      </c>
      <c r="C202" s="149" t="s">
        <v>143</v>
      </c>
      <c r="D202" s="149">
        <v>209</v>
      </c>
      <c r="E202" s="150" t="s">
        <v>838</v>
      </c>
      <c r="F202" s="151">
        <v>1</v>
      </c>
      <c r="G202" s="152" t="s">
        <v>870</v>
      </c>
      <c r="H202" s="151">
        <v>770640.8600000001</v>
      </c>
      <c r="I202" s="151">
        <v>0</v>
      </c>
      <c r="J202" s="253" t="s">
        <v>624</v>
      </c>
      <c r="K202" s="148"/>
    </row>
    <row r="203" spans="2:11" outlineLevel="1" x14ac:dyDescent="0.25">
      <c r="B203" s="149" t="s">
        <v>57</v>
      </c>
      <c r="C203" s="149" t="s">
        <v>144</v>
      </c>
      <c r="D203" s="149">
        <v>0</v>
      </c>
      <c r="E203" s="150" t="s">
        <v>839</v>
      </c>
      <c r="F203" s="151">
        <v>1</v>
      </c>
      <c r="G203" s="152" t="s">
        <v>870</v>
      </c>
      <c r="H203" s="151">
        <v>392369.89905531798</v>
      </c>
      <c r="I203" s="151">
        <v>0</v>
      </c>
      <c r="J203" s="253" t="s">
        <v>549</v>
      </c>
      <c r="K203" s="148"/>
    </row>
    <row r="204" spans="2:11" outlineLevel="1" x14ac:dyDescent="0.25">
      <c r="B204" s="149" t="s">
        <v>57</v>
      </c>
      <c r="C204" s="149" t="s">
        <v>144</v>
      </c>
      <c r="D204" s="149">
        <v>210</v>
      </c>
      <c r="E204" s="150" t="s">
        <v>840</v>
      </c>
      <c r="F204" s="151">
        <v>1</v>
      </c>
      <c r="G204" s="152" t="s">
        <v>870</v>
      </c>
      <c r="H204" s="151">
        <v>27416.69</v>
      </c>
      <c r="I204" s="151">
        <v>0</v>
      </c>
      <c r="J204" s="253" t="s">
        <v>624</v>
      </c>
      <c r="K204" s="148"/>
    </row>
    <row r="205" spans="2:11" outlineLevel="1" x14ac:dyDescent="0.25">
      <c r="B205" s="149" t="s">
        <v>57</v>
      </c>
      <c r="C205" s="149" t="s">
        <v>145</v>
      </c>
      <c r="D205" s="149">
        <v>0</v>
      </c>
      <c r="E205" s="150" t="s">
        <v>841</v>
      </c>
      <c r="F205" s="151">
        <v>1</v>
      </c>
      <c r="G205" s="152" t="s">
        <v>870</v>
      </c>
      <c r="H205" s="151">
        <v>0</v>
      </c>
      <c r="I205" s="151">
        <v>0</v>
      </c>
      <c r="J205" s="253" t="s">
        <v>549</v>
      </c>
      <c r="K205" s="148"/>
    </row>
    <row r="206" spans="2:11" outlineLevel="1" x14ac:dyDescent="0.25">
      <c r="B206" s="149" t="s">
        <v>57</v>
      </c>
      <c r="C206" s="149" t="s">
        <v>145</v>
      </c>
      <c r="D206" s="149">
        <v>212</v>
      </c>
      <c r="E206" s="150" t="s">
        <v>842</v>
      </c>
      <c r="F206" s="151">
        <v>1</v>
      </c>
      <c r="G206" s="152" t="s">
        <v>870</v>
      </c>
      <c r="H206" s="151">
        <v>64463.49</v>
      </c>
      <c r="I206" s="151">
        <v>0</v>
      </c>
      <c r="J206" s="253" t="s">
        <v>624</v>
      </c>
      <c r="K206" s="148"/>
    </row>
    <row r="207" spans="2:11" outlineLevel="1" x14ac:dyDescent="0.25">
      <c r="B207" s="149" t="s">
        <v>57</v>
      </c>
      <c r="C207" s="149" t="s">
        <v>146</v>
      </c>
      <c r="D207" s="149">
        <v>0</v>
      </c>
      <c r="E207" s="150" t="s">
        <v>843</v>
      </c>
      <c r="F207" s="151">
        <v>1</v>
      </c>
      <c r="G207" s="152" t="s">
        <v>870</v>
      </c>
      <c r="H207" s="151">
        <v>744422.82444867154</v>
      </c>
      <c r="I207" s="151">
        <v>0</v>
      </c>
      <c r="J207" s="253" t="s">
        <v>549</v>
      </c>
      <c r="K207" s="148"/>
    </row>
    <row r="208" spans="2:11" outlineLevel="1" x14ac:dyDescent="0.25">
      <c r="B208" s="149" t="s">
        <v>57</v>
      </c>
      <c r="C208" s="149" t="s">
        <v>146</v>
      </c>
      <c r="D208" s="149">
        <v>213</v>
      </c>
      <c r="E208" s="150" t="s">
        <v>844</v>
      </c>
      <c r="F208" s="151">
        <v>1</v>
      </c>
      <c r="G208" s="152" t="s">
        <v>870</v>
      </c>
      <c r="H208" s="151">
        <v>88134.75</v>
      </c>
      <c r="I208" s="151">
        <v>0</v>
      </c>
      <c r="J208" s="253" t="s">
        <v>624</v>
      </c>
      <c r="K208" s="148"/>
    </row>
    <row r="209" spans="2:11" outlineLevel="1" x14ac:dyDescent="0.25">
      <c r="B209" s="149" t="s">
        <v>57</v>
      </c>
      <c r="C209" s="149" t="s">
        <v>147</v>
      </c>
      <c r="D209" s="149">
        <v>0</v>
      </c>
      <c r="E209" s="150" t="s">
        <v>845</v>
      </c>
      <c r="F209" s="151">
        <v>1</v>
      </c>
      <c r="G209" s="152" t="s">
        <v>870</v>
      </c>
      <c r="H209" s="151">
        <v>509698.1653696007</v>
      </c>
      <c r="I209" s="151">
        <v>0</v>
      </c>
      <c r="J209" s="253" t="s">
        <v>549</v>
      </c>
      <c r="K209" s="148"/>
    </row>
    <row r="210" spans="2:11" outlineLevel="1" x14ac:dyDescent="0.25">
      <c r="B210" s="149" t="s">
        <v>57</v>
      </c>
      <c r="C210" s="149" t="s">
        <v>147</v>
      </c>
      <c r="D210" s="149">
        <v>214</v>
      </c>
      <c r="E210" s="150" t="s">
        <v>846</v>
      </c>
      <c r="F210" s="151">
        <v>1</v>
      </c>
      <c r="G210" s="152" t="s">
        <v>870</v>
      </c>
      <c r="H210" s="151">
        <v>1710.43</v>
      </c>
      <c r="I210" s="151">
        <v>0</v>
      </c>
      <c r="J210" s="253" t="s">
        <v>624</v>
      </c>
      <c r="K210" s="148"/>
    </row>
    <row r="211" spans="2:11" outlineLevel="1" x14ac:dyDescent="0.25">
      <c r="B211" s="149" t="s">
        <v>58</v>
      </c>
      <c r="C211" s="149" t="s">
        <v>464</v>
      </c>
      <c r="D211" s="149">
        <v>174</v>
      </c>
      <c r="E211" s="150" t="s">
        <v>22</v>
      </c>
      <c r="F211" s="151">
        <v>1</v>
      </c>
      <c r="G211" s="152" t="s">
        <v>870</v>
      </c>
      <c r="H211" s="151">
        <v>5248796.2774669053</v>
      </c>
      <c r="I211" s="151">
        <v>0</v>
      </c>
      <c r="J211" s="253" t="s">
        <v>624</v>
      </c>
      <c r="K211" s="148"/>
    </row>
    <row r="212" spans="2:11" outlineLevel="1" x14ac:dyDescent="0.25">
      <c r="B212" s="149" t="s">
        <v>59</v>
      </c>
      <c r="C212" s="149" t="s">
        <v>470</v>
      </c>
      <c r="D212" s="149">
        <v>217</v>
      </c>
      <c r="E212" s="150" t="s">
        <v>847</v>
      </c>
      <c r="F212" s="151">
        <v>1</v>
      </c>
      <c r="G212" s="152" t="s">
        <v>870</v>
      </c>
      <c r="H212" s="151">
        <v>2580141</v>
      </c>
      <c r="I212" s="151">
        <v>0</v>
      </c>
      <c r="J212" s="253" t="s">
        <v>549</v>
      </c>
      <c r="K212" s="148"/>
    </row>
    <row r="213" spans="2:11" x14ac:dyDescent="0.25">
      <c r="B213" s="216" t="s">
        <v>553</v>
      </c>
      <c r="C213" s="216"/>
      <c r="D213" s="216"/>
      <c r="E213" s="217"/>
      <c r="F213" s="218"/>
      <c r="G213" s="218"/>
      <c r="H213" s="218">
        <v>7253161.7452909257</v>
      </c>
      <c r="I213" s="218"/>
      <c r="J213" s="218"/>
      <c r="K213" s="148"/>
    </row>
    <row r="214" spans="2:11" outlineLevel="1" x14ac:dyDescent="0.25">
      <c r="B214" s="149" t="s">
        <v>43</v>
      </c>
      <c r="C214" s="149" t="s">
        <v>189</v>
      </c>
      <c r="D214" s="149">
        <v>0</v>
      </c>
      <c r="E214" s="150" t="s">
        <v>667</v>
      </c>
      <c r="F214" s="151">
        <v>1</v>
      </c>
      <c r="G214" s="152" t="s">
        <v>870</v>
      </c>
      <c r="H214" s="151">
        <v>5456.8722323579659</v>
      </c>
      <c r="I214" s="151">
        <v>0</v>
      </c>
      <c r="J214" s="253" t="s">
        <v>549</v>
      </c>
      <c r="K214" s="148"/>
    </row>
    <row r="215" spans="2:11" outlineLevel="1" x14ac:dyDescent="0.25">
      <c r="B215" s="149" t="s">
        <v>43</v>
      </c>
      <c r="C215" s="149" t="s">
        <v>193</v>
      </c>
      <c r="D215" s="149">
        <v>0</v>
      </c>
      <c r="E215" s="150" t="s">
        <v>670</v>
      </c>
      <c r="F215" s="151">
        <v>1</v>
      </c>
      <c r="G215" s="152" t="s">
        <v>870</v>
      </c>
      <c r="H215" s="151">
        <v>8185.308348536948</v>
      </c>
      <c r="I215" s="151">
        <v>0</v>
      </c>
      <c r="J215" s="253" t="s">
        <v>549</v>
      </c>
      <c r="K215" s="148"/>
    </row>
    <row r="216" spans="2:11" outlineLevel="1" x14ac:dyDescent="0.25">
      <c r="B216" s="149" t="s">
        <v>44</v>
      </c>
      <c r="C216" s="149" t="s">
        <v>197</v>
      </c>
      <c r="D216" s="149">
        <v>0</v>
      </c>
      <c r="E216" s="150" t="s">
        <v>673</v>
      </c>
      <c r="F216" s="151">
        <v>1</v>
      </c>
      <c r="G216" s="152" t="s">
        <v>870</v>
      </c>
      <c r="H216" s="151">
        <v>17393.780240641016</v>
      </c>
      <c r="I216" s="151">
        <v>0</v>
      </c>
      <c r="J216" s="253" t="s">
        <v>549</v>
      </c>
      <c r="K216" s="148"/>
    </row>
    <row r="217" spans="2:11" outlineLevel="1" x14ac:dyDescent="0.25">
      <c r="B217" s="149" t="s">
        <v>44</v>
      </c>
      <c r="C217" s="149" t="s">
        <v>201</v>
      </c>
      <c r="D217" s="149">
        <v>0</v>
      </c>
      <c r="E217" s="150" t="s">
        <v>675</v>
      </c>
      <c r="F217" s="151">
        <v>1</v>
      </c>
      <c r="G217" s="152" t="s">
        <v>870</v>
      </c>
      <c r="H217" s="151">
        <v>156544.02216576913</v>
      </c>
      <c r="I217" s="151">
        <v>0</v>
      </c>
      <c r="J217" s="253" t="s">
        <v>549</v>
      </c>
      <c r="K217" s="148"/>
    </row>
    <row r="218" spans="2:11" outlineLevel="1" x14ac:dyDescent="0.25">
      <c r="B218" s="149" t="s">
        <v>45</v>
      </c>
      <c r="C218" s="149" t="s">
        <v>205</v>
      </c>
      <c r="D218" s="149">
        <v>238</v>
      </c>
      <c r="E218" s="150" t="s">
        <v>678</v>
      </c>
      <c r="F218" s="151">
        <v>40</v>
      </c>
      <c r="G218" s="152" t="s">
        <v>871</v>
      </c>
      <c r="H218" s="151">
        <v>2719.5623225806457</v>
      </c>
      <c r="I218" s="151">
        <v>40</v>
      </c>
      <c r="J218" s="253" t="s">
        <v>549</v>
      </c>
      <c r="K218" s="148"/>
    </row>
    <row r="219" spans="2:11" outlineLevel="1" x14ac:dyDescent="0.25">
      <c r="B219" s="149" t="s">
        <v>45</v>
      </c>
      <c r="C219" s="149" t="s">
        <v>208</v>
      </c>
      <c r="D219" s="149">
        <v>239</v>
      </c>
      <c r="E219" s="150" t="s">
        <v>679</v>
      </c>
      <c r="F219" s="151">
        <v>120</v>
      </c>
      <c r="G219" s="152" t="s">
        <v>871</v>
      </c>
      <c r="H219" s="151">
        <v>21359.491045161289</v>
      </c>
      <c r="I219" s="151">
        <v>120</v>
      </c>
      <c r="J219" s="253" t="s">
        <v>549</v>
      </c>
      <c r="K219" s="148"/>
    </row>
    <row r="220" spans="2:11" outlineLevel="1" x14ac:dyDescent="0.25">
      <c r="B220" s="149" t="s">
        <v>45</v>
      </c>
      <c r="C220" s="149" t="s">
        <v>331</v>
      </c>
      <c r="D220" s="149">
        <v>242</v>
      </c>
      <c r="E220" s="150" t="s">
        <v>681</v>
      </c>
      <c r="F220" s="151">
        <v>80</v>
      </c>
      <c r="G220" s="152" t="s">
        <v>871</v>
      </c>
      <c r="H220" s="151">
        <v>5439.1246451612915</v>
      </c>
      <c r="I220" s="151">
        <v>80</v>
      </c>
      <c r="J220" s="253" t="s">
        <v>549</v>
      </c>
      <c r="K220" s="148"/>
    </row>
    <row r="221" spans="2:11" outlineLevel="1" x14ac:dyDescent="0.25">
      <c r="B221" s="149" t="s">
        <v>45</v>
      </c>
      <c r="C221" s="149" t="s">
        <v>212</v>
      </c>
      <c r="D221" s="149">
        <v>243</v>
      </c>
      <c r="E221" s="150" t="s">
        <v>682</v>
      </c>
      <c r="F221" s="151">
        <v>160</v>
      </c>
      <c r="G221" s="152" t="s">
        <v>871</v>
      </c>
      <c r="H221" s="151">
        <v>28832.216980645164</v>
      </c>
      <c r="I221" s="151">
        <v>160</v>
      </c>
      <c r="J221" s="253" t="s">
        <v>549</v>
      </c>
      <c r="K221" s="148"/>
    </row>
    <row r="222" spans="2:11" outlineLevel="1" x14ac:dyDescent="0.25">
      <c r="B222" s="149" t="s">
        <v>45</v>
      </c>
      <c r="C222" s="149" t="s">
        <v>342</v>
      </c>
      <c r="D222" s="149">
        <v>247</v>
      </c>
      <c r="E222" s="150" t="s">
        <v>687</v>
      </c>
      <c r="F222" s="151">
        <v>40</v>
      </c>
      <c r="G222" s="152" t="s">
        <v>871</v>
      </c>
      <c r="H222" s="151">
        <v>2817.0942451612909</v>
      </c>
      <c r="I222" s="151">
        <v>40</v>
      </c>
      <c r="J222" s="253" t="s">
        <v>549</v>
      </c>
      <c r="K222" s="148"/>
    </row>
    <row r="223" spans="2:11" ht="30" outlineLevel="1" x14ac:dyDescent="0.25">
      <c r="B223" s="149" t="s">
        <v>46</v>
      </c>
      <c r="C223" s="149" t="s">
        <v>387</v>
      </c>
      <c r="D223" s="149">
        <v>480</v>
      </c>
      <c r="E223" s="150" t="s">
        <v>848</v>
      </c>
      <c r="F223" s="151">
        <v>8</v>
      </c>
      <c r="G223" s="152" t="s">
        <v>872</v>
      </c>
      <c r="H223" s="151">
        <v>6371.4180530973454</v>
      </c>
      <c r="I223" s="151">
        <v>0</v>
      </c>
      <c r="J223" s="253" t="s">
        <v>549</v>
      </c>
      <c r="K223" s="148"/>
    </row>
    <row r="224" spans="2:11" outlineLevel="1" x14ac:dyDescent="0.25">
      <c r="B224" s="149" t="s">
        <v>46</v>
      </c>
      <c r="C224" s="149" t="s">
        <v>387</v>
      </c>
      <c r="D224" s="149">
        <v>478</v>
      </c>
      <c r="E224" s="150" t="s">
        <v>849</v>
      </c>
      <c r="F224" s="151">
        <v>40</v>
      </c>
      <c r="G224" s="152" t="s">
        <v>872</v>
      </c>
      <c r="H224" s="151">
        <v>29202.332743362829</v>
      </c>
      <c r="I224" s="151">
        <v>0</v>
      </c>
      <c r="J224" s="253" t="s">
        <v>549</v>
      </c>
      <c r="K224" s="148"/>
    </row>
    <row r="225" spans="2:11" outlineLevel="1" x14ac:dyDescent="0.25">
      <c r="B225" s="149" t="s">
        <v>46</v>
      </c>
      <c r="C225" s="149" t="s">
        <v>387</v>
      </c>
      <c r="D225" s="149">
        <v>470</v>
      </c>
      <c r="E225" s="150" t="s">
        <v>850</v>
      </c>
      <c r="F225" s="151">
        <v>8</v>
      </c>
      <c r="G225" s="152" t="s">
        <v>872</v>
      </c>
      <c r="H225" s="151">
        <v>40639.028148672558</v>
      </c>
      <c r="I225" s="151">
        <v>0</v>
      </c>
      <c r="J225" s="253" t="s">
        <v>549</v>
      </c>
      <c r="K225" s="148"/>
    </row>
    <row r="226" spans="2:11" outlineLevel="1" x14ac:dyDescent="0.25">
      <c r="B226" s="149" t="s">
        <v>46</v>
      </c>
      <c r="C226" s="149" t="s">
        <v>387</v>
      </c>
      <c r="D226" s="149">
        <v>476</v>
      </c>
      <c r="E226" s="150" t="s">
        <v>851</v>
      </c>
      <c r="F226" s="151">
        <v>4</v>
      </c>
      <c r="G226" s="152" t="s">
        <v>872</v>
      </c>
      <c r="H226" s="151">
        <v>16932.928395280236</v>
      </c>
      <c r="I226" s="151">
        <v>0</v>
      </c>
      <c r="J226" s="253" t="s">
        <v>549</v>
      </c>
      <c r="K226" s="148"/>
    </row>
    <row r="227" spans="2:11" outlineLevel="1" x14ac:dyDescent="0.25">
      <c r="B227" s="149" t="s">
        <v>46</v>
      </c>
      <c r="C227" s="149" t="s">
        <v>387</v>
      </c>
      <c r="D227" s="149">
        <v>472</v>
      </c>
      <c r="E227" s="150" t="s">
        <v>852</v>
      </c>
      <c r="F227" s="151">
        <v>8</v>
      </c>
      <c r="G227" s="152" t="s">
        <v>872</v>
      </c>
      <c r="H227" s="151">
        <v>33865.856790560472</v>
      </c>
      <c r="I227" s="151">
        <v>0</v>
      </c>
      <c r="J227" s="253" t="s">
        <v>549</v>
      </c>
      <c r="K227" s="148"/>
    </row>
    <row r="228" spans="2:11" ht="30" outlineLevel="1" x14ac:dyDescent="0.25">
      <c r="B228" s="149" t="s">
        <v>46</v>
      </c>
      <c r="C228" s="149" t="s">
        <v>388</v>
      </c>
      <c r="D228" s="149">
        <v>488</v>
      </c>
      <c r="E228" s="150" t="s">
        <v>853</v>
      </c>
      <c r="F228" s="151">
        <v>200</v>
      </c>
      <c r="G228" s="152" t="s">
        <v>873</v>
      </c>
      <c r="H228" s="151">
        <v>124.773603539823</v>
      </c>
      <c r="I228" s="151">
        <v>0</v>
      </c>
      <c r="J228" s="253" t="s">
        <v>549</v>
      </c>
      <c r="K228" s="148"/>
    </row>
    <row r="229" spans="2:11" ht="30" outlineLevel="1" x14ac:dyDescent="0.25">
      <c r="B229" s="149" t="s">
        <v>46</v>
      </c>
      <c r="C229" s="149" t="s">
        <v>388</v>
      </c>
      <c r="D229" s="149">
        <v>486</v>
      </c>
      <c r="E229" s="150" t="s">
        <v>854</v>
      </c>
      <c r="F229" s="151">
        <v>200</v>
      </c>
      <c r="G229" s="152" t="s">
        <v>873</v>
      </c>
      <c r="H229" s="151">
        <v>57.077286725663718</v>
      </c>
      <c r="I229" s="151">
        <v>0</v>
      </c>
      <c r="J229" s="253" t="s">
        <v>549</v>
      </c>
      <c r="K229" s="148"/>
    </row>
    <row r="230" spans="2:11" ht="30" outlineLevel="1" x14ac:dyDescent="0.25">
      <c r="B230" s="149" t="s">
        <v>46</v>
      </c>
      <c r="C230" s="149" t="s">
        <v>388</v>
      </c>
      <c r="D230" s="149">
        <v>482</v>
      </c>
      <c r="E230" s="150" t="s">
        <v>855</v>
      </c>
      <c r="F230" s="151">
        <v>100</v>
      </c>
      <c r="G230" s="152" t="s">
        <v>872</v>
      </c>
      <c r="H230" s="151">
        <v>94.243892035398233</v>
      </c>
      <c r="I230" s="151">
        <v>0</v>
      </c>
      <c r="J230" s="253" t="s">
        <v>549</v>
      </c>
      <c r="K230" s="148"/>
    </row>
    <row r="231" spans="2:11" ht="30" outlineLevel="1" x14ac:dyDescent="0.25">
      <c r="B231" s="149" t="s">
        <v>46</v>
      </c>
      <c r="C231" s="149" t="s">
        <v>388</v>
      </c>
      <c r="D231" s="149">
        <v>484</v>
      </c>
      <c r="E231" s="150" t="s">
        <v>856</v>
      </c>
      <c r="F231" s="151">
        <v>100</v>
      </c>
      <c r="G231" s="152" t="s">
        <v>872</v>
      </c>
      <c r="H231" s="151">
        <v>70.351074336283176</v>
      </c>
      <c r="I231" s="151">
        <v>0</v>
      </c>
      <c r="J231" s="253" t="s">
        <v>549</v>
      </c>
      <c r="K231" s="148"/>
    </row>
    <row r="232" spans="2:11" outlineLevel="1" x14ac:dyDescent="0.25">
      <c r="B232" s="149" t="s">
        <v>46</v>
      </c>
      <c r="C232" s="149" t="s">
        <v>388</v>
      </c>
      <c r="D232" s="149">
        <v>298</v>
      </c>
      <c r="E232" s="150" t="s">
        <v>710</v>
      </c>
      <c r="F232" s="151">
        <v>10000</v>
      </c>
      <c r="G232" s="152" t="s">
        <v>873</v>
      </c>
      <c r="H232" s="151">
        <v>19578.836725663718</v>
      </c>
      <c r="I232" s="151">
        <v>0</v>
      </c>
      <c r="J232" s="253" t="s">
        <v>591</v>
      </c>
      <c r="K232" s="148"/>
    </row>
    <row r="233" spans="2:11" outlineLevel="1" x14ac:dyDescent="0.25">
      <c r="B233" s="149" t="s">
        <v>47</v>
      </c>
      <c r="C233" s="149" t="s">
        <v>240</v>
      </c>
      <c r="D233" s="149">
        <v>132</v>
      </c>
      <c r="E233" s="150" t="s">
        <v>727</v>
      </c>
      <c r="F233" s="151">
        <v>320</v>
      </c>
      <c r="G233" s="152" t="s">
        <v>871</v>
      </c>
      <c r="H233" s="151">
        <v>21146.70752</v>
      </c>
      <c r="I233" s="151">
        <v>320</v>
      </c>
      <c r="J233" s="253" t="s">
        <v>638</v>
      </c>
      <c r="K233" s="148"/>
    </row>
    <row r="234" spans="2:11" outlineLevel="1" x14ac:dyDescent="0.25">
      <c r="B234" s="149" t="s">
        <v>47</v>
      </c>
      <c r="C234" s="149" t="s">
        <v>242</v>
      </c>
      <c r="D234" s="149">
        <v>0</v>
      </c>
      <c r="E234" s="150" t="s">
        <v>728</v>
      </c>
      <c r="F234" s="151">
        <v>1</v>
      </c>
      <c r="G234" s="152" t="s">
        <v>870</v>
      </c>
      <c r="H234" s="151">
        <v>33081.576843100011</v>
      </c>
      <c r="I234" s="151">
        <v>0</v>
      </c>
      <c r="J234" s="253" t="s">
        <v>549</v>
      </c>
      <c r="K234" s="148"/>
    </row>
    <row r="235" spans="2:11" outlineLevel="1" x14ac:dyDescent="0.25">
      <c r="B235" s="149" t="s">
        <v>47</v>
      </c>
      <c r="C235" s="149" t="s">
        <v>242</v>
      </c>
      <c r="D235" s="149">
        <v>0</v>
      </c>
      <c r="E235" s="150" t="s">
        <v>729</v>
      </c>
      <c r="F235" s="151">
        <v>1</v>
      </c>
      <c r="G235" s="152" t="s">
        <v>870</v>
      </c>
      <c r="H235" s="151">
        <v>33081.576843100011</v>
      </c>
      <c r="I235" s="151">
        <v>0</v>
      </c>
      <c r="J235" s="253" t="s">
        <v>549</v>
      </c>
      <c r="K235" s="148"/>
    </row>
    <row r="236" spans="2:11" ht="30" outlineLevel="1" x14ac:dyDescent="0.25">
      <c r="B236" s="149" t="s">
        <v>47</v>
      </c>
      <c r="C236" s="149" t="s">
        <v>440</v>
      </c>
      <c r="D236" s="149">
        <v>489</v>
      </c>
      <c r="E236" s="150" t="s">
        <v>857</v>
      </c>
      <c r="F236" s="151">
        <v>200</v>
      </c>
      <c r="G236" s="152" t="s">
        <v>873</v>
      </c>
      <c r="H236" s="151">
        <v>230.79879500000001</v>
      </c>
      <c r="I236" s="151">
        <v>1.2</v>
      </c>
      <c r="J236" s="253" t="s">
        <v>549</v>
      </c>
      <c r="K236" s="148"/>
    </row>
    <row r="237" spans="2:11" ht="30" outlineLevel="1" x14ac:dyDescent="0.25">
      <c r="B237" s="149" t="s">
        <v>47</v>
      </c>
      <c r="C237" s="149" t="s">
        <v>440</v>
      </c>
      <c r="D237" s="149">
        <v>487</v>
      </c>
      <c r="E237" s="150" t="s">
        <v>858</v>
      </c>
      <c r="F237" s="151">
        <v>200</v>
      </c>
      <c r="G237" s="152" t="s">
        <v>873</v>
      </c>
      <c r="H237" s="151">
        <v>192.33056099999999</v>
      </c>
      <c r="I237" s="151">
        <v>1</v>
      </c>
      <c r="J237" s="253" t="s">
        <v>549</v>
      </c>
      <c r="K237" s="148"/>
    </row>
    <row r="238" spans="2:11" ht="30" outlineLevel="1" x14ac:dyDescent="0.25">
      <c r="B238" s="149" t="s">
        <v>47</v>
      </c>
      <c r="C238" s="149" t="s">
        <v>440</v>
      </c>
      <c r="D238" s="149">
        <v>483</v>
      </c>
      <c r="E238" s="150" t="s">
        <v>859</v>
      </c>
      <c r="F238" s="151">
        <v>100</v>
      </c>
      <c r="G238" s="152" t="s">
        <v>872</v>
      </c>
      <c r="H238" s="151">
        <v>2307.9667319999999</v>
      </c>
      <c r="I238" s="151">
        <v>12</v>
      </c>
      <c r="J238" s="253" t="s">
        <v>549</v>
      </c>
      <c r="K238" s="148"/>
    </row>
    <row r="239" spans="2:11" ht="30" outlineLevel="1" x14ac:dyDescent="0.25">
      <c r="B239" s="149" t="s">
        <v>47</v>
      </c>
      <c r="C239" s="149" t="s">
        <v>440</v>
      </c>
      <c r="D239" s="149">
        <v>485</v>
      </c>
      <c r="E239" s="150" t="s">
        <v>860</v>
      </c>
      <c r="F239" s="151">
        <v>100</v>
      </c>
      <c r="G239" s="152" t="s">
        <v>872</v>
      </c>
      <c r="H239" s="151">
        <v>1538.6444879999999</v>
      </c>
      <c r="I239" s="151">
        <v>8</v>
      </c>
      <c r="J239" s="253" t="s">
        <v>549</v>
      </c>
      <c r="K239" s="148"/>
    </row>
    <row r="240" spans="2:11" outlineLevel="1" x14ac:dyDescent="0.25">
      <c r="B240" s="149" t="s">
        <v>47</v>
      </c>
      <c r="C240" s="149" t="s">
        <v>440</v>
      </c>
      <c r="D240" s="149">
        <v>299</v>
      </c>
      <c r="E240" s="150" t="s">
        <v>783</v>
      </c>
      <c r="F240" s="151">
        <v>10000</v>
      </c>
      <c r="G240" s="152" t="s">
        <v>873</v>
      </c>
      <c r="H240" s="151">
        <v>46159.334640000001</v>
      </c>
      <c r="I240" s="151">
        <v>240</v>
      </c>
      <c r="J240" s="253" t="s">
        <v>591</v>
      </c>
      <c r="K240" s="148"/>
    </row>
    <row r="241" spans="2:11" outlineLevel="1" x14ac:dyDescent="0.25">
      <c r="B241" s="149" t="s">
        <v>47</v>
      </c>
      <c r="C241" s="149" t="s">
        <v>443</v>
      </c>
      <c r="D241" s="149">
        <v>481</v>
      </c>
      <c r="E241" s="150" t="s">
        <v>861</v>
      </c>
      <c r="F241" s="151">
        <v>8</v>
      </c>
      <c r="G241" s="152" t="s">
        <v>872</v>
      </c>
      <c r="H241" s="151">
        <v>1538.6444879999999</v>
      </c>
      <c r="I241" s="151">
        <v>8</v>
      </c>
      <c r="J241" s="253" t="s">
        <v>549</v>
      </c>
      <c r="K241" s="148"/>
    </row>
    <row r="242" spans="2:11" outlineLevel="1" x14ac:dyDescent="0.25">
      <c r="B242" s="149" t="s">
        <v>47</v>
      </c>
      <c r="C242" s="149" t="s">
        <v>443</v>
      </c>
      <c r="D242" s="149">
        <v>479</v>
      </c>
      <c r="E242" s="150" t="s">
        <v>862</v>
      </c>
      <c r="F242" s="151">
        <v>40</v>
      </c>
      <c r="G242" s="152" t="s">
        <v>872</v>
      </c>
      <c r="H242" s="151">
        <v>19233.056099999998</v>
      </c>
      <c r="I242" s="151">
        <v>100</v>
      </c>
      <c r="J242" s="253" t="s">
        <v>549</v>
      </c>
      <c r="K242" s="148"/>
    </row>
    <row r="243" spans="2:11" outlineLevel="1" x14ac:dyDescent="0.25">
      <c r="B243" s="149" t="s">
        <v>47</v>
      </c>
      <c r="C243" s="149" t="s">
        <v>443</v>
      </c>
      <c r="D243" s="149">
        <v>471</v>
      </c>
      <c r="E243" s="150" t="s">
        <v>863</v>
      </c>
      <c r="F243" s="151">
        <v>8</v>
      </c>
      <c r="G243" s="152" t="s">
        <v>872</v>
      </c>
      <c r="H243" s="151">
        <v>492366.23615999997</v>
      </c>
      <c r="I243" s="151">
        <v>2560</v>
      </c>
      <c r="J243" s="253" t="s">
        <v>549</v>
      </c>
      <c r="K243" s="148"/>
    </row>
    <row r="244" spans="2:11" outlineLevel="1" x14ac:dyDescent="0.25">
      <c r="B244" s="149" t="s">
        <v>47</v>
      </c>
      <c r="C244" s="149" t="s">
        <v>443</v>
      </c>
      <c r="D244" s="149">
        <v>477</v>
      </c>
      <c r="E244" s="150" t="s">
        <v>864</v>
      </c>
      <c r="F244" s="151">
        <v>4</v>
      </c>
      <c r="G244" s="152" t="s">
        <v>872</v>
      </c>
      <c r="H244" s="151">
        <v>246183.11807999999</v>
      </c>
      <c r="I244" s="151">
        <v>1280</v>
      </c>
      <c r="J244" s="253" t="s">
        <v>549</v>
      </c>
      <c r="K244" s="148"/>
    </row>
    <row r="245" spans="2:11" outlineLevel="1" x14ac:dyDescent="0.25">
      <c r="B245" s="149" t="s">
        <v>47</v>
      </c>
      <c r="C245" s="149" t="s">
        <v>443</v>
      </c>
      <c r="D245" s="149">
        <v>473</v>
      </c>
      <c r="E245" s="150" t="s">
        <v>865</v>
      </c>
      <c r="F245" s="151">
        <v>8</v>
      </c>
      <c r="G245" s="152" t="s">
        <v>872</v>
      </c>
      <c r="H245" s="151">
        <v>492366.23615999997</v>
      </c>
      <c r="I245" s="151">
        <v>2560</v>
      </c>
      <c r="J245" s="253" t="s">
        <v>549</v>
      </c>
      <c r="K245" s="148"/>
    </row>
    <row r="246" spans="2:11" outlineLevel="1" x14ac:dyDescent="0.25">
      <c r="B246" s="149" t="s">
        <v>48</v>
      </c>
      <c r="C246" s="149" t="s">
        <v>449</v>
      </c>
      <c r="D246" s="149">
        <v>138</v>
      </c>
      <c r="E246" s="150" t="s">
        <v>799</v>
      </c>
      <c r="F246" s="151">
        <v>2600</v>
      </c>
      <c r="G246" s="152" t="s">
        <v>871</v>
      </c>
      <c r="H246" s="151">
        <v>663104.93599999999</v>
      </c>
      <c r="I246" s="151">
        <v>2600</v>
      </c>
      <c r="J246" s="253" t="s">
        <v>618</v>
      </c>
      <c r="K246" s="148"/>
    </row>
    <row r="247" spans="2:11" ht="75" outlineLevel="1" x14ac:dyDescent="0.25">
      <c r="B247" s="149" t="s">
        <v>48</v>
      </c>
      <c r="C247" s="149" t="s">
        <v>450</v>
      </c>
      <c r="D247" s="149">
        <v>140</v>
      </c>
      <c r="E247" s="150" t="s">
        <v>800</v>
      </c>
      <c r="F247" s="151">
        <v>5200</v>
      </c>
      <c r="G247" s="152" t="s">
        <v>871</v>
      </c>
      <c r="H247" s="151">
        <v>1151386.2827999999</v>
      </c>
      <c r="I247" s="151">
        <v>5200</v>
      </c>
      <c r="J247" s="253" t="s">
        <v>639</v>
      </c>
      <c r="K247" s="148"/>
    </row>
    <row r="248" spans="2:11" ht="45" outlineLevel="1" x14ac:dyDescent="0.25">
      <c r="B248" s="149" t="s">
        <v>49</v>
      </c>
      <c r="C248" s="149" t="s">
        <v>271</v>
      </c>
      <c r="D248" s="149">
        <v>148</v>
      </c>
      <c r="E248" s="150" t="s">
        <v>804</v>
      </c>
      <c r="F248" s="151">
        <v>138</v>
      </c>
      <c r="G248" s="152" t="s">
        <v>871</v>
      </c>
      <c r="H248" s="151">
        <v>25029.792238591417</v>
      </c>
      <c r="I248" s="151">
        <v>138</v>
      </c>
      <c r="J248" s="253" t="s">
        <v>640</v>
      </c>
      <c r="K248" s="148"/>
    </row>
    <row r="249" spans="2:11" outlineLevel="1" x14ac:dyDescent="0.25">
      <c r="B249" s="149" t="s">
        <v>49</v>
      </c>
      <c r="C249" s="149" t="s">
        <v>461</v>
      </c>
      <c r="D249" s="149">
        <v>149</v>
      </c>
      <c r="E249" s="150" t="s">
        <v>807</v>
      </c>
      <c r="F249" s="151">
        <v>24</v>
      </c>
      <c r="G249" s="152" t="s">
        <v>871</v>
      </c>
      <c r="H249" s="151">
        <v>1790.1008245598191</v>
      </c>
      <c r="I249" s="151">
        <v>24</v>
      </c>
      <c r="J249" s="253" t="s">
        <v>549</v>
      </c>
      <c r="K249" s="148"/>
    </row>
    <row r="250" spans="2:11" outlineLevel="1" x14ac:dyDescent="0.25">
      <c r="B250" s="149" t="s">
        <v>49</v>
      </c>
      <c r="C250" s="149" t="s">
        <v>275</v>
      </c>
      <c r="D250" s="149">
        <v>167</v>
      </c>
      <c r="E250" s="150" t="s">
        <v>808</v>
      </c>
      <c r="F250" s="151">
        <v>40</v>
      </c>
      <c r="G250" s="152" t="s">
        <v>871</v>
      </c>
      <c r="H250" s="151">
        <v>3104.7161355932203</v>
      </c>
      <c r="I250" s="151">
        <v>40</v>
      </c>
      <c r="J250" s="253" t="s">
        <v>549</v>
      </c>
      <c r="K250" s="148"/>
    </row>
    <row r="251" spans="2:11" outlineLevel="1" x14ac:dyDescent="0.25">
      <c r="B251" s="149" t="s">
        <v>49</v>
      </c>
      <c r="C251" s="149" t="s">
        <v>279</v>
      </c>
      <c r="D251" s="149">
        <v>159</v>
      </c>
      <c r="E251" s="150" t="s">
        <v>809</v>
      </c>
      <c r="F251" s="151">
        <v>40</v>
      </c>
      <c r="G251" s="152" t="s">
        <v>871</v>
      </c>
      <c r="H251" s="151">
        <v>2705.7181016949153</v>
      </c>
      <c r="I251" s="151">
        <v>40</v>
      </c>
      <c r="J251" s="253" t="s">
        <v>549</v>
      </c>
      <c r="K251" s="148"/>
    </row>
    <row r="252" spans="2:11" outlineLevel="1" x14ac:dyDescent="0.25">
      <c r="B252" s="149" t="s">
        <v>49</v>
      </c>
      <c r="C252" s="149" t="s">
        <v>462</v>
      </c>
      <c r="D252" s="149">
        <v>157</v>
      </c>
      <c r="E252" s="150" t="s">
        <v>811</v>
      </c>
      <c r="F252" s="151">
        <v>24</v>
      </c>
      <c r="G252" s="152" t="s">
        <v>871</v>
      </c>
      <c r="H252" s="151">
        <v>1278.13055623219</v>
      </c>
      <c r="I252" s="151">
        <v>24</v>
      </c>
      <c r="J252" s="253" t="s">
        <v>549</v>
      </c>
      <c r="K252" s="148"/>
    </row>
    <row r="253" spans="2:11" outlineLevel="1" x14ac:dyDescent="0.25">
      <c r="B253" s="149" t="s">
        <v>49</v>
      </c>
      <c r="C253" s="149" t="s">
        <v>462</v>
      </c>
      <c r="D253" s="149">
        <v>155</v>
      </c>
      <c r="E253" s="150" t="s">
        <v>812</v>
      </c>
      <c r="F253" s="151">
        <v>24</v>
      </c>
      <c r="G253" s="152" t="s">
        <v>871</v>
      </c>
      <c r="H253" s="151">
        <v>1278.13055623219</v>
      </c>
      <c r="I253" s="151">
        <v>24</v>
      </c>
      <c r="J253" s="253" t="s">
        <v>549</v>
      </c>
      <c r="K253" s="148"/>
    </row>
    <row r="254" spans="2:11" outlineLevel="1" x14ac:dyDescent="0.25">
      <c r="B254" s="149" t="s">
        <v>49</v>
      </c>
      <c r="C254" s="149" t="s">
        <v>286</v>
      </c>
      <c r="D254" s="149">
        <v>161</v>
      </c>
      <c r="E254" s="150" t="s">
        <v>813</v>
      </c>
      <c r="F254" s="151">
        <v>40</v>
      </c>
      <c r="G254" s="152" t="s">
        <v>871</v>
      </c>
      <c r="H254" s="151">
        <v>2568.9001132075473</v>
      </c>
      <c r="I254" s="151">
        <v>40</v>
      </c>
      <c r="J254" s="253" t="s">
        <v>549</v>
      </c>
      <c r="K254" s="148"/>
    </row>
    <row r="255" spans="2:11" outlineLevel="1" x14ac:dyDescent="0.25">
      <c r="B255" s="149" t="s">
        <v>49</v>
      </c>
      <c r="C255" s="149" t="s">
        <v>290</v>
      </c>
      <c r="D255" s="149">
        <v>452</v>
      </c>
      <c r="E255" s="150" t="s">
        <v>814</v>
      </c>
      <c r="F255" s="151">
        <v>344</v>
      </c>
      <c r="G255" s="152" t="s">
        <v>871</v>
      </c>
      <c r="H255" s="151">
        <v>59170.189776112071</v>
      </c>
      <c r="I255" s="151">
        <v>344</v>
      </c>
      <c r="J255" s="253" t="s">
        <v>641</v>
      </c>
      <c r="K255" s="148"/>
    </row>
    <row r="256" spans="2:11" outlineLevel="1" x14ac:dyDescent="0.25">
      <c r="B256" s="149" t="s">
        <v>50</v>
      </c>
      <c r="C256" s="149" t="s">
        <v>463</v>
      </c>
      <c r="D256" s="149">
        <v>475</v>
      </c>
      <c r="E256" s="150" t="s">
        <v>866</v>
      </c>
      <c r="F256" s="151">
        <v>8</v>
      </c>
      <c r="G256" s="152" t="s">
        <v>872</v>
      </c>
      <c r="H256" s="151">
        <v>49236.623615999997</v>
      </c>
      <c r="I256" s="151">
        <v>256</v>
      </c>
      <c r="J256" s="253" t="s">
        <v>642</v>
      </c>
      <c r="K256" s="148"/>
    </row>
    <row r="257" spans="2:11" outlineLevel="1" x14ac:dyDescent="0.25">
      <c r="B257" s="149" t="s">
        <v>50</v>
      </c>
      <c r="C257" s="149" t="s">
        <v>463</v>
      </c>
      <c r="D257" s="149">
        <v>474</v>
      </c>
      <c r="E257" s="150" t="s">
        <v>867</v>
      </c>
      <c r="F257" s="151">
        <v>8</v>
      </c>
      <c r="G257" s="152" t="s">
        <v>872</v>
      </c>
      <c r="H257" s="151">
        <v>49236.623615999997</v>
      </c>
      <c r="I257" s="151">
        <v>256</v>
      </c>
      <c r="J257" s="253" t="s">
        <v>642</v>
      </c>
      <c r="K257" s="148"/>
    </row>
    <row r="258" spans="2:11" outlineLevel="1" x14ac:dyDescent="0.25">
      <c r="B258" s="149" t="s">
        <v>50</v>
      </c>
      <c r="C258" s="149" t="s">
        <v>463</v>
      </c>
      <c r="D258" s="149">
        <v>491</v>
      </c>
      <c r="E258" s="150" t="s">
        <v>868</v>
      </c>
      <c r="F258" s="151">
        <v>40</v>
      </c>
      <c r="G258" s="152" t="s">
        <v>872</v>
      </c>
      <c r="H258" s="151">
        <v>9616.528049999999</v>
      </c>
      <c r="I258" s="151">
        <v>50</v>
      </c>
      <c r="J258" s="253" t="s">
        <v>643</v>
      </c>
      <c r="K258" s="148"/>
    </row>
    <row r="259" spans="2:11" outlineLevel="1" x14ac:dyDescent="0.25">
      <c r="B259" s="149" t="s">
        <v>50</v>
      </c>
      <c r="C259" s="149" t="s">
        <v>463</v>
      </c>
      <c r="D259" s="149">
        <v>492</v>
      </c>
      <c r="E259" s="150" t="s">
        <v>869</v>
      </c>
      <c r="F259" s="151">
        <v>1</v>
      </c>
      <c r="G259" s="152" t="s">
        <v>872</v>
      </c>
      <c r="H259" s="151">
        <v>15386.444879999999</v>
      </c>
      <c r="I259" s="151">
        <v>80</v>
      </c>
      <c r="J259" s="253" t="s">
        <v>644</v>
      </c>
      <c r="K259" s="148"/>
    </row>
    <row r="260" spans="2:11" outlineLevel="1" x14ac:dyDescent="0.25">
      <c r="B260" s="149" t="s">
        <v>51</v>
      </c>
      <c r="C260" s="149" t="s">
        <v>175</v>
      </c>
      <c r="D260" s="149">
        <v>0</v>
      </c>
      <c r="E260" s="150" t="s">
        <v>818</v>
      </c>
      <c r="F260" s="151">
        <v>1</v>
      </c>
      <c r="G260" s="152" t="s">
        <v>870</v>
      </c>
      <c r="H260" s="151">
        <v>76400.07327227424</v>
      </c>
      <c r="I260" s="151">
        <v>0</v>
      </c>
      <c r="J260" s="253" t="s">
        <v>549</v>
      </c>
      <c r="K260" s="148"/>
    </row>
    <row r="261" spans="2:11" ht="30" outlineLevel="1" x14ac:dyDescent="0.25">
      <c r="B261" s="149" t="s">
        <v>52</v>
      </c>
      <c r="C261" s="149" t="s">
        <v>167</v>
      </c>
      <c r="D261" s="149">
        <v>455</v>
      </c>
      <c r="E261" s="150" t="s">
        <v>824</v>
      </c>
      <c r="F261" s="151">
        <v>1</v>
      </c>
      <c r="G261" s="152" t="s">
        <v>870</v>
      </c>
      <c r="H261" s="151">
        <v>200000</v>
      </c>
      <c r="I261" s="151">
        <v>0</v>
      </c>
      <c r="J261" s="253" t="s">
        <v>631</v>
      </c>
      <c r="K261" s="148"/>
    </row>
    <row r="262" spans="2:11" ht="45" outlineLevel="1" x14ac:dyDescent="0.25">
      <c r="B262" s="149" t="s">
        <v>52</v>
      </c>
      <c r="C262" s="149" t="s">
        <v>167</v>
      </c>
      <c r="D262" s="149">
        <v>461</v>
      </c>
      <c r="E262" s="150" t="s">
        <v>825</v>
      </c>
      <c r="F262" s="151">
        <v>1</v>
      </c>
      <c r="G262" s="152" t="s">
        <v>870</v>
      </c>
      <c r="H262" s="151">
        <v>220000</v>
      </c>
      <c r="I262" s="151">
        <v>0</v>
      </c>
      <c r="J262" s="253" t="s">
        <v>632</v>
      </c>
      <c r="K262" s="148"/>
    </row>
    <row r="263" spans="2:11" ht="30" outlineLevel="1" x14ac:dyDescent="0.25">
      <c r="B263" s="149" t="s">
        <v>52</v>
      </c>
      <c r="C263" s="149" t="s">
        <v>167</v>
      </c>
      <c r="D263" s="149">
        <v>460</v>
      </c>
      <c r="E263" s="150" t="s">
        <v>826</v>
      </c>
      <c r="F263" s="151">
        <v>1</v>
      </c>
      <c r="G263" s="152" t="s">
        <v>870</v>
      </c>
      <c r="H263" s="151">
        <v>300000</v>
      </c>
      <c r="I263" s="151">
        <v>0</v>
      </c>
      <c r="J263" s="253" t="s">
        <v>633</v>
      </c>
      <c r="K263" s="148"/>
    </row>
    <row r="264" spans="2:11" ht="30" outlineLevel="1" x14ac:dyDescent="0.25">
      <c r="B264" s="149" t="s">
        <v>52</v>
      </c>
      <c r="C264" s="149" t="s">
        <v>167</v>
      </c>
      <c r="D264" s="149">
        <v>454</v>
      </c>
      <c r="E264" s="150" t="s">
        <v>830</v>
      </c>
      <c r="F264" s="151">
        <v>1</v>
      </c>
      <c r="G264" s="152" t="s">
        <v>870</v>
      </c>
      <c r="H264" s="151">
        <v>50000</v>
      </c>
      <c r="I264" s="151">
        <v>0</v>
      </c>
      <c r="J264" s="253" t="s">
        <v>637</v>
      </c>
      <c r="K264" s="148"/>
    </row>
    <row r="265" spans="2:11" outlineLevel="1" x14ac:dyDescent="0.25">
      <c r="B265" s="149" t="s">
        <v>57</v>
      </c>
      <c r="C265" s="149" t="s">
        <v>140</v>
      </c>
      <c r="D265" s="149">
        <v>0</v>
      </c>
      <c r="E265" s="150" t="s">
        <v>831</v>
      </c>
      <c r="F265" s="151">
        <v>1</v>
      </c>
      <c r="G265" s="152" t="s">
        <v>870</v>
      </c>
      <c r="H265" s="151">
        <v>55403.687978929644</v>
      </c>
      <c r="I265" s="151">
        <v>0</v>
      </c>
      <c r="J265" s="253" t="s">
        <v>549</v>
      </c>
      <c r="K265" s="148"/>
    </row>
    <row r="266" spans="2:11" outlineLevel="1" x14ac:dyDescent="0.25">
      <c r="B266" s="149" t="s">
        <v>57</v>
      </c>
      <c r="C266" s="149" t="s">
        <v>141</v>
      </c>
      <c r="D266" s="149">
        <v>0</v>
      </c>
      <c r="E266" s="150" t="s">
        <v>833</v>
      </c>
      <c r="F266" s="151">
        <v>1</v>
      </c>
      <c r="G266" s="152" t="s">
        <v>870</v>
      </c>
      <c r="H266" s="151">
        <v>26548.6773744497</v>
      </c>
      <c r="I266" s="151">
        <v>0</v>
      </c>
      <c r="J266" s="253" t="s">
        <v>549</v>
      </c>
      <c r="K266" s="148"/>
    </row>
    <row r="267" spans="2:11" outlineLevel="1" x14ac:dyDescent="0.25">
      <c r="B267" s="149" t="s">
        <v>57</v>
      </c>
      <c r="C267" s="149" t="s">
        <v>142</v>
      </c>
      <c r="D267" s="149">
        <v>0</v>
      </c>
      <c r="E267" s="150" t="s">
        <v>835</v>
      </c>
      <c r="F267" s="151">
        <v>1</v>
      </c>
      <c r="G267" s="152" t="s">
        <v>870</v>
      </c>
      <c r="H267" s="151">
        <v>10600.50500750406</v>
      </c>
      <c r="I267" s="151">
        <v>0</v>
      </c>
      <c r="J267" s="253" t="s">
        <v>549</v>
      </c>
      <c r="K267" s="148"/>
    </row>
    <row r="268" spans="2:11" outlineLevel="1" x14ac:dyDescent="0.25">
      <c r="B268" s="149" t="s">
        <v>57</v>
      </c>
      <c r="C268" s="149" t="s">
        <v>143</v>
      </c>
      <c r="D268" s="149">
        <v>0</v>
      </c>
      <c r="E268" s="150" t="s">
        <v>837</v>
      </c>
      <c r="F268" s="151">
        <v>1</v>
      </c>
      <c r="G268" s="152" t="s">
        <v>870</v>
      </c>
      <c r="H268" s="151">
        <v>1458437.1687861285</v>
      </c>
      <c r="I268" s="151">
        <v>0</v>
      </c>
      <c r="J268" s="253" t="s">
        <v>549</v>
      </c>
      <c r="K268" s="148"/>
    </row>
    <row r="269" spans="2:11" outlineLevel="1" x14ac:dyDescent="0.25">
      <c r="B269" s="149" t="s">
        <v>57</v>
      </c>
      <c r="C269" s="149" t="s">
        <v>144</v>
      </c>
      <c r="D269" s="149">
        <v>0</v>
      </c>
      <c r="E269" s="150" t="s">
        <v>839</v>
      </c>
      <c r="F269" s="151">
        <v>1</v>
      </c>
      <c r="G269" s="152" t="s">
        <v>870</v>
      </c>
      <c r="H269" s="151">
        <v>58085.03830576934</v>
      </c>
      <c r="I269" s="151">
        <v>0</v>
      </c>
      <c r="J269" s="253" t="s">
        <v>549</v>
      </c>
      <c r="K269" s="148"/>
    </row>
    <row r="270" spans="2:11" outlineLevel="1" x14ac:dyDescent="0.25">
      <c r="B270" s="149" t="s">
        <v>57</v>
      </c>
      <c r="C270" s="149" t="s">
        <v>145</v>
      </c>
      <c r="D270" s="149">
        <v>0</v>
      </c>
      <c r="E270" s="150" t="s">
        <v>841</v>
      </c>
      <c r="F270" s="151">
        <v>1</v>
      </c>
      <c r="G270" s="152" t="s">
        <v>870</v>
      </c>
      <c r="H270" s="151">
        <v>0</v>
      </c>
      <c r="I270" s="151">
        <v>0</v>
      </c>
      <c r="J270" s="253" t="s">
        <v>549</v>
      </c>
      <c r="K270" s="148"/>
    </row>
    <row r="271" spans="2:11" outlineLevel="1" x14ac:dyDescent="0.25">
      <c r="B271" s="149" t="s">
        <v>57</v>
      </c>
      <c r="C271" s="149" t="s">
        <v>146</v>
      </c>
      <c r="D271" s="149">
        <v>0</v>
      </c>
      <c r="E271" s="150" t="s">
        <v>843</v>
      </c>
      <c r="F271" s="151">
        <v>1</v>
      </c>
      <c r="G271" s="152" t="s">
        <v>870</v>
      </c>
      <c r="H271" s="151">
        <v>248747.80361231067</v>
      </c>
      <c r="I271" s="151">
        <v>0</v>
      </c>
      <c r="J271" s="253" t="s">
        <v>549</v>
      </c>
      <c r="K271" s="148"/>
    </row>
    <row r="272" spans="2:11" outlineLevel="1" x14ac:dyDescent="0.25">
      <c r="B272" s="149" t="s">
        <v>57</v>
      </c>
      <c r="C272" s="149" t="s">
        <v>147</v>
      </c>
      <c r="D272" s="149">
        <v>0</v>
      </c>
      <c r="E272" s="150" t="s">
        <v>845</v>
      </c>
      <c r="F272" s="151">
        <v>1</v>
      </c>
      <c r="G272" s="152" t="s">
        <v>870</v>
      </c>
      <c r="H272" s="151">
        <v>64151.638712444852</v>
      </c>
      <c r="I272" s="151">
        <v>0</v>
      </c>
      <c r="J272" s="253" t="s">
        <v>549</v>
      </c>
      <c r="K272" s="148"/>
    </row>
    <row r="273" spans="2:11" outlineLevel="1" x14ac:dyDescent="0.25">
      <c r="B273" s="149" t="s">
        <v>58</v>
      </c>
      <c r="C273" s="149" t="s">
        <v>464</v>
      </c>
      <c r="D273" s="149">
        <v>0</v>
      </c>
      <c r="E273" s="150" t="s">
        <v>22</v>
      </c>
      <c r="F273" s="151">
        <v>1</v>
      </c>
      <c r="G273" s="152" t="s">
        <v>870</v>
      </c>
      <c r="H273" s="151">
        <v>333060.48862740124</v>
      </c>
      <c r="I273" s="151">
        <v>0</v>
      </c>
      <c r="J273" s="253" t="s">
        <v>549</v>
      </c>
      <c r="K273" s="148"/>
    </row>
    <row r="274" spans="2:11" ht="15.75" outlineLevel="1" thickBot="1" x14ac:dyDescent="0.3">
      <c r="B274" s="149" t="s">
        <v>59</v>
      </c>
      <c r="C274" s="149" t="s">
        <v>470</v>
      </c>
      <c r="D274" s="149">
        <v>217</v>
      </c>
      <c r="E274" s="150" t="s">
        <v>847</v>
      </c>
      <c r="F274" s="151">
        <v>1</v>
      </c>
      <c r="G274" s="152" t="s">
        <v>870</v>
      </c>
      <c r="H274" s="151">
        <v>331723</v>
      </c>
      <c r="I274" s="151">
        <v>0</v>
      </c>
      <c r="J274" s="253" t="s">
        <v>549</v>
      </c>
      <c r="K274" s="148"/>
    </row>
    <row r="275" spans="2:11" s="92" customFormat="1" x14ac:dyDescent="0.25">
      <c r="B275" s="161" t="s">
        <v>61</v>
      </c>
      <c r="C275" s="161"/>
      <c r="D275" s="161"/>
      <c r="E275" s="162"/>
      <c r="F275" s="163"/>
      <c r="G275" s="163"/>
      <c r="H275" s="163">
        <v>63640583.343912065</v>
      </c>
      <c r="I275" s="163"/>
      <c r="J275" s="163"/>
    </row>
  </sheetData>
  <sheetProtection sheet="1" objects="1" scenarios="1"/>
  <hyperlinks>
    <hyperlink ref="J1" location="'Table of contents'!A1" display="Return to TOC" xr:uid="{00000000-0004-0000-0900-000000000000}"/>
  </hyperlinks>
  <printOptions horizontalCentered="1"/>
  <pageMargins left="0.25" right="0.25" top="0.5" bottom="0.5" header="0.25" footer="0.25"/>
  <pageSetup scale="1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F">
    <tabColor theme="7" tint="-0.499984740745262"/>
    <pageSetUpPr fitToPage="1"/>
  </sheetPr>
  <dimension ref="A1:L83"/>
  <sheetViews>
    <sheetView showGridLines="0" zoomScale="80" zoomScaleNormal="80" workbookViewId="0">
      <pane ySplit="8" topLeftCell="A9" activePane="bottomLeft" state="frozen"/>
      <selection pane="bottomLeft" activeCell="T18" sqref="T18:T19"/>
    </sheetView>
  </sheetViews>
  <sheetFormatPr defaultColWidth="8.85546875" defaultRowHeight="15" outlineLevelCol="1" x14ac:dyDescent="0.25"/>
  <cols>
    <col min="1" max="1" width="4.7109375" customWidth="1"/>
    <col min="2" max="2" width="50.7109375" customWidth="1" collapsed="1"/>
    <col min="3" max="7" width="12.7109375" customWidth="1"/>
    <col min="8" max="8" width="12.7109375" hidden="1" customWidth="1"/>
    <col min="9" max="9" width="12.7109375" customWidth="1"/>
    <col min="10" max="11" width="12.7109375" hidden="1" customWidth="1" outlineLevel="1"/>
    <col min="12" max="12" width="8.85546875" collapsed="1"/>
  </cols>
  <sheetData>
    <row r="1" spans="1:11" x14ac:dyDescent="0.25">
      <c r="A1" s="137"/>
      <c r="B1" s="2" t="s">
        <v>29</v>
      </c>
      <c r="C1" s="3" t="s">
        <v>544</v>
      </c>
      <c r="D1" s="142"/>
      <c r="E1" s="142"/>
      <c r="F1" s="142"/>
      <c r="G1" s="142"/>
      <c r="H1" s="142"/>
      <c r="I1" s="70" t="s">
        <v>66</v>
      </c>
      <c r="J1" s="142"/>
      <c r="K1" s="70"/>
    </row>
    <row r="2" spans="1:11" x14ac:dyDescent="0.25">
      <c r="A2" s="137"/>
      <c r="B2" s="2" t="s">
        <v>26</v>
      </c>
      <c r="C2" s="3" t="s">
        <v>545</v>
      </c>
      <c r="D2" s="142"/>
      <c r="E2" s="142"/>
      <c r="F2" s="142"/>
      <c r="G2" s="142"/>
      <c r="H2" s="142"/>
      <c r="I2" s="142"/>
      <c r="J2" s="142"/>
      <c r="K2" s="142"/>
    </row>
    <row r="3" spans="1:11" x14ac:dyDescent="0.25">
      <c r="A3" s="137"/>
      <c r="B3" s="2" t="s">
        <v>160</v>
      </c>
      <c r="C3" s="3" t="s">
        <v>546</v>
      </c>
      <c r="D3" s="142"/>
      <c r="E3" s="142"/>
      <c r="F3" s="142"/>
      <c r="G3" s="142"/>
      <c r="H3" s="142"/>
      <c r="I3" s="142"/>
      <c r="J3" s="142"/>
      <c r="K3" s="142"/>
    </row>
    <row r="4" spans="1:11" x14ac:dyDescent="0.25">
      <c r="A4" s="137"/>
      <c r="B4" s="2" t="s">
        <v>159</v>
      </c>
      <c r="C4" s="3" t="s">
        <v>547</v>
      </c>
      <c r="D4" s="142"/>
      <c r="E4" s="142"/>
      <c r="F4" s="142"/>
      <c r="G4" s="142"/>
      <c r="H4" s="142"/>
      <c r="I4" s="142"/>
      <c r="J4" s="142"/>
      <c r="K4" s="142"/>
    </row>
    <row r="5" spans="1:11" x14ac:dyDescent="0.25">
      <c r="A5" s="137"/>
      <c r="B5" s="2"/>
      <c r="C5" s="3"/>
      <c r="D5" s="142"/>
      <c r="E5" s="142"/>
      <c r="F5" s="142"/>
      <c r="G5" s="142"/>
      <c r="H5" s="142"/>
      <c r="I5" s="142"/>
      <c r="J5" s="142"/>
      <c r="K5" s="142"/>
    </row>
    <row r="6" spans="1:11" x14ac:dyDescent="0.25">
      <c r="A6" s="137"/>
      <c r="B6" s="142"/>
      <c r="C6" s="142"/>
      <c r="D6" s="142"/>
      <c r="E6" s="143" t="s">
        <v>81</v>
      </c>
      <c r="F6" s="142"/>
      <c r="G6" s="142"/>
      <c r="H6" s="142" t="s">
        <v>891</v>
      </c>
      <c r="I6" s="142"/>
      <c r="J6" s="142"/>
      <c r="K6" s="142"/>
    </row>
    <row r="7" spans="1:11" x14ac:dyDescent="0.25">
      <c r="A7" s="137"/>
      <c r="B7" s="144"/>
      <c r="C7" s="144"/>
      <c r="D7" s="144"/>
      <c r="E7" s="144">
        <v>2026</v>
      </c>
      <c r="F7" s="247">
        <v>2027</v>
      </c>
      <c r="G7" s="247">
        <v>2028</v>
      </c>
      <c r="H7" s="247">
        <v>2030</v>
      </c>
      <c r="I7" s="247" t="s">
        <v>28</v>
      </c>
      <c r="J7" s="248">
        <v>2030</v>
      </c>
      <c r="K7" s="248" t="s">
        <v>28</v>
      </c>
    </row>
    <row r="8" spans="1:11" ht="30" x14ac:dyDescent="0.25">
      <c r="A8" s="137"/>
      <c r="B8" s="145" t="s">
        <v>82</v>
      </c>
      <c r="C8" s="146" t="s">
        <v>83</v>
      </c>
      <c r="D8" s="145" t="s">
        <v>84</v>
      </c>
      <c r="E8" s="145" t="s">
        <v>85</v>
      </c>
      <c r="F8" s="247"/>
      <c r="G8" s="247"/>
      <c r="H8" s="247"/>
      <c r="I8" s="247"/>
      <c r="J8" s="248"/>
      <c r="K8" s="248"/>
    </row>
    <row r="9" spans="1:11" x14ac:dyDescent="0.25">
      <c r="A9" s="137"/>
      <c r="B9" s="140" t="s">
        <v>86</v>
      </c>
      <c r="C9" s="138"/>
      <c r="D9" s="138">
        <v>3</v>
      </c>
      <c r="E9" s="138">
        <v>0</v>
      </c>
      <c r="F9" s="138">
        <v>0</v>
      </c>
      <c r="G9" s="138">
        <v>0</v>
      </c>
      <c r="H9" s="138">
        <v>0</v>
      </c>
      <c r="I9" s="138">
        <v>3</v>
      </c>
      <c r="J9" s="139">
        <v>0</v>
      </c>
      <c r="K9" s="138">
        <v>3</v>
      </c>
    </row>
    <row r="10" spans="1:11" x14ac:dyDescent="0.25">
      <c r="A10" s="137"/>
      <c r="B10" s="140" t="s">
        <v>87</v>
      </c>
      <c r="C10" s="138"/>
      <c r="D10" s="138">
        <v>34.299999999999997</v>
      </c>
      <c r="E10" s="138">
        <v>49.2</v>
      </c>
      <c r="F10" s="138">
        <v>49</v>
      </c>
      <c r="G10" s="138">
        <v>0</v>
      </c>
      <c r="H10" s="138">
        <v>0</v>
      </c>
      <c r="I10" s="138">
        <v>132.5</v>
      </c>
      <c r="J10" s="139">
        <v>0</v>
      </c>
      <c r="K10" s="138">
        <v>132.5</v>
      </c>
    </row>
    <row r="11" spans="1:11" x14ac:dyDescent="0.25">
      <c r="A11" s="137"/>
      <c r="B11" s="140" t="s">
        <v>512</v>
      </c>
      <c r="C11" s="138"/>
      <c r="D11" s="138">
        <v>89.5</v>
      </c>
      <c r="E11" s="138">
        <v>118.4</v>
      </c>
      <c r="F11" s="138">
        <v>117.9</v>
      </c>
      <c r="G11" s="138">
        <v>0</v>
      </c>
      <c r="H11" s="138">
        <v>0</v>
      </c>
      <c r="I11" s="138">
        <v>325.8</v>
      </c>
      <c r="J11" s="139">
        <v>0</v>
      </c>
      <c r="K11" s="138">
        <v>325.8</v>
      </c>
    </row>
    <row r="12" spans="1:11" x14ac:dyDescent="0.25">
      <c r="A12" s="137"/>
      <c r="B12" s="140" t="s">
        <v>88</v>
      </c>
      <c r="C12" s="138"/>
      <c r="D12" s="138">
        <v>79.5</v>
      </c>
      <c r="E12" s="138">
        <v>784.2</v>
      </c>
      <c r="F12" s="138">
        <v>780.8</v>
      </c>
      <c r="G12" s="138">
        <v>0</v>
      </c>
      <c r="H12" s="138">
        <v>0</v>
      </c>
      <c r="I12" s="138">
        <v>1644.5</v>
      </c>
      <c r="J12" s="139">
        <v>0</v>
      </c>
      <c r="K12" s="138">
        <v>1644.5</v>
      </c>
    </row>
    <row r="13" spans="1:11" x14ac:dyDescent="0.25">
      <c r="A13" s="137"/>
      <c r="B13" s="140" t="s">
        <v>89</v>
      </c>
      <c r="C13" s="138"/>
      <c r="D13" s="138">
        <v>483.2</v>
      </c>
      <c r="E13" s="138">
        <v>532.79999999999995</v>
      </c>
      <c r="F13" s="138">
        <v>352.9</v>
      </c>
      <c r="G13" s="138">
        <v>0</v>
      </c>
      <c r="H13" s="138">
        <v>0</v>
      </c>
      <c r="I13" s="138">
        <v>1368.9</v>
      </c>
      <c r="J13" s="139">
        <v>0</v>
      </c>
      <c r="K13" s="138">
        <v>1369</v>
      </c>
    </row>
    <row r="14" spans="1:11" x14ac:dyDescent="0.25">
      <c r="A14" s="137"/>
      <c r="B14" s="140" t="s">
        <v>513</v>
      </c>
      <c r="C14" s="138"/>
      <c r="D14" s="138">
        <v>609.1</v>
      </c>
      <c r="E14" s="138">
        <v>10834.1</v>
      </c>
      <c r="F14" s="138">
        <v>7755.7</v>
      </c>
      <c r="G14" s="138">
        <v>0</v>
      </c>
      <c r="H14" s="138">
        <v>0</v>
      </c>
      <c r="I14" s="138">
        <v>19198.900000000001</v>
      </c>
      <c r="J14" s="139">
        <v>0</v>
      </c>
      <c r="K14" s="138">
        <v>19198.900000000001</v>
      </c>
    </row>
    <row r="15" spans="1:11" x14ac:dyDescent="0.25">
      <c r="A15" s="137"/>
      <c r="B15" s="140" t="s">
        <v>514</v>
      </c>
      <c r="C15" s="138"/>
      <c r="D15" s="138">
        <v>0</v>
      </c>
      <c r="E15" s="138">
        <v>0</v>
      </c>
      <c r="F15" s="138">
        <v>0</v>
      </c>
      <c r="G15" s="138">
        <v>8999.6</v>
      </c>
      <c r="H15" s="138">
        <v>0</v>
      </c>
      <c r="I15" s="138">
        <v>8999.6</v>
      </c>
      <c r="J15" s="139">
        <v>0</v>
      </c>
      <c r="K15" s="138">
        <v>8999.6</v>
      </c>
    </row>
    <row r="16" spans="1:11" x14ac:dyDescent="0.25">
      <c r="A16" s="137"/>
      <c r="B16" s="140" t="s">
        <v>90</v>
      </c>
      <c r="C16" s="138"/>
      <c r="D16" s="138">
        <v>0</v>
      </c>
      <c r="E16" s="138">
        <v>0</v>
      </c>
      <c r="F16" s="138">
        <v>0</v>
      </c>
      <c r="G16" s="138">
        <v>3077.4</v>
      </c>
      <c r="H16" s="138">
        <v>0</v>
      </c>
      <c r="I16" s="138">
        <v>3077.4</v>
      </c>
      <c r="J16" s="139">
        <v>0</v>
      </c>
      <c r="K16" s="138">
        <v>3077.4</v>
      </c>
    </row>
    <row r="17" spans="1:11" x14ac:dyDescent="0.25">
      <c r="A17" s="137"/>
      <c r="B17" s="140" t="s">
        <v>91</v>
      </c>
      <c r="C17" s="138"/>
      <c r="D17" s="138">
        <v>778.3</v>
      </c>
      <c r="E17" s="138">
        <v>176</v>
      </c>
      <c r="F17" s="138">
        <v>385.4</v>
      </c>
      <c r="G17" s="138">
        <v>389.2</v>
      </c>
      <c r="H17" s="138">
        <v>0</v>
      </c>
      <c r="I17" s="138">
        <v>1728.8999999999999</v>
      </c>
      <c r="J17" s="139">
        <v>0</v>
      </c>
      <c r="K17" s="138">
        <v>1728.8</v>
      </c>
    </row>
    <row r="18" spans="1:11" x14ac:dyDescent="0.25">
      <c r="A18" s="137"/>
      <c r="B18" s="140" t="s">
        <v>92</v>
      </c>
      <c r="C18" s="138"/>
      <c r="D18" s="138">
        <v>0</v>
      </c>
      <c r="E18" s="138">
        <v>0</v>
      </c>
      <c r="F18" s="138">
        <v>0</v>
      </c>
      <c r="G18" s="138">
        <v>123.5</v>
      </c>
      <c r="H18" s="138">
        <v>0</v>
      </c>
      <c r="I18" s="138">
        <v>123.5</v>
      </c>
      <c r="J18" s="139">
        <v>0</v>
      </c>
      <c r="K18" s="138">
        <v>123.5</v>
      </c>
    </row>
    <row r="19" spans="1:11" x14ac:dyDescent="0.25">
      <c r="A19" s="137"/>
      <c r="B19" s="140" t="s">
        <v>515</v>
      </c>
      <c r="C19" s="138"/>
      <c r="D19" s="138">
        <v>38.299999999999997</v>
      </c>
      <c r="E19" s="138">
        <v>348.3</v>
      </c>
      <c r="F19" s="138">
        <v>286.8</v>
      </c>
      <c r="G19" s="138">
        <v>311.7</v>
      </c>
      <c r="H19" s="138">
        <v>0</v>
      </c>
      <c r="I19" s="138">
        <v>985.10000000000014</v>
      </c>
      <c r="J19" s="139">
        <v>0</v>
      </c>
      <c r="K19" s="138">
        <v>985.1</v>
      </c>
    </row>
    <row r="20" spans="1:11" x14ac:dyDescent="0.25">
      <c r="A20" s="137"/>
      <c r="B20" s="140" t="s">
        <v>93</v>
      </c>
      <c r="C20" s="138"/>
      <c r="D20" s="138">
        <v>0</v>
      </c>
      <c r="E20" s="138">
        <v>492.3</v>
      </c>
      <c r="F20" s="138">
        <v>357.7</v>
      </c>
      <c r="G20" s="138">
        <v>5920</v>
      </c>
      <c r="H20" s="138">
        <v>0</v>
      </c>
      <c r="I20" s="138">
        <v>6770</v>
      </c>
      <c r="J20" s="139">
        <v>0</v>
      </c>
      <c r="K20" s="138">
        <v>6770</v>
      </c>
    </row>
    <row r="21" spans="1:11" x14ac:dyDescent="0.25">
      <c r="A21" s="137"/>
      <c r="B21" s="141" t="s">
        <v>94</v>
      </c>
      <c r="C21" s="13">
        <v>0</v>
      </c>
      <c r="D21" s="13">
        <v>2115.1999999999998</v>
      </c>
      <c r="E21" s="13">
        <v>13335.3</v>
      </c>
      <c r="F21" s="13">
        <v>10086.199999999999</v>
      </c>
      <c r="G21" s="13">
        <v>18821.400000000001</v>
      </c>
      <c r="H21" s="13">
        <v>0</v>
      </c>
      <c r="I21" s="13">
        <v>44358.100000000006</v>
      </c>
      <c r="J21" s="13">
        <v>0</v>
      </c>
      <c r="K21" s="13">
        <v>44358.100000000006</v>
      </c>
    </row>
    <row r="22" spans="1:11" x14ac:dyDescent="0.25">
      <c r="A22" s="137"/>
      <c r="B22" s="140" t="s">
        <v>95</v>
      </c>
      <c r="C22" s="138"/>
      <c r="D22" s="138">
        <v>1835</v>
      </c>
      <c r="E22" s="138">
        <v>1640</v>
      </c>
      <c r="F22" s="138">
        <v>1716</v>
      </c>
      <c r="G22" s="138">
        <v>5597.5</v>
      </c>
      <c r="H22" s="138">
        <v>0</v>
      </c>
      <c r="I22" s="138">
        <v>10788.5</v>
      </c>
      <c r="J22" s="139">
        <v>0</v>
      </c>
      <c r="K22" s="138">
        <v>10788.5</v>
      </c>
    </row>
    <row r="23" spans="1:11" x14ac:dyDescent="0.25">
      <c r="A23" s="137"/>
      <c r="B23" s="140" t="s">
        <v>96</v>
      </c>
      <c r="C23" s="138"/>
      <c r="D23" s="138">
        <v>348.2</v>
      </c>
      <c r="E23" s="138">
        <v>425.7</v>
      </c>
      <c r="F23" s="138">
        <v>1662.4</v>
      </c>
      <c r="G23" s="138">
        <v>3145.6</v>
      </c>
      <c r="H23" s="138">
        <v>0</v>
      </c>
      <c r="I23" s="138">
        <v>5581.9</v>
      </c>
      <c r="J23" s="139">
        <v>0</v>
      </c>
      <c r="K23" s="138">
        <v>5581.9</v>
      </c>
    </row>
    <row r="24" spans="1:11" x14ac:dyDescent="0.25">
      <c r="A24" s="137"/>
      <c r="B24" s="141" t="s">
        <v>23</v>
      </c>
      <c r="C24" s="13">
        <v>0</v>
      </c>
      <c r="D24" s="13">
        <v>4298.3999999999996</v>
      </c>
      <c r="E24" s="13">
        <v>15401</v>
      </c>
      <c r="F24" s="13">
        <v>13464.599999999999</v>
      </c>
      <c r="G24" s="13">
        <v>27564.5</v>
      </c>
      <c r="H24" s="13">
        <v>0</v>
      </c>
      <c r="I24" s="13">
        <v>60728.500000000007</v>
      </c>
      <c r="J24" s="13">
        <v>0</v>
      </c>
      <c r="K24" s="13">
        <v>60728.500000000007</v>
      </c>
    </row>
    <row r="25" spans="1:11" x14ac:dyDescent="0.25">
      <c r="A25" s="137"/>
      <c r="B25" s="140" t="s">
        <v>97</v>
      </c>
      <c r="C25" s="138"/>
      <c r="D25" s="138">
        <v>0</v>
      </c>
      <c r="E25" s="138">
        <v>627.6</v>
      </c>
      <c r="F25" s="138">
        <v>1145.3</v>
      </c>
      <c r="G25" s="138">
        <v>1139</v>
      </c>
      <c r="H25" s="138">
        <v>0</v>
      </c>
      <c r="I25" s="138">
        <v>2911.9</v>
      </c>
      <c r="J25" s="139">
        <v>0</v>
      </c>
      <c r="K25" s="138">
        <v>2911.8</v>
      </c>
    </row>
    <row r="26" spans="1:11" hidden="1" x14ac:dyDescent="0.25">
      <c r="A26" s="137"/>
      <c r="B26" s="140"/>
      <c r="C26" s="138"/>
      <c r="D26" s="138"/>
      <c r="E26" s="138"/>
      <c r="F26" s="138"/>
      <c r="G26" s="138"/>
      <c r="H26" s="138"/>
      <c r="I26" s="138"/>
      <c r="J26" s="138"/>
      <c r="K26" s="138"/>
    </row>
    <row r="27" spans="1:11" x14ac:dyDescent="0.25">
      <c r="A27" s="137"/>
      <c r="B27" s="141" t="s">
        <v>158</v>
      </c>
      <c r="C27" s="13">
        <v>5767</v>
      </c>
      <c r="D27" s="13">
        <v>4298.3999999999996</v>
      </c>
      <c r="E27" s="13">
        <v>16028.6</v>
      </c>
      <c r="F27" s="13">
        <v>14609.899999999998</v>
      </c>
      <c r="G27" s="13">
        <v>28703.5</v>
      </c>
      <c r="H27" s="13">
        <v>0</v>
      </c>
      <c r="I27" s="13">
        <v>63640.400000000009</v>
      </c>
      <c r="J27" s="13">
        <v>0</v>
      </c>
      <c r="K27" s="13">
        <v>63640.30000000001</v>
      </c>
    </row>
    <row r="28" spans="1:11" x14ac:dyDescent="0.25">
      <c r="A28" s="137"/>
      <c r="B28" s="140" t="s">
        <v>98</v>
      </c>
      <c r="C28" s="138"/>
      <c r="D28" s="138">
        <v>0</v>
      </c>
      <c r="E28" s="138">
        <v>0</v>
      </c>
      <c r="F28" s="138">
        <v>0</v>
      </c>
      <c r="G28" s="138">
        <v>0</v>
      </c>
      <c r="H28" s="138">
        <v>0</v>
      </c>
      <c r="I28" s="138">
        <v>0</v>
      </c>
      <c r="J28" s="139">
        <v>0</v>
      </c>
      <c r="K28" s="138">
        <v>0</v>
      </c>
    </row>
    <row r="29" spans="1:11" hidden="1" x14ac:dyDescent="0.25">
      <c r="A29" s="137"/>
      <c r="B29" s="140"/>
      <c r="C29" s="138"/>
      <c r="D29" s="138"/>
      <c r="E29" s="138"/>
      <c r="F29" s="138"/>
      <c r="G29" s="138"/>
      <c r="H29" s="138"/>
      <c r="I29" s="138"/>
      <c r="J29" s="138"/>
      <c r="K29" s="138"/>
    </row>
    <row r="30" spans="1:11" x14ac:dyDescent="0.25">
      <c r="A30" s="137"/>
      <c r="B30" s="141" t="s">
        <v>99</v>
      </c>
      <c r="C30" s="13">
        <v>5767</v>
      </c>
      <c r="D30" s="13">
        <v>4298.3999999999996</v>
      </c>
      <c r="E30" s="13">
        <v>16028.6</v>
      </c>
      <c r="F30" s="13">
        <v>14609.899999999998</v>
      </c>
      <c r="G30" s="13">
        <v>28703.5</v>
      </c>
      <c r="H30" s="13">
        <v>0</v>
      </c>
      <c r="I30" s="13">
        <v>63640.400000000009</v>
      </c>
      <c r="J30" s="13">
        <v>0</v>
      </c>
      <c r="K30" s="13">
        <v>63640.30000000001</v>
      </c>
    </row>
    <row r="31" spans="1:11" x14ac:dyDescent="0.25">
      <c r="A31" s="137"/>
      <c r="B31" s="141" t="s">
        <v>100</v>
      </c>
      <c r="C31" s="13"/>
      <c r="D31" s="13"/>
      <c r="E31" s="13"/>
      <c r="F31" s="13"/>
      <c r="G31" s="13"/>
      <c r="H31" s="13"/>
      <c r="I31" s="13">
        <v>0</v>
      </c>
      <c r="J31" s="13"/>
      <c r="K31" s="13">
        <v>0</v>
      </c>
    </row>
    <row r="32" spans="1:11" x14ac:dyDescent="0.25">
      <c r="A32" s="137"/>
      <c r="B32" s="141" t="s">
        <v>101</v>
      </c>
      <c r="C32" s="13">
        <v>5767</v>
      </c>
      <c r="D32" s="13">
        <v>4298.3999999999996</v>
      </c>
      <c r="E32" s="13">
        <v>16028.6</v>
      </c>
      <c r="F32" s="13">
        <v>14609.899999999998</v>
      </c>
      <c r="G32" s="13">
        <v>28703.5</v>
      </c>
      <c r="H32" s="13">
        <v>0</v>
      </c>
      <c r="I32" s="13">
        <v>63640.400000000009</v>
      </c>
      <c r="J32" s="13">
        <v>0</v>
      </c>
      <c r="K32" s="13">
        <v>63640.30000000001</v>
      </c>
    </row>
    <row r="33" spans="1:11" x14ac:dyDescent="0.25">
      <c r="A33" s="137"/>
      <c r="B33" s="142"/>
      <c r="C33" s="142"/>
      <c r="D33" s="142"/>
      <c r="E33" s="142"/>
      <c r="F33" s="142"/>
      <c r="G33" s="142"/>
      <c r="H33" s="142"/>
      <c r="I33" s="142"/>
      <c r="J33" s="142"/>
      <c r="K33" s="142"/>
    </row>
    <row r="34" spans="1:11" x14ac:dyDescent="0.25">
      <c r="B34" s="213" t="s">
        <v>552</v>
      </c>
      <c r="C34" s="213"/>
      <c r="D34" s="213"/>
      <c r="E34" s="213"/>
      <c r="F34" s="213"/>
      <c r="G34" s="213"/>
      <c r="H34" s="213"/>
      <c r="I34" s="213"/>
      <c r="J34" s="213"/>
      <c r="K34" s="213"/>
    </row>
    <row r="35" spans="1:11" x14ac:dyDescent="0.25">
      <c r="A35" s="137"/>
      <c r="B35" s="140" t="s">
        <v>86</v>
      </c>
      <c r="C35" s="138"/>
      <c r="D35" s="138">
        <v>3</v>
      </c>
      <c r="E35" s="138">
        <v>0</v>
      </c>
      <c r="F35" s="138">
        <v>0</v>
      </c>
      <c r="G35" s="138">
        <v>0</v>
      </c>
      <c r="H35" s="138">
        <v>0</v>
      </c>
      <c r="I35" s="138">
        <v>3</v>
      </c>
      <c r="J35" s="139">
        <v>0</v>
      </c>
      <c r="K35" s="138"/>
    </row>
    <row r="36" spans="1:11" x14ac:dyDescent="0.25">
      <c r="A36" s="137"/>
      <c r="B36" s="140" t="s">
        <v>87</v>
      </c>
      <c r="C36" s="138"/>
      <c r="D36" s="138">
        <v>34.299999999999997</v>
      </c>
      <c r="E36" s="138">
        <v>49.2</v>
      </c>
      <c r="F36" s="138">
        <v>49</v>
      </c>
      <c r="G36" s="138">
        <v>0</v>
      </c>
      <c r="H36" s="138">
        <v>0</v>
      </c>
      <c r="I36" s="138">
        <v>132.5</v>
      </c>
      <c r="J36" s="139">
        <v>0</v>
      </c>
      <c r="K36" s="138"/>
    </row>
    <row r="37" spans="1:11" x14ac:dyDescent="0.25">
      <c r="A37" s="137"/>
      <c r="B37" s="140" t="s">
        <v>512</v>
      </c>
      <c r="C37" s="138"/>
      <c r="D37" s="138">
        <v>89.5</v>
      </c>
      <c r="E37" s="138">
        <v>111.6</v>
      </c>
      <c r="F37" s="138">
        <v>111.1</v>
      </c>
      <c r="G37" s="138">
        <v>0</v>
      </c>
      <c r="H37" s="138">
        <v>0</v>
      </c>
      <c r="I37" s="138">
        <v>312.2</v>
      </c>
      <c r="J37" s="139">
        <v>0</v>
      </c>
      <c r="K37" s="138"/>
    </row>
    <row r="38" spans="1:11" x14ac:dyDescent="0.25">
      <c r="A38" s="137"/>
      <c r="B38" s="140" t="s">
        <v>88</v>
      </c>
      <c r="C38" s="138"/>
      <c r="D38" s="138">
        <v>79.5</v>
      </c>
      <c r="E38" s="138">
        <v>697.1</v>
      </c>
      <c r="F38" s="138">
        <v>694</v>
      </c>
      <c r="G38" s="138">
        <v>0</v>
      </c>
      <c r="H38" s="138">
        <v>0</v>
      </c>
      <c r="I38" s="138">
        <v>1470.6</v>
      </c>
      <c r="J38" s="139">
        <v>0</v>
      </c>
      <c r="K38" s="138"/>
    </row>
    <row r="39" spans="1:11" x14ac:dyDescent="0.25">
      <c r="A39" s="137"/>
      <c r="B39" s="140" t="s">
        <v>89</v>
      </c>
      <c r="C39" s="138"/>
      <c r="D39" s="138">
        <v>483.2</v>
      </c>
      <c r="E39" s="138">
        <v>496</v>
      </c>
      <c r="F39" s="138">
        <v>328.6</v>
      </c>
      <c r="G39" s="138">
        <v>0</v>
      </c>
      <c r="H39" s="138">
        <v>0</v>
      </c>
      <c r="I39" s="138">
        <v>1307.8000000000002</v>
      </c>
      <c r="J39" s="139">
        <v>0</v>
      </c>
      <c r="K39" s="138"/>
    </row>
    <row r="40" spans="1:11" x14ac:dyDescent="0.25">
      <c r="A40" s="137"/>
      <c r="B40" s="140" t="s">
        <v>513</v>
      </c>
      <c r="C40" s="138"/>
      <c r="D40" s="138">
        <v>609.1</v>
      </c>
      <c r="E40" s="138">
        <v>10748.4</v>
      </c>
      <c r="F40" s="138">
        <v>7694.4</v>
      </c>
      <c r="G40" s="138">
        <v>0</v>
      </c>
      <c r="H40" s="138">
        <v>0</v>
      </c>
      <c r="I40" s="138">
        <v>19051.900000000001</v>
      </c>
      <c r="J40" s="139">
        <v>0</v>
      </c>
      <c r="K40" s="138"/>
    </row>
    <row r="41" spans="1:11" x14ac:dyDescent="0.25">
      <c r="A41" s="137"/>
      <c r="B41" s="140" t="s">
        <v>514</v>
      </c>
      <c r="C41" s="138"/>
      <c r="D41" s="138">
        <v>0</v>
      </c>
      <c r="E41" s="138">
        <v>0</v>
      </c>
      <c r="F41" s="138">
        <v>0</v>
      </c>
      <c r="G41" s="138">
        <v>7610.2</v>
      </c>
      <c r="H41" s="138">
        <v>0</v>
      </c>
      <c r="I41" s="138">
        <v>7610.2</v>
      </c>
      <c r="J41" s="139">
        <v>0</v>
      </c>
      <c r="K41" s="138"/>
    </row>
    <row r="42" spans="1:11" x14ac:dyDescent="0.25">
      <c r="A42" s="137"/>
      <c r="B42" s="140" t="s">
        <v>90</v>
      </c>
      <c r="C42" s="138"/>
      <c r="D42" s="138">
        <v>0</v>
      </c>
      <c r="E42" s="138">
        <v>0</v>
      </c>
      <c r="F42" s="138">
        <v>0</v>
      </c>
      <c r="G42" s="138">
        <v>1262.9000000000001</v>
      </c>
      <c r="H42" s="138">
        <v>0</v>
      </c>
      <c r="I42" s="138">
        <v>1262.9000000000001</v>
      </c>
      <c r="J42" s="139">
        <v>0</v>
      </c>
      <c r="K42" s="138"/>
    </row>
    <row r="43" spans="1:11" x14ac:dyDescent="0.25">
      <c r="A43" s="137"/>
      <c r="B43" s="140" t="s">
        <v>91</v>
      </c>
      <c r="C43" s="138"/>
      <c r="D43" s="138">
        <v>778.3</v>
      </c>
      <c r="E43" s="138">
        <v>155.69999999999999</v>
      </c>
      <c r="F43" s="138">
        <v>344.9</v>
      </c>
      <c r="G43" s="138">
        <v>353</v>
      </c>
      <c r="H43" s="138">
        <v>0</v>
      </c>
      <c r="I43" s="138">
        <v>1631.9</v>
      </c>
      <c r="J43" s="139">
        <v>0</v>
      </c>
      <c r="K43" s="138"/>
    </row>
    <row r="44" spans="1:11" x14ac:dyDescent="0.25">
      <c r="A44" s="137"/>
      <c r="B44" s="140" t="s">
        <v>92</v>
      </c>
      <c r="C44" s="138"/>
      <c r="D44" s="138">
        <v>0</v>
      </c>
      <c r="E44" s="138">
        <v>0</v>
      </c>
      <c r="F44" s="138">
        <v>0</v>
      </c>
      <c r="G44" s="138">
        <v>0</v>
      </c>
      <c r="H44" s="138">
        <v>0</v>
      </c>
      <c r="I44" s="138">
        <v>0</v>
      </c>
      <c r="J44" s="139">
        <v>0</v>
      </c>
      <c r="K44" s="138"/>
    </row>
    <row r="45" spans="1:11" x14ac:dyDescent="0.25">
      <c r="A45" s="137"/>
      <c r="B45" s="140" t="s">
        <v>515</v>
      </c>
      <c r="C45" s="138"/>
      <c r="D45" s="138">
        <v>38.299999999999997</v>
      </c>
      <c r="E45" s="138">
        <v>343.5</v>
      </c>
      <c r="F45" s="138">
        <v>282.39999999999998</v>
      </c>
      <c r="G45" s="138">
        <v>244.4</v>
      </c>
      <c r="H45" s="138">
        <v>0</v>
      </c>
      <c r="I45" s="138">
        <v>908.6</v>
      </c>
      <c r="J45" s="139">
        <v>0</v>
      </c>
      <c r="K45" s="138"/>
    </row>
    <row r="46" spans="1:11" x14ac:dyDescent="0.25">
      <c r="A46" s="137"/>
      <c r="B46" s="140" t="s">
        <v>93</v>
      </c>
      <c r="C46" s="138"/>
      <c r="D46" s="138">
        <v>0</v>
      </c>
      <c r="E46" s="138">
        <v>492.3</v>
      </c>
      <c r="F46" s="138">
        <v>357.7</v>
      </c>
      <c r="G46" s="138">
        <v>5150</v>
      </c>
      <c r="H46" s="138">
        <v>0</v>
      </c>
      <c r="I46" s="138">
        <v>6000</v>
      </c>
      <c r="J46" s="139">
        <v>0</v>
      </c>
      <c r="K46" s="138"/>
    </row>
    <row r="47" spans="1:11" x14ac:dyDescent="0.25">
      <c r="A47" s="137"/>
      <c r="B47" s="141" t="s">
        <v>94</v>
      </c>
      <c r="C47" s="13">
        <v>0</v>
      </c>
      <c r="D47" s="13">
        <v>2115.1999999999998</v>
      </c>
      <c r="E47" s="13">
        <v>13093.8</v>
      </c>
      <c r="F47" s="13">
        <v>9862.1</v>
      </c>
      <c r="G47" s="13">
        <v>14620.5</v>
      </c>
      <c r="H47" s="13">
        <v>0</v>
      </c>
      <c r="I47" s="13">
        <v>39691.599999999999</v>
      </c>
      <c r="J47" s="13">
        <v>0</v>
      </c>
      <c r="K47" s="13"/>
    </row>
    <row r="48" spans="1:11" x14ac:dyDescent="0.25">
      <c r="A48" s="137"/>
      <c r="B48" s="140" t="s">
        <v>95</v>
      </c>
      <c r="C48" s="138"/>
      <c r="D48" s="138">
        <v>1835</v>
      </c>
      <c r="E48" s="138">
        <v>1489.6</v>
      </c>
      <c r="F48" s="138">
        <v>1551.4</v>
      </c>
      <c r="G48" s="138">
        <v>3990.5</v>
      </c>
      <c r="H48" s="138">
        <v>0</v>
      </c>
      <c r="I48" s="138">
        <v>8866.5</v>
      </c>
      <c r="J48" s="139">
        <v>0</v>
      </c>
      <c r="K48" s="138"/>
    </row>
    <row r="49" spans="1:11" x14ac:dyDescent="0.25">
      <c r="A49" s="137"/>
      <c r="B49" s="140" t="s">
        <v>96</v>
      </c>
      <c r="C49" s="138"/>
      <c r="D49" s="138">
        <v>348.2</v>
      </c>
      <c r="E49" s="138">
        <v>415.3</v>
      </c>
      <c r="F49" s="138">
        <v>1615.7</v>
      </c>
      <c r="G49" s="138">
        <v>2869.7</v>
      </c>
      <c r="H49" s="138">
        <v>0</v>
      </c>
      <c r="I49" s="138">
        <v>5248.9</v>
      </c>
      <c r="J49" s="139">
        <v>0</v>
      </c>
      <c r="K49" s="138"/>
    </row>
    <row r="50" spans="1:11" x14ac:dyDescent="0.25">
      <c r="A50" s="137"/>
      <c r="B50" s="141" t="s">
        <v>23</v>
      </c>
      <c r="C50" s="13">
        <v>0</v>
      </c>
      <c r="D50" s="13">
        <v>4298.3999999999996</v>
      </c>
      <c r="E50" s="13">
        <v>14998.699999999999</v>
      </c>
      <c r="F50" s="13">
        <v>13029.2</v>
      </c>
      <c r="G50" s="13">
        <v>21480.7</v>
      </c>
      <c r="H50" s="13">
        <v>0</v>
      </c>
      <c r="I50" s="13">
        <v>53807</v>
      </c>
      <c r="J50" s="13">
        <v>0</v>
      </c>
      <c r="K50" s="13"/>
    </row>
    <row r="51" spans="1:11" x14ac:dyDescent="0.25">
      <c r="A51" s="137"/>
      <c r="B51" s="140" t="s">
        <v>97</v>
      </c>
      <c r="C51" s="138"/>
      <c r="D51" s="138">
        <v>0</v>
      </c>
      <c r="E51" s="138">
        <v>556.1</v>
      </c>
      <c r="F51" s="138">
        <v>1014.8</v>
      </c>
      <c r="G51" s="138">
        <v>1009.3</v>
      </c>
      <c r="H51" s="138">
        <v>0</v>
      </c>
      <c r="I51" s="138">
        <v>2580.1999999999998</v>
      </c>
      <c r="J51" s="139">
        <v>0</v>
      </c>
      <c r="K51" s="138"/>
    </row>
    <row r="52" spans="1:11" x14ac:dyDescent="0.25">
      <c r="A52" s="137"/>
      <c r="B52" s="140"/>
      <c r="C52" s="138"/>
      <c r="D52" s="138"/>
      <c r="E52" s="138"/>
      <c r="F52" s="138"/>
      <c r="G52" s="138"/>
      <c r="H52" s="138"/>
      <c r="I52" s="138"/>
      <c r="J52" s="138"/>
      <c r="K52" s="138"/>
    </row>
    <row r="53" spans="1:11" x14ac:dyDescent="0.25">
      <c r="A53" s="137"/>
      <c r="B53" s="141" t="s">
        <v>158</v>
      </c>
      <c r="C53" s="13">
        <v>5767</v>
      </c>
      <c r="D53" s="13">
        <v>4298.3999999999996</v>
      </c>
      <c r="E53" s="13">
        <v>15554.8</v>
      </c>
      <c r="F53" s="13">
        <v>14044</v>
      </c>
      <c r="G53" s="13">
        <v>22490</v>
      </c>
      <c r="H53" s="13">
        <v>0</v>
      </c>
      <c r="I53" s="13">
        <v>56387.199999999997</v>
      </c>
      <c r="J53" s="13">
        <v>0</v>
      </c>
      <c r="K53" s="13"/>
    </row>
    <row r="54" spans="1:11" x14ac:dyDescent="0.25">
      <c r="A54" s="137"/>
      <c r="B54" s="140" t="s">
        <v>98</v>
      </c>
      <c r="C54" s="138"/>
      <c r="D54" s="138">
        <v>0</v>
      </c>
      <c r="E54" s="138">
        <v>0</v>
      </c>
      <c r="F54" s="138">
        <v>0</v>
      </c>
      <c r="G54" s="138">
        <v>0</v>
      </c>
      <c r="H54" s="138">
        <v>0</v>
      </c>
      <c r="I54" s="138">
        <v>0</v>
      </c>
      <c r="J54" s="139">
        <v>0</v>
      </c>
      <c r="K54" s="138"/>
    </row>
    <row r="55" spans="1:11" x14ac:dyDescent="0.25">
      <c r="A55" s="137"/>
      <c r="B55" s="140"/>
      <c r="C55" s="138"/>
      <c r="D55" s="138"/>
      <c r="E55" s="138"/>
      <c r="F55" s="138"/>
      <c r="G55" s="138"/>
      <c r="H55" s="138"/>
      <c r="I55" s="138"/>
      <c r="J55" s="138"/>
      <c r="K55" s="138"/>
    </row>
    <row r="56" spans="1:11" x14ac:dyDescent="0.25">
      <c r="A56" s="137"/>
      <c r="B56" s="141" t="s">
        <v>99</v>
      </c>
      <c r="C56" s="13">
        <v>5767</v>
      </c>
      <c r="D56" s="13">
        <v>4298.3999999999996</v>
      </c>
      <c r="E56" s="13">
        <v>15554.8</v>
      </c>
      <c r="F56" s="13">
        <v>14044</v>
      </c>
      <c r="G56" s="13">
        <v>22490</v>
      </c>
      <c r="H56" s="13">
        <v>0</v>
      </c>
      <c r="I56" s="13">
        <v>56387.199999999997</v>
      </c>
      <c r="J56" s="13">
        <v>0</v>
      </c>
      <c r="K56" s="13"/>
    </row>
    <row r="57" spans="1:11" x14ac:dyDescent="0.25">
      <c r="A57" s="137"/>
      <c r="B57" s="141" t="s">
        <v>100</v>
      </c>
      <c r="C57" s="13"/>
      <c r="D57" s="13"/>
      <c r="E57" s="13"/>
      <c r="F57" s="13"/>
      <c r="G57" s="13"/>
      <c r="H57" s="13"/>
      <c r="I57" s="13">
        <v>0</v>
      </c>
      <c r="J57" s="13"/>
      <c r="K57" s="13"/>
    </row>
    <row r="58" spans="1:11" x14ac:dyDescent="0.25">
      <c r="A58" s="137"/>
      <c r="B58" s="141" t="s">
        <v>101</v>
      </c>
      <c r="C58" s="13">
        <v>5767</v>
      </c>
      <c r="D58" s="13">
        <v>4298.3999999999996</v>
      </c>
      <c r="E58" s="13">
        <v>15554.8</v>
      </c>
      <c r="F58" s="13">
        <v>14044</v>
      </c>
      <c r="G58" s="13">
        <v>22490</v>
      </c>
      <c r="H58" s="13">
        <v>0</v>
      </c>
      <c r="I58" s="13">
        <v>56387.199999999997</v>
      </c>
      <c r="J58" s="13">
        <v>0</v>
      </c>
      <c r="K58" s="13"/>
    </row>
    <row r="59" spans="1:11" x14ac:dyDescent="0.25">
      <c r="B59" s="213" t="s">
        <v>553</v>
      </c>
      <c r="C59" s="213"/>
      <c r="D59" s="213"/>
      <c r="E59" s="213"/>
      <c r="F59" s="213"/>
      <c r="G59" s="213"/>
      <c r="H59" s="213"/>
      <c r="I59" s="213"/>
      <c r="J59" s="213"/>
      <c r="K59" s="213"/>
    </row>
    <row r="60" spans="1:11" x14ac:dyDescent="0.25">
      <c r="A60" s="137"/>
      <c r="B60" s="140" t="s">
        <v>86</v>
      </c>
      <c r="C60" s="138"/>
      <c r="D60" s="138">
        <v>0</v>
      </c>
      <c r="E60" s="138">
        <v>0</v>
      </c>
      <c r="F60" s="138">
        <v>0</v>
      </c>
      <c r="G60" s="138">
        <v>0</v>
      </c>
      <c r="H60" s="138">
        <v>0</v>
      </c>
      <c r="I60" s="138">
        <v>0</v>
      </c>
      <c r="J60" s="139">
        <v>0</v>
      </c>
      <c r="K60" s="138"/>
    </row>
    <row r="61" spans="1:11" x14ac:dyDescent="0.25">
      <c r="A61" s="137"/>
      <c r="B61" s="140" t="s">
        <v>87</v>
      </c>
      <c r="C61" s="138"/>
      <c r="D61" s="138">
        <v>0</v>
      </c>
      <c r="E61" s="138">
        <v>0</v>
      </c>
      <c r="F61" s="138">
        <v>0</v>
      </c>
      <c r="G61" s="138">
        <v>0</v>
      </c>
      <c r="H61" s="138">
        <v>0</v>
      </c>
      <c r="I61" s="138">
        <v>0</v>
      </c>
      <c r="J61" s="139">
        <v>0</v>
      </c>
      <c r="K61" s="138"/>
    </row>
    <row r="62" spans="1:11" x14ac:dyDescent="0.25">
      <c r="A62" s="137"/>
      <c r="B62" s="140" t="s">
        <v>512</v>
      </c>
      <c r="C62" s="138"/>
      <c r="D62" s="138">
        <v>0</v>
      </c>
      <c r="E62" s="138">
        <v>6.8</v>
      </c>
      <c r="F62" s="138">
        <v>6.8</v>
      </c>
      <c r="G62" s="138">
        <v>0</v>
      </c>
      <c r="H62" s="138">
        <v>0</v>
      </c>
      <c r="I62" s="138">
        <v>13.6</v>
      </c>
      <c r="J62" s="139">
        <v>0</v>
      </c>
      <c r="K62" s="138"/>
    </row>
    <row r="63" spans="1:11" x14ac:dyDescent="0.25">
      <c r="A63" s="137"/>
      <c r="B63" s="140" t="s">
        <v>88</v>
      </c>
      <c r="C63" s="138"/>
      <c r="D63" s="138">
        <v>0</v>
      </c>
      <c r="E63" s="138">
        <v>87.2</v>
      </c>
      <c r="F63" s="138">
        <v>86.8</v>
      </c>
      <c r="G63" s="138">
        <v>0</v>
      </c>
      <c r="H63" s="138">
        <v>0</v>
      </c>
      <c r="I63" s="138">
        <v>174</v>
      </c>
      <c r="J63" s="139">
        <v>0</v>
      </c>
      <c r="K63" s="138"/>
    </row>
    <row r="64" spans="1:11" x14ac:dyDescent="0.25">
      <c r="A64" s="137"/>
      <c r="B64" s="140" t="s">
        <v>89</v>
      </c>
      <c r="C64" s="138"/>
      <c r="D64" s="138">
        <v>0</v>
      </c>
      <c r="E64" s="138">
        <v>36.799999999999997</v>
      </c>
      <c r="F64" s="138">
        <v>24.4</v>
      </c>
      <c r="G64" s="138">
        <v>0</v>
      </c>
      <c r="H64" s="138">
        <v>0</v>
      </c>
      <c r="I64" s="138">
        <v>61.199999999999996</v>
      </c>
      <c r="J64" s="139">
        <v>0</v>
      </c>
      <c r="K64" s="138"/>
    </row>
    <row r="65" spans="1:11" x14ac:dyDescent="0.25">
      <c r="A65" s="137"/>
      <c r="B65" s="140" t="s">
        <v>513</v>
      </c>
      <c r="C65" s="138"/>
      <c r="D65" s="138">
        <v>0</v>
      </c>
      <c r="E65" s="138">
        <v>85.6</v>
      </c>
      <c r="F65" s="138">
        <v>61.3</v>
      </c>
      <c r="G65" s="138">
        <v>0</v>
      </c>
      <c r="H65" s="138">
        <v>0</v>
      </c>
      <c r="I65" s="138">
        <v>146.89999999999998</v>
      </c>
      <c r="J65" s="139">
        <v>0</v>
      </c>
      <c r="K65" s="138"/>
    </row>
    <row r="66" spans="1:11" x14ac:dyDescent="0.25">
      <c r="A66" s="137"/>
      <c r="B66" s="140" t="s">
        <v>514</v>
      </c>
      <c r="C66" s="138"/>
      <c r="D66" s="138">
        <v>0</v>
      </c>
      <c r="E66" s="138">
        <v>0</v>
      </c>
      <c r="F66" s="138">
        <v>0</v>
      </c>
      <c r="G66" s="138">
        <v>1389.4</v>
      </c>
      <c r="H66" s="138">
        <v>0</v>
      </c>
      <c r="I66" s="138">
        <v>1389.4</v>
      </c>
      <c r="J66" s="139">
        <v>0</v>
      </c>
      <c r="K66" s="138"/>
    </row>
    <row r="67" spans="1:11" x14ac:dyDescent="0.25">
      <c r="A67" s="137"/>
      <c r="B67" s="140" t="s">
        <v>90</v>
      </c>
      <c r="C67" s="138"/>
      <c r="D67" s="138">
        <v>0</v>
      </c>
      <c r="E67" s="138">
        <v>0</v>
      </c>
      <c r="F67" s="138">
        <v>0</v>
      </c>
      <c r="G67" s="138">
        <v>1814.5</v>
      </c>
      <c r="H67" s="138">
        <v>0</v>
      </c>
      <c r="I67" s="138">
        <v>1814.5</v>
      </c>
      <c r="J67" s="139">
        <v>0</v>
      </c>
      <c r="K67" s="138"/>
    </row>
    <row r="68" spans="1:11" x14ac:dyDescent="0.25">
      <c r="A68" s="137"/>
      <c r="B68" s="140" t="s">
        <v>91</v>
      </c>
      <c r="C68" s="138"/>
      <c r="D68" s="138">
        <v>0</v>
      </c>
      <c r="E68" s="138">
        <v>20.3</v>
      </c>
      <c r="F68" s="138">
        <v>40.4</v>
      </c>
      <c r="G68" s="138">
        <v>36.200000000000003</v>
      </c>
      <c r="H68" s="138">
        <v>0</v>
      </c>
      <c r="I68" s="138">
        <v>96.9</v>
      </c>
      <c r="J68" s="139">
        <v>0</v>
      </c>
      <c r="K68" s="138"/>
    </row>
    <row r="69" spans="1:11" x14ac:dyDescent="0.25">
      <c r="A69" s="137"/>
      <c r="B69" s="140" t="s">
        <v>92</v>
      </c>
      <c r="C69" s="138"/>
      <c r="D69" s="138">
        <v>0</v>
      </c>
      <c r="E69" s="138">
        <v>0</v>
      </c>
      <c r="F69" s="138">
        <v>0</v>
      </c>
      <c r="G69" s="138">
        <v>123.5</v>
      </c>
      <c r="H69" s="138">
        <v>0</v>
      </c>
      <c r="I69" s="138">
        <v>123.5</v>
      </c>
      <c r="J69" s="139">
        <v>0</v>
      </c>
      <c r="K69" s="138"/>
    </row>
    <row r="70" spans="1:11" x14ac:dyDescent="0.25">
      <c r="A70" s="137"/>
      <c r="B70" s="140" t="s">
        <v>515</v>
      </c>
      <c r="C70" s="138"/>
      <c r="D70" s="138">
        <v>0</v>
      </c>
      <c r="E70" s="138">
        <v>4.7</v>
      </c>
      <c r="F70" s="138">
        <v>4.4000000000000004</v>
      </c>
      <c r="G70" s="138">
        <v>67.3</v>
      </c>
      <c r="H70" s="138">
        <v>0</v>
      </c>
      <c r="I70" s="138">
        <v>76.400000000000006</v>
      </c>
      <c r="J70" s="139">
        <v>0</v>
      </c>
      <c r="K70" s="138"/>
    </row>
    <row r="71" spans="1:11" x14ac:dyDescent="0.25">
      <c r="A71" s="137"/>
      <c r="B71" s="140" t="s">
        <v>93</v>
      </c>
      <c r="C71" s="138"/>
      <c r="D71" s="138">
        <v>0</v>
      </c>
      <c r="E71" s="138">
        <v>0</v>
      </c>
      <c r="F71" s="138">
        <v>0</v>
      </c>
      <c r="G71" s="138">
        <v>770</v>
      </c>
      <c r="H71" s="138">
        <v>0</v>
      </c>
      <c r="I71" s="138">
        <v>770</v>
      </c>
      <c r="J71" s="139">
        <v>0</v>
      </c>
      <c r="K71" s="138"/>
    </row>
    <row r="72" spans="1:11" x14ac:dyDescent="0.25">
      <c r="A72" s="137"/>
      <c r="B72" s="141" t="s">
        <v>94</v>
      </c>
      <c r="C72" s="13">
        <v>0</v>
      </c>
      <c r="D72" s="13">
        <v>0</v>
      </c>
      <c r="E72" s="13">
        <v>241.4</v>
      </c>
      <c r="F72" s="13">
        <v>224.10000000000002</v>
      </c>
      <c r="G72" s="13">
        <v>4200.8999999999996</v>
      </c>
      <c r="H72" s="13">
        <v>0</v>
      </c>
      <c r="I72" s="13">
        <v>4666.3999999999996</v>
      </c>
      <c r="J72" s="13">
        <v>0</v>
      </c>
      <c r="K72" s="13"/>
    </row>
    <row r="73" spans="1:11" x14ac:dyDescent="0.25">
      <c r="A73" s="137"/>
      <c r="B73" s="140" t="s">
        <v>95</v>
      </c>
      <c r="C73" s="138"/>
      <c r="D73" s="138">
        <v>0</v>
      </c>
      <c r="E73" s="138">
        <v>150.4</v>
      </c>
      <c r="F73" s="138">
        <v>164.5</v>
      </c>
      <c r="G73" s="138">
        <v>1607</v>
      </c>
      <c r="H73" s="138">
        <v>0</v>
      </c>
      <c r="I73" s="138">
        <v>1921.9</v>
      </c>
      <c r="J73" s="139">
        <v>0</v>
      </c>
      <c r="K73" s="138"/>
    </row>
    <row r="74" spans="1:11" x14ac:dyDescent="0.25">
      <c r="A74" s="137"/>
      <c r="B74" s="140" t="s">
        <v>96</v>
      </c>
      <c r="C74" s="138"/>
      <c r="D74" s="138">
        <v>0</v>
      </c>
      <c r="E74" s="138">
        <v>10.4</v>
      </c>
      <c r="F74" s="138">
        <v>46.7</v>
      </c>
      <c r="G74" s="138">
        <v>275.89999999999998</v>
      </c>
      <c r="H74" s="138">
        <v>0</v>
      </c>
      <c r="I74" s="138">
        <v>333</v>
      </c>
      <c r="J74" s="139">
        <v>0</v>
      </c>
      <c r="K74" s="138"/>
    </row>
    <row r="75" spans="1:11" x14ac:dyDescent="0.25">
      <c r="A75" s="137"/>
      <c r="B75" s="141" t="s">
        <v>23</v>
      </c>
      <c r="C75" s="13">
        <v>0</v>
      </c>
      <c r="D75" s="13">
        <v>0</v>
      </c>
      <c r="E75" s="13">
        <v>402.2</v>
      </c>
      <c r="F75" s="13">
        <v>435.3</v>
      </c>
      <c r="G75" s="13">
        <v>6083.7999999999993</v>
      </c>
      <c r="H75" s="13">
        <v>0</v>
      </c>
      <c r="I75" s="13">
        <v>6921.2999999999993</v>
      </c>
      <c r="J75" s="13">
        <v>0</v>
      </c>
      <c r="K75" s="13"/>
    </row>
    <row r="76" spans="1:11" x14ac:dyDescent="0.25">
      <c r="A76" s="137"/>
      <c r="B76" s="140" t="s">
        <v>97</v>
      </c>
      <c r="C76" s="138"/>
      <c r="D76" s="138">
        <v>0</v>
      </c>
      <c r="E76" s="138">
        <v>71.5</v>
      </c>
      <c r="F76" s="138">
        <v>130.5</v>
      </c>
      <c r="G76" s="138">
        <v>129.80000000000001</v>
      </c>
      <c r="H76" s="138">
        <v>0</v>
      </c>
      <c r="I76" s="138">
        <v>331.8</v>
      </c>
      <c r="J76" s="139">
        <v>0</v>
      </c>
      <c r="K76" s="138"/>
    </row>
    <row r="77" spans="1:11" x14ac:dyDescent="0.25">
      <c r="A77" s="137"/>
      <c r="B77" s="140"/>
      <c r="C77" s="138"/>
      <c r="D77" s="138"/>
      <c r="E77" s="138"/>
      <c r="F77" s="138"/>
      <c r="G77" s="138"/>
      <c r="H77" s="138"/>
      <c r="I77" s="138"/>
      <c r="J77" s="138"/>
      <c r="K77" s="138"/>
    </row>
    <row r="78" spans="1:11" x14ac:dyDescent="0.25">
      <c r="A78" s="137"/>
      <c r="B78" s="141" t="s">
        <v>158</v>
      </c>
      <c r="C78" s="13">
        <v>5767</v>
      </c>
      <c r="D78" s="13">
        <v>0</v>
      </c>
      <c r="E78" s="13">
        <v>473.7</v>
      </c>
      <c r="F78" s="13">
        <v>565.79999999999995</v>
      </c>
      <c r="G78" s="13">
        <v>6213.5999999999995</v>
      </c>
      <c r="H78" s="13">
        <v>0</v>
      </c>
      <c r="I78" s="13">
        <v>7253.0999999999995</v>
      </c>
      <c r="J78" s="13">
        <v>0</v>
      </c>
      <c r="K78" s="13"/>
    </row>
    <row r="79" spans="1:11" x14ac:dyDescent="0.25">
      <c r="A79" s="137"/>
      <c r="B79" s="140" t="s">
        <v>98</v>
      </c>
      <c r="C79" s="138"/>
      <c r="D79" s="138">
        <v>0</v>
      </c>
      <c r="E79" s="138">
        <v>0</v>
      </c>
      <c r="F79" s="138">
        <v>0</v>
      </c>
      <c r="G79" s="138">
        <v>0</v>
      </c>
      <c r="H79" s="138">
        <v>0</v>
      </c>
      <c r="I79" s="138">
        <v>0</v>
      </c>
      <c r="J79" s="139">
        <v>0</v>
      </c>
      <c r="K79" s="138"/>
    </row>
    <row r="80" spans="1:11" x14ac:dyDescent="0.25">
      <c r="A80" s="137"/>
      <c r="B80" s="140"/>
      <c r="C80" s="138"/>
      <c r="D80" s="138"/>
      <c r="E80" s="138"/>
      <c r="F80" s="138"/>
      <c r="G80" s="138"/>
      <c r="H80" s="138"/>
      <c r="I80" s="138"/>
      <c r="J80" s="138"/>
      <c r="K80" s="138"/>
    </row>
    <row r="81" spans="1:11" x14ac:dyDescent="0.25">
      <c r="A81" s="137"/>
      <c r="B81" s="141" t="s">
        <v>99</v>
      </c>
      <c r="C81" s="13">
        <v>5767</v>
      </c>
      <c r="D81" s="13">
        <v>0</v>
      </c>
      <c r="E81" s="13">
        <v>473.7</v>
      </c>
      <c r="F81" s="13">
        <v>565.79999999999995</v>
      </c>
      <c r="G81" s="13">
        <v>6213.5999999999995</v>
      </c>
      <c r="H81" s="13">
        <v>0</v>
      </c>
      <c r="I81" s="13">
        <v>7253.0999999999995</v>
      </c>
      <c r="J81" s="13">
        <v>0</v>
      </c>
      <c r="K81" s="13"/>
    </row>
    <row r="82" spans="1:11" x14ac:dyDescent="0.25">
      <c r="A82" s="137"/>
      <c r="B82" s="141" t="s">
        <v>100</v>
      </c>
      <c r="C82" s="13"/>
      <c r="D82" s="13"/>
      <c r="E82" s="13"/>
      <c r="F82" s="13"/>
      <c r="G82" s="13"/>
      <c r="H82" s="13"/>
      <c r="I82" s="13">
        <v>0</v>
      </c>
      <c r="J82" s="13"/>
      <c r="K82" s="13"/>
    </row>
    <row r="83" spans="1:11" x14ac:dyDescent="0.25">
      <c r="A83" s="137"/>
      <c r="B83" s="141" t="s">
        <v>101</v>
      </c>
      <c r="C83" s="13">
        <v>5767</v>
      </c>
      <c r="D83" s="13">
        <v>0</v>
      </c>
      <c r="E83" s="13">
        <v>473.7</v>
      </c>
      <c r="F83" s="13">
        <v>565.79999999999995</v>
      </c>
      <c r="G83" s="13">
        <v>6213.5999999999995</v>
      </c>
      <c r="H83" s="13">
        <v>0</v>
      </c>
      <c r="I83" s="13">
        <v>7253.0999999999995</v>
      </c>
      <c r="J83" s="13">
        <v>0</v>
      </c>
      <c r="K83" s="13"/>
    </row>
  </sheetData>
  <mergeCells count="6">
    <mergeCell ref="H7:H8"/>
    <mergeCell ref="I7:I8"/>
    <mergeCell ref="K7:K8"/>
    <mergeCell ref="J7:J8"/>
    <mergeCell ref="F7:F8"/>
    <mergeCell ref="G7:G8"/>
  </mergeCells>
  <hyperlinks>
    <hyperlink ref="I1" location="'Table of contents'!A1" display="Return to TOC" xr:uid="{00000000-0004-0000-0A00-000000000000}"/>
  </hyperlinks>
  <pageMargins left="0.7" right="0.7" top="0.75" bottom="0.75" header="0.3" footer="0.3"/>
  <pageSetup scale="52"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P4">
    <tabColor theme="9" tint="-0.499984740745262"/>
    <pageSetUpPr fitToPage="1"/>
  </sheetPr>
  <dimension ref="A1:O41"/>
  <sheetViews>
    <sheetView showGridLines="0" workbookViewId="0"/>
  </sheetViews>
  <sheetFormatPr defaultColWidth="8.85546875" defaultRowHeight="15" x14ac:dyDescent="0.25"/>
  <cols>
    <col min="1" max="1" width="6.7109375" customWidth="1"/>
    <col min="2" max="2" width="2.7109375" customWidth="1"/>
    <col min="3" max="3" width="30.7109375" customWidth="1"/>
    <col min="4" max="5" width="12.7109375" customWidth="1"/>
    <col min="6" max="6" width="2.7109375" hidden="1" customWidth="1"/>
    <col min="7" max="13" width="13.7109375" customWidth="1"/>
    <col min="14" max="14" width="2.7109375" hidden="1" customWidth="1"/>
  </cols>
  <sheetData>
    <row r="1" spans="1:14" x14ac:dyDescent="0.25">
      <c r="C1" s="2" t="s">
        <v>137</v>
      </c>
      <c r="D1" s="3" t="s">
        <v>117</v>
      </c>
      <c r="F1" s="73"/>
      <c r="G1" s="3"/>
      <c r="J1" s="2" t="s">
        <v>73</v>
      </c>
      <c r="K1" s="3" t="s">
        <v>549</v>
      </c>
      <c r="L1" s="3"/>
      <c r="M1" s="3"/>
      <c r="N1" s="73"/>
    </row>
    <row r="2" spans="1:14" x14ac:dyDescent="0.25">
      <c r="C2" s="2" t="s">
        <v>29</v>
      </c>
      <c r="D2" s="3" t="s">
        <v>544</v>
      </c>
      <c r="F2" s="73"/>
      <c r="G2" s="3"/>
      <c r="J2" s="2" t="s">
        <v>27</v>
      </c>
      <c r="K2" s="55">
        <v>47115.208333333336</v>
      </c>
      <c r="L2" s="3"/>
      <c r="M2" s="3"/>
      <c r="N2" s="73"/>
    </row>
    <row r="3" spans="1:14" x14ac:dyDescent="0.25">
      <c r="C3" s="2" t="s">
        <v>26</v>
      </c>
      <c r="D3" s="3" t="s">
        <v>545</v>
      </c>
      <c r="E3" s="3"/>
      <c r="F3" s="73"/>
      <c r="G3" s="3"/>
      <c r="K3" s="3"/>
      <c r="L3" s="3"/>
      <c r="M3" s="70" t="s">
        <v>66</v>
      </c>
      <c r="N3" s="73"/>
    </row>
    <row r="4" spans="1:14" ht="6" customHeight="1" x14ac:dyDescent="0.25">
      <c r="B4" s="1"/>
      <c r="C4" s="1"/>
      <c r="D4" s="25"/>
      <c r="E4" s="25"/>
      <c r="F4" s="73"/>
      <c r="G4" s="22"/>
      <c r="H4" s="22"/>
      <c r="I4" s="22"/>
      <c r="J4" s="24"/>
      <c r="K4" s="24"/>
      <c r="L4" s="24"/>
      <c r="M4" s="24"/>
      <c r="N4" s="73"/>
    </row>
    <row r="5" spans="1:14" x14ac:dyDescent="0.25">
      <c r="B5" s="26" t="s">
        <v>133</v>
      </c>
      <c r="C5" s="27"/>
      <c r="D5" s="27"/>
      <c r="E5" s="27"/>
      <c r="F5" s="73"/>
      <c r="G5" s="27"/>
      <c r="N5" s="73"/>
    </row>
    <row r="6" spans="1:14" s="7" customFormat="1" x14ac:dyDescent="0.25">
      <c r="A6"/>
      <c r="B6" s="38"/>
      <c r="C6" s="39"/>
      <c r="D6" s="23" t="s">
        <v>114</v>
      </c>
      <c r="E6" s="23" t="s">
        <v>115</v>
      </c>
      <c r="F6" s="73"/>
      <c r="G6" s="23" t="s">
        <v>28</v>
      </c>
      <c r="N6" s="73"/>
    </row>
    <row r="7" spans="1:14" x14ac:dyDescent="0.25">
      <c r="B7" s="44" t="s">
        <v>130</v>
      </c>
      <c r="C7" s="52" t="s">
        <v>110</v>
      </c>
      <c r="D7" s="106">
        <v>0</v>
      </c>
      <c r="E7" s="106">
        <v>19202201.040631365</v>
      </c>
      <c r="F7" s="73"/>
      <c r="G7" s="107">
        <v>19202201.040631365</v>
      </c>
      <c r="N7" s="73"/>
    </row>
    <row r="8" spans="1:14" x14ac:dyDescent="0.25">
      <c r="B8" s="45" t="s">
        <v>130</v>
      </c>
      <c r="C8" s="51" t="s">
        <v>118</v>
      </c>
      <c r="D8" s="106">
        <v>0</v>
      </c>
      <c r="E8" s="106">
        <v>16213138.879591011</v>
      </c>
      <c r="F8" s="73"/>
      <c r="G8" s="107">
        <v>16213138.879591011</v>
      </c>
      <c r="N8" s="73"/>
    </row>
    <row r="9" spans="1:14" x14ac:dyDescent="0.25">
      <c r="B9" s="46" t="s">
        <v>130</v>
      </c>
      <c r="C9" s="51" t="s">
        <v>112</v>
      </c>
      <c r="D9" s="106">
        <v>0</v>
      </c>
      <c r="E9" s="106">
        <v>3058.0747517759264</v>
      </c>
      <c r="F9" s="73"/>
      <c r="G9" s="107">
        <v>3058.0747517759264</v>
      </c>
      <c r="N9" s="73"/>
    </row>
    <row r="10" spans="1:14" x14ac:dyDescent="0.25">
      <c r="B10" s="47" t="s">
        <v>130</v>
      </c>
      <c r="C10" s="51" t="s">
        <v>129</v>
      </c>
      <c r="D10" s="106">
        <v>0</v>
      </c>
      <c r="E10" s="106">
        <v>9862329.4044764601</v>
      </c>
      <c r="F10" s="73"/>
      <c r="G10" s="107">
        <v>9862329.4044764601</v>
      </c>
      <c r="N10" s="73"/>
    </row>
    <row r="11" spans="1:14" x14ac:dyDescent="0.25">
      <c r="B11" s="48" t="s">
        <v>130</v>
      </c>
      <c r="C11" s="51" t="s">
        <v>113</v>
      </c>
      <c r="D11" s="106">
        <v>0</v>
      </c>
      <c r="E11" s="106">
        <v>3403979.6753960839</v>
      </c>
      <c r="F11" s="73"/>
      <c r="G11" s="107">
        <v>3403979.6753960839</v>
      </c>
      <c r="N11" s="73"/>
    </row>
    <row r="12" spans="1:14" x14ac:dyDescent="0.25">
      <c r="B12" s="49" t="s">
        <v>130</v>
      </c>
      <c r="C12" s="51" t="s">
        <v>22</v>
      </c>
      <c r="D12" s="106">
        <v>0</v>
      </c>
      <c r="E12" s="106">
        <v>5274012.2690653121</v>
      </c>
      <c r="F12" s="73"/>
      <c r="G12" s="107">
        <v>5274012.2690653121</v>
      </c>
      <c r="N12" s="73"/>
    </row>
    <row r="13" spans="1:14" x14ac:dyDescent="0.25">
      <c r="B13" s="50" t="s">
        <v>130</v>
      </c>
      <c r="C13" s="51" t="s">
        <v>1</v>
      </c>
      <c r="D13" s="106">
        <v>0</v>
      </c>
      <c r="E13" s="106">
        <v>9681864</v>
      </c>
      <c r="F13" s="73"/>
      <c r="G13" s="107">
        <v>9681864</v>
      </c>
      <c r="N13" s="73"/>
    </row>
    <row r="14" spans="1:14" x14ac:dyDescent="0.25">
      <c r="B14" s="43" t="s">
        <v>116</v>
      </c>
      <c r="C14" s="40"/>
      <c r="D14" s="13">
        <v>0</v>
      </c>
      <c r="E14" s="13">
        <v>63640583.343912013</v>
      </c>
      <c r="F14" s="73"/>
      <c r="G14" s="13">
        <v>63640583.343912013</v>
      </c>
      <c r="N14" s="73"/>
    </row>
    <row r="15" spans="1:14" x14ac:dyDescent="0.25">
      <c r="F15" s="73"/>
      <c r="N15" s="73"/>
    </row>
    <row r="16" spans="1:14" x14ac:dyDescent="0.25">
      <c r="B16" s="26" t="s">
        <v>111</v>
      </c>
      <c r="C16" s="27"/>
      <c r="D16" s="27"/>
      <c r="E16" s="27"/>
      <c r="F16" s="73"/>
      <c r="G16" s="27"/>
      <c r="H16" s="27"/>
      <c r="I16" s="27"/>
      <c r="J16" s="27"/>
      <c r="K16" s="27"/>
      <c r="L16" s="27"/>
      <c r="M16" s="27"/>
      <c r="N16" s="73"/>
    </row>
    <row r="17" spans="2:14" s="7" customFormat="1" x14ac:dyDescent="0.25">
      <c r="B17" s="38"/>
      <c r="C17" s="39"/>
      <c r="D17" s="108" t="s">
        <v>110</v>
      </c>
      <c r="E17" s="108" t="s">
        <v>127</v>
      </c>
      <c r="F17" s="73"/>
      <c r="G17" s="108" t="s">
        <v>112</v>
      </c>
      <c r="H17" s="108" t="s">
        <v>128</v>
      </c>
      <c r="I17" s="108" t="s">
        <v>113</v>
      </c>
      <c r="J17" s="108" t="s">
        <v>22</v>
      </c>
      <c r="K17" s="108" t="s">
        <v>1</v>
      </c>
      <c r="L17" s="108" t="s">
        <v>28</v>
      </c>
      <c r="M17" s="108" t="s">
        <v>131</v>
      </c>
      <c r="N17" s="73"/>
    </row>
    <row r="18" spans="2:14" x14ac:dyDescent="0.25">
      <c r="B18" s="109"/>
      <c r="C18" s="110" t="s">
        <v>136</v>
      </c>
      <c r="D18" s="106">
        <v>19202201.040631365</v>
      </c>
      <c r="E18" s="106">
        <v>16213138.879591011</v>
      </c>
      <c r="F18" s="73"/>
      <c r="G18" s="106">
        <v>3058.0747517759264</v>
      </c>
      <c r="H18" s="106">
        <v>9862329.4044764601</v>
      </c>
      <c r="I18" s="111">
        <v>3403979.6753960839</v>
      </c>
      <c r="J18" s="106">
        <v>5274012.2690653121</v>
      </c>
      <c r="K18" s="106">
        <v>9681864</v>
      </c>
      <c r="L18" s="112">
        <v>63640583.343912013</v>
      </c>
      <c r="M18" s="112">
        <v>0</v>
      </c>
      <c r="N18" s="73"/>
    </row>
    <row r="19" spans="2:14" x14ac:dyDescent="0.25">
      <c r="B19" s="109"/>
      <c r="C19" s="110" t="s">
        <v>68</v>
      </c>
      <c r="D19" s="106">
        <v>0</v>
      </c>
      <c r="E19" s="106">
        <v>0</v>
      </c>
      <c r="F19" s="73"/>
      <c r="G19" s="106">
        <v>0</v>
      </c>
      <c r="H19" s="106">
        <v>0</v>
      </c>
      <c r="I19" s="111">
        <v>0</v>
      </c>
      <c r="J19" s="106">
        <v>0</v>
      </c>
      <c r="K19" s="106">
        <v>0</v>
      </c>
      <c r="L19" s="112">
        <v>0</v>
      </c>
      <c r="M19" s="112">
        <v>0</v>
      </c>
      <c r="N19" s="73"/>
    </row>
    <row r="20" spans="2:14" x14ac:dyDescent="0.25">
      <c r="B20" s="113"/>
      <c r="C20" s="51" t="s">
        <v>132</v>
      </c>
      <c r="D20" s="106">
        <v>0</v>
      </c>
      <c r="E20" s="106">
        <v>0</v>
      </c>
      <c r="F20" s="73"/>
      <c r="G20" s="106">
        <v>0</v>
      </c>
      <c r="H20" s="106">
        <v>0</v>
      </c>
      <c r="I20" s="111">
        <v>0</v>
      </c>
      <c r="J20" s="106">
        <v>0</v>
      </c>
      <c r="K20" s="106">
        <v>0</v>
      </c>
      <c r="L20" s="107">
        <v>0</v>
      </c>
      <c r="M20" s="107">
        <v>0</v>
      </c>
      <c r="N20" s="73"/>
    </row>
    <row r="21" spans="2:14" x14ac:dyDescent="0.25">
      <c r="B21" s="113"/>
      <c r="C21" s="51" t="s">
        <v>19</v>
      </c>
      <c r="D21" s="106">
        <v>0</v>
      </c>
      <c r="E21" s="106">
        <v>0</v>
      </c>
      <c r="F21" s="73"/>
      <c r="G21" s="106">
        <v>0</v>
      </c>
      <c r="H21" s="106">
        <v>0</v>
      </c>
      <c r="I21" s="111">
        <v>0</v>
      </c>
      <c r="J21" s="106">
        <v>0</v>
      </c>
      <c r="K21" s="106">
        <v>0</v>
      </c>
      <c r="L21" s="107">
        <v>0</v>
      </c>
      <c r="M21" s="107">
        <v>0</v>
      </c>
      <c r="N21" s="73"/>
    </row>
    <row r="22" spans="2:14" x14ac:dyDescent="0.25">
      <c r="B22" s="43" t="s">
        <v>28</v>
      </c>
      <c r="C22" s="114"/>
      <c r="D22" s="13">
        <v>19202201.040631365</v>
      </c>
      <c r="E22" s="13">
        <v>16213138.879591011</v>
      </c>
      <c r="F22" s="73"/>
      <c r="G22" s="13">
        <v>3058.0747517759264</v>
      </c>
      <c r="H22" s="13">
        <v>9862329.4044764601</v>
      </c>
      <c r="I22" s="13">
        <v>3403979.6753960839</v>
      </c>
      <c r="J22" s="13">
        <v>5274012.2690653121</v>
      </c>
      <c r="K22" s="13">
        <v>9681864</v>
      </c>
      <c r="L22" s="13">
        <v>63640583.343912013</v>
      </c>
      <c r="M22" s="13">
        <v>0</v>
      </c>
      <c r="N22" s="73"/>
    </row>
    <row r="23" spans="2:14" x14ac:dyDescent="0.25">
      <c r="F23" s="73"/>
      <c r="N23" s="73"/>
    </row>
    <row r="24" spans="2:14" x14ac:dyDescent="0.25">
      <c r="B24" s="26" t="s">
        <v>119</v>
      </c>
      <c r="C24" s="27"/>
      <c r="D24" s="27"/>
      <c r="E24" s="27"/>
      <c r="F24" s="73"/>
      <c r="G24" s="27"/>
      <c r="H24" s="27"/>
      <c r="I24" s="27"/>
      <c r="J24" s="27"/>
      <c r="K24" s="27"/>
      <c r="L24" s="27"/>
      <c r="M24" s="27"/>
      <c r="N24" s="73"/>
    </row>
    <row r="25" spans="2:14" s="7" customFormat="1" x14ac:dyDescent="0.25">
      <c r="B25" s="38"/>
      <c r="C25" s="39"/>
      <c r="D25" s="28" t="s">
        <v>120</v>
      </c>
      <c r="E25" s="28" t="s">
        <v>121</v>
      </c>
      <c r="F25" s="73"/>
      <c r="G25" s="21">
        <v>2026</v>
      </c>
      <c r="H25" s="21">
        <v>2027</v>
      </c>
      <c r="I25" s="21">
        <v>2028</v>
      </c>
      <c r="J25" s="21"/>
      <c r="K25" s="21"/>
      <c r="L25" s="21"/>
      <c r="M25" s="21"/>
      <c r="N25" s="73"/>
    </row>
    <row r="26" spans="2:14" s="8" customFormat="1" ht="14.45" customHeight="1" x14ac:dyDescent="0.25">
      <c r="B26" s="41"/>
      <c r="C26" s="53" t="s">
        <v>122</v>
      </c>
      <c r="D26" s="35">
        <v>46231.166666666664</v>
      </c>
      <c r="E26" s="35">
        <v>46416.208333333336</v>
      </c>
      <c r="F26" s="73"/>
      <c r="G26" s="115" t="s">
        <v>892</v>
      </c>
      <c r="H26" s="115" t="s">
        <v>893</v>
      </c>
      <c r="I26" s="115" t="s">
        <v>549</v>
      </c>
      <c r="J26" s="115" t="s">
        <v>549</v>
      </c>
      <c r="K26" s="115" t="s">
        <v>549</v>
      </c>
      <c r="L26" s="115"/>
      <c r="M26" s="115" t="s">
        <v>549</v>
      </c>
      <c r="N26" s="73"/>
    </row>
    <row r="27" spans="2:14" s="31" customFormat="1" ht="12.4" hidden="1" customHeight="1" x14ac:dyDescent="0.25">
      <c r="B27" s="33"/>
      <c r="C27" s="29" t="s">
        <v>126</v>
      </c>
      <c r="D27" s="36"/>
      <c r="E27" s="36"/>
      <c r="F27" s="73"/>
      <c r="G27" s="30">
        <v>6</v>
      </c>
      <c r="H27" s="30">
        <v>1</v>
      </c>
      <c r="I27" s="30">
        <v>0</v>
      </c>
      <c r="J27" s="30">
        <v>0</v>
      </c>
      <c r="K27" s="30">
        <v>0</v>
      </c>
      <c r="L27" s="30"/>
      <c r="M27" s="30">
        <v>0</v>
      </c>
      <c r="N27" s="73"/>
    </row>
    <row r="28" spans="2:14" s="31" customFormat="1" ht="12.4" hidden="1" customHeight="1" x14ac:dyDescent="0.25">
      <c r="B28" s="34"/>
      <c r="C28" s="32" t="s">
        <v>124</v>
      </c>
      <c r="D28" s="37"/>
      <c r="E28" s="37"/>
      <c r="F28" s="73"/>
      <c r="G28" s="30">
        <v>6</v>
      </c>
      <c r="H28" s="30">
        <v>0</v>
      </c>
      <c r="I28" s="30">
        <v>0</v>
      </c>
      <c r="J28" s="30">
        <v>0</v>
      </c>
      <c r="K28" s="30">
        <v>0</v>
      </c>
      <c r="L28" s="30"/>
      <c r="M28" s="30">
        <v>0</v>
      </c>
      <c r="N28" s="73"/>
    </row>
    <row r="29" spans="2:14" s="31" customFormat="1" ht="12.4" hidden="1" customHeight="1" x14ac:dyDescent="0.25">
      <c r="B29" s="34"/>
      <c r="C29" s="32" t="s">
        <v>125</v>
      </c>
      <c r="D29" s="37"/>
      <c r="E29" s="37"/>
      <c r="F29" s="73"/>
      <c r="G29" s="30">
        <v>0</v>
      </c>
      <c r="H29" s="30">
        <v>11</v>
      </c>
      <c r="I29" s="30">
        <v>0</v>
      </c>
      <c r="J29" s="30">
        <v>0</v>
      </c>
      <c r="K29" s="30">
        <v>0</v>
      </c>
      <c r="L29" s="30"/>
      <c r="M29" s="30">
        <v>0</v>
      </c>
      <c r="N29" s="73"/>
    </row>
    <row r="30" spans="2:14" s="8" customFormat="1" ht="14.45" customHeight="1" x14ac:dyDescent="0.25">
      <c r="B30" s="42"/>
      <c r="C30" s="54" t="s">
        <v>123</v>
      </c>
      <c r="D30" s="35">
        <v>46105.166666666664</v>
      </c>
      <c r="E30" s="35">
        <v>46569.166666666664</v>
      </c>
      <c r="F30" s="73"/>
      <c r="G30" s="115" t="s">
        <v>894</v>
      </c>
      <c r="H30" s="115" t="s">
        <v>895</v>
      </c>
      <c r="I30" s="115" t="s">
        <v>549</v>
      </c>
      <c r="J30" s="115" t="s">
        <v>549</v>
      </c>
      <c r="K30" s="115" t="s">
        <v>549</v>
      </c>
      <c r="L30" s="115"/>
      <c r="M30" s="115" t="s">
        <v>549</v>
      </c>
      <c r="N30" s="73"/>
    </row>
    <row r="31" spans="2:14" s="31" customFormat="1" ht="12.4" hidden="1" customHeight="1" x14ac:dyDescent="0.25">
      <c r="B31" s="33"/>
      <c r="C31" s="29" t="s">
        <v>126</v>
      </c>
      <c r="D31" s="35" t="e">
        <v>#N/A</v>
      </c>
      <c r="E31" s="35" t="e">
        <v>#N/A</v>
      </c>
      <c r="F31" s="73"/>
      <c r="G31" s="30">
        <v>10</v>
      </c>
      <c r="H31" s="30">
        <v>7</v>
      </c>
      <c r="I31" s="30">
        <v>0</v>
      </c>
      <c r="J31" s="30">
        <v>0</v>
      </c>
      <c r="K31" s="30">
        <v>0</v>
      </c>
      <c r="L31" s="30"/>
      <c r="M31" s="30">
        <v>0</v>
      </c>
      <c r="N31" s="73"/>
    </row>
    <row r="32" spans="2:14" s="31" customFormat="1" ht="12.4" hidden="1" customHeight="1" x14ac:dyDescent="0.25">
      <c r="B32" s="34"/>
      <c r="C32" s="32" t="s">
        <v>124</v>
      </c>
      <c r="D32" s="35" t="e">
        <v>#N/A</v>
      </c>
      <c r="E32" s="35" t="e">
        <v>#N/A</v>
      </c>
      <c r="F32" s="73"/>
      <c r="G32" s="30">
        <v>2</v>
      </c>
      <c r="H32" s="30">
        <v>0</v>
      </c>
      <c r="I32" s="30">
        <v>0</v>
      </c>
      <c r="J32" s="30">
        <v>0</v>
      </c>
      <c r="K32" s="30">
        <v>0</v>
      </c>
      <c r="L32" s="30"/>
      <c r="M32" s="30">
        <v>0</v>
      </c>
      <c r="N32" s="73"/>
    </row>
    <row r="33" spans="2:14" s="31" customFormat="1" ht="12.4" hidden="1" customHeight="1" x14ac:dyDescent="0.25">
      <c r="B33" s="34"/>
      <c r="C33" s="32" t="s">
        <v>125</v>
      </c>
      <c r="D33" s="35" t="e">
        <v>#N/A</v>
      </c>
      <c r="E33" s="35" t="e">
        <v>#N/A</v>
      </c>
      <c r="F33" s="73"/>
      <c r="G33" s="30">
        <v>0</v>
      </c>
      <c r="H33" s="30">
        <v>5</v>
      </c>
      <c r="I33" s="30">
        <v>0</v>
      </c>
      <c r="J33" s="30">
        <v>0</v>
      </c>
      <c r="K33" s="30">
        <v>0</v>
      </c>
      <c r="L33" s="30"/>
      <c r="M33" s="30">
        <v>0</v>
      </c>
      <c r="N33" s="73"/>
    </row>
    <row r="34" spans="2:14" s="8" customFormat="1" ht="14.45" customHeight="1" x14ac:dyDescent="0.25">
      <c r="B34" s="42"/>
      <c r="C34" s="54" t="s">
        <v>110</v>
      </c>
      <c r="D34" s="35">
        <v>46188.166666666664</v>
      </c>
      <c r="E34" s="35">
        <v>46526.166666666664</v>
      </c>
      <c r="F34" s="73"/>
      <c r="G34" s="115" t="s">
        <v>896</v>
      </c>
      <c r="H34" s="115" t="s">
        <v>897</v>
      </c>
      <c r="I34" s="115" t="s">
        <v>549</v>
      </c>
      <c r="J34" s="115" t="s">
        <v>549</v>
      </c>
      <c r="K34" s="115" t="s">
        <v>549</v>
      </c>
      <c r="L34" s="115"/>
      <c r="M34" s="115" t="s">
        <v>549</v>
      </c>
      <c r="N34" s="73"/>
    </row>
    <row r="35" spans="2:14" s="31" customFormat="1" ht="12.4" hidden="1" customHeight="1" x14ac:dyDescent="0.25">
      <c r="B35" s="33"/>
      <c r="C35" s="29" t="s">
        <v>126</v>
      </c>
      <c r="D35" s="35" t="e">
        <v>#N/A</v>
      </c>
      <c r="E35" s="35" t="e">
        <v>#N/A</v>
      </c>
      <c r="F35" s="73"/>
      <c r="G35" s="30">
        <v>7</v>
      </c>
      <c r="H35" s="30">
        <v>5</v>
      </c>
      <c r="I35" s="30">
        <v>0</v>
      </c>
      <c r="J35" s="30">
        <v>0</v>
      </c>
      <c r="K35" s="30">
        <v>0</v>
      </c>
      <c r="L35" s="30"/>
      <c r="M35" s="30">
        <v>0</v>
      </c>
      <c r="N35" s="73"/>
    </row>
    <row r="36" spans="2:14" s="31" customFormat="1" ht="12.4" hidden="1" customHeight="1" x14ac:dyDescent="0.25">
      <c r="B36" s="34"/>
      <c r="C36" s="32" t="s">
        <v>124</v>
      </c>
      <c r="D36" s="35" t="e">
        <v>#N/A</v>
      </c>
      <c r="E36" s="35" t="e">
        <v>#N/A</v>
      </c>
      <c r="F36" s="73"/>
      <c r="G36" s="30">
        <v>5</v>
      </c>
      <c r="H36" s="30">
        <v>0</v>
      </c>
      <c r="I36" s="30">
        <v>0</v>
      </c>
      <c r="J36" s="30">
        <v>0</v>
      </c>
      <c r="K36" s="30">
        <v>0</v>
      </c>
      <c r="L36" s="30"/>
      <c r="M36" s="30">
        <v>0</v>
      </c>
      <c r="N36" s="73"/>
    </row>
    <row r="37" spans="2:14" s="31" customFormat="1" ht="12.4" hidden="1" customHeight="1" x14ac:dyDescent="0.25">
      <c r="B37" s="34"/>
      <c r="C37" s="32" t="s">
        <v>125</v>
      </c>
      <c r="D37" s="35" t="e">
        <v>#N/A</v>
      </c>
      <c r="E37" s="35" t="e">
        <v>#N/A</v>
      </c>
      <c r="F37" s="73"/>
      <c r="G37" s="30">
        <v>0</v>
      </c>
      <c r="H37" s="30">
        <v>7</v>
      </c>
      <c r="I37" s="30">
        <v>0</v>
      </c>
      <c r="J37" s="30">
        <v>0</v>
      </c>
      <c r="K37" s="30">
        <v>0</v>
      </c>
      <c r="L37" s="30"/>
      <c r="M37" s="30">
        <v>0</v>
      </c>
      <c r="N37" s="73"/>
    </row>
    <row r="38" spans="2:14" s="8" customFormat="1" ht="14.45" customHeight="1" x14ac:dyDescent="0.25">
      <c r="B38" s="42"/>
      <c r="C38" s="54" t="s">
        <v>67</v>
      </c>
      <c r="D38" s="35">
        <v>46811.208333333336</v>
      </c>
      <c r="E38" s="35">
        <v>47115.208333333336</v>
      </c>
      <c r="F38" s="73"/>
      <c r="G38" s="115" t="s">
        <v>549</v>
      </c>
      <c r="H38" s="115" t="s">
        <v>549</v>
      </c>
      <c r="I38" s="115" t="s">
        <v>898</v>
      </c>
      <c r="J38" s="115" t="s">
        <v>549</v>
      </c>
      <c r="K38" s="115" t="s">
        <v>549</v>
      </c>
      <c r="L38" s="115"/>
      <c r="M38" s="115" t="s">
        <v>549</v>
      </c>
      <c r="N38" s="73"/>
    </row>
    <row r="39" spans="2:14" s="31" customFormat="1" ht="12.4" hidden="1" customHeight="1" x14ac:dyDescent="0.25">
      <c r="B39" s="29" t="s">
        <v>126</v>
      </c>
      <c r="C39" s="29"/>
      <c r="D39" s="116"/>
      <c r="E39" s="116"/>
      <c r="F39" s="73"/>
      <c r="G39" s="30">
        <v>0</v>
      </c>
      <c r="H39" s="30">
        <v>0</v>
      </c>
      <c r="I39" s="30">
        <v>11</v>
      </c>
      <c r="J39" s="30">
        <v>0</v>
      </c>
      <c r="K39" s="30">
        <v>0</v>
      </c>
      <c r="L39" s="30"/>
      <c r="M39" s="30">
        <v>0</v>
      </c>
      <c r="N39" s="73"/>
    </row>
    <row r="40" spans="2:14" s="31" customFormat="1" ht="12.4" hidden="1" customHeight="1" x14ac:dyDescent="0.25">
      <c r="B40" s="32" t="s">
        <v>124</v>
      </c>
      <c r="C40" s="32"/>
      <c r="F40" s="73"/>
      <c r="G40" s="30">
        <v>0</v>
      </c>
      <c r="H40" s="30">
        <v>0</v>
      </c>
      <c r="I40" s="30">
        <v>1</v>
      </c>
      <c r="J40" s="30">
        <v>0</v>
      </c>
      <c r="K40" s="30">
        <v>0</v>
      </c>
      <c r="L40" s="30"/>
      <c r="M40" s="30">
        <v>0</v>
      </c>
      <c r="N40" s="73"/>
    </row>
    <row r="41" spans="2:14" s="31" customFormat="1" ht="12.4" hidden="1" customHeight="1" x14ac:dyDescent="0.25">
      <c r="B41" s="32" t="s">
        <v>125</v>
      </c>
      <c r="C41" s="32"/>
      <c r="F41" s="73"/>
      <c r="G41" s="30">
        <v>0</v>
      </c>
      <c r="H41" s="30">
        <v>0</v>
      </c>
      <c r="I41" s="30">
        <v>0</v>
      </c>
      <c r="J41" s="30">
        <v>0</v>
      </c>
      <c r="K41" s="30">
        <v>0</v>
      </c>
      <c r="L41" s="30"/>
      <c r="M41" s="30">
        <v>0</v>
      </c>
      <c r="N41" s="73"/>
    </row>
  </sheetData>
  <sheetProtection sheet="1" objects="1" scenarios="1"/>
  <hyperlinks>
    <hyperlink ref="M3" location="'Table of contents'!A1" display="Return to TOC" xr:uid="{00000000-0004-0000-0B00-000000000000}"/>
  </hyperlinks>
  <pageMargins left="0.7" right="0.7" top="0.75" bottom="0.75" header="0.3" footer="0.3"/>
  <pageSetup scale="5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elta">
    <tabColor theme="5" tint="0.39997558519241921"/>
    <pageSetUpPr fitToPage="1"/>
  </sheetPr>
  <dimension ref="B1:L119"/>
  <sheetViews>
    <sheetView showGridLines="0" zoomScale="90" zoomScaleNormal="90" workbookViewId="0">
      <pane xSplit="4" ySplit="2" topLeftCell="E3" activePane="bottomRight" state="frozen"/>
      <selection pane="topRight"/>
      <selection pane="bottomLeft"/>
      <selection pane="bottomRight"/>
    </sheetView>
  </sheetViews>
  <sheetFormatPr defaultColWidth="8.85546875" defaultRowHeight="15" outlineLevelRow="1" outlineLevelCol="1" x14ac:dyDescent="0.25"/>
  <cols>
    <col min="1" max="1" width="4.7109375" style="5" customWidth="1"/>
    <col min="2" max="2" width="4.7109375" style="164" hidden="1" customWidth="1"/>
    <col min="3" max="3" width="8.7109375" style="5" customWidth="1"/>
    <col min="4" max="4" width="50.7109375" style="6" customWidth="1"/>
    <col min="5" max="5" width="10.7109375" style="155" customWidth="1"/>
    <col min="6" max="8" width="10.7109375" style="155" customWidth="1" outlineLevel="1"/>
    <col min="9" max="10" width="10.7109375" style="155" customWidth="1"/>
    <col min="11" max="11" width="60.7109375" style="155" customWidth="1"/>
    <col min="12" max="16384" width="8.85546875" style="5"/>
  </cols>
  <sheetData>
    <row r="1" spans="2:12" x14ac:dyDescent="0.25">
      <c r="B1" s="153">
        <v>3</v>
      </c>
      <c r="C1" s="175"/>
      <c r="K1" s="70" t="s">
        <v>66</v>
      </c>
    </row>
    <row r="2" spans="2:12" s="80" customFormat="1" ht="30.75" thickBot="1" x14ac:dyDescent="0.3">
      <c r="B2" s="176" t="s">
        <v>62</v>
      </c>
      <c r="C2" s="176" t="s">
        <v>161</v>
      </c>
      <c r="D2" s="157" t="s">
        <v>3</v>
      </c>
      <c r="E2" s="59" t="s">
        <v>899</v>
      </c>
      <c r="F2" s="65"/>
      <c r="G2" s="59"/>
      <c r="H2" s="59"/>
      <c r="I2" s="66"/>
      <c r="J2" s="158" t="s">
        <v>80</v>
      </c>
      <c r="K2" s="159" t="s">
        <v>69</v>
      </c>
    </row>
    <row r="3" spans="2:12" x14ac:dyDescent="0.25">
      <c r="B3" s="147">
        <v>1</v>
      </c>
      <c r="C3" s="216" t="s">
        <v>552</v>
      </c>
      <c r="D3" s="217"/>
      <c r="E3" s="218">
        <f>SUBTOTAL(9,E4:E72)</f>
        <v>56387421.59862116</v>
      </c>
      <c r="F3" s="218"/>
      <c r="G3" s="218"/>
      <c r="H3" s="218"/>
      <c r="I3" s="218"/>
      <c r="J3" s="218"/>
      <c r="K3" s="218"/>
      <c r="L3" s="148"/>
    </row>
    <row r="4" spans="2:12" x14ac:dyDescent="0.25">
      <c r="B4" s="147">
        <v>2</v>
      </c>
      <c r="C4" s="166" t="s">
        <v>41</v>
      </c>
      <c r="D4" s="167" t="s">
        <v>12</v>
      </c>
      <c r="E4" s="168">
        <f>SUBTOTAL(9,E5:E5)</f>
        <v>3035.56</v>
      </c>
      <c r="F4" s="169"/>
      <c r="G4" s="168"/>
      <c r="H4" s="168"/>
      <c r="I4" s="170"/>
      <c r="J4" s="168"/>
      <c r="K4" s="168"/>
      <c r="L4" s="148"/>
    </row>
    <row r="5" spans="2:12" customFormat="1" outlineLevel="1" x14ac:dyDescent="0.25">
      <c r="B5" s="171">
        <v>3</v>
      </c>
      <c r="C5" s="4" t="s">
        <v>296</v>
      </c>
      <c r="D5" s="172" t="s">
        <v>654</v>
      </c>
      <c r="E5" s="173">
        <v>3035.56</v>
      </c>
      <c r="F5" s="63"/>
      <c r="G5" s="60"/>
      <c r="H5" s="60"/>
      <c r="I5" s="64"/>
      <c r="J5" s="62" t="str">
        <f>IF(I$2&lt;&gt;"",E5-I5,"")</f>
        <v/>
      </c>
      <c r="K5" s="61"/>
      <c r="L5" s="174"/>
    </row>
    <row r="6" spans="2:12" x14ac:dyDescent="0.25">
      <c r="B6" s="147">
        <v>2</v>
      </c>
      <c r="C6" s="166" t="s">
        <v>42</v>
      </c>
      <c r="D6" s="167" t="s">
        <v>13</v>
      </c>
      <c r="E6" s="168">
        <f>SUBTOTAL(9,E7:E10)</f>
        <v>132500.69736271186</v>
      </c>
      <c r="F6" s="169"/>
      <c r="G6" s="168"/>
      <c r="H6" s="168"/>
      <c r="I6" s="170"/>
      <c r="J6" s="168"/>
      <c r="K6" s="168"/>
      <c r="L6" s="148"/>
    </row>
    <row r="7" spans="2:12" customFormat="1" outlineLevel="1" x14ac:dyDescent="0.25">
      <c r="B7" s="171">
        <v>3</v>
      </c>
      <c r="C7" s="4" t="s">
        <v>178</v>
      </c>
      <c r="D7" s="172" t="s">
        <v>655</v>
      </c>
      <c r="E7" s="173">
        <v>9793.5143050847473</v>
      </c>
      <c r="F7" s="63"/>
      <c r="G7" s="60"/>
      <c r="H7" s="60"/>
      <c r="I7" s="64"/>
      <c r="J7" s="62" t="str">
        <f>IF(I$2&lt;&gt;"",E7-I7,"")</f>
        <v/>
      </c>
      <c r="K7" s="61"/>
      <c r="L7" s="174"/>
    </row>
    <row r="8" spans="2:12" customFormat="1" outlineLevel="1" x14ac:dyDescent="0.25">
      <c r="B8" s="171">
        <v>3</v>
      </c>
      <c r="C8" s="4" t="s">
        <v>182</v>
      </c>
      <c r="D8" s="172" t="s">
        <v>662</v>
      </c>
      <c r="E8" s="173">
        <v>88430.953057627106</v>
      </c>
      <c r="F8" s="63"/>
      <c r="G8" s="60"/>
      <c r="H8" s="60"/>
      <c r="I8" s="64"/>
      <c r="J8" s="62" t="str">
        <f>IF(I$2&lt;&gt;"",E8-I8,"")</f>
        <v/>
      </c>
      <c r="K8" s="61"/>
      <c r="L8" s="174"/>
    </row>
    <row r="9" spans="2:12" customFormat="1" outlineLevel="1" x14ac:dyDescent="0.25">
      <c r="B9" s="171">
        <v>3</v>
      </c>
      <c r="C9" s="4" t="s">
        <v>304</v>
      </c>
      <c r="D9" s="172" t="s">
        <v>663</v>
      </c>
      <c r="E9" s="173">
        <v>31692.16</v>
      </c>
      <c r="F9" s="63"/>
      <c r="G9" s="60"/>
      <c r="H9" s="60"/>
      <c r="I9" s="64"/>
      <c r="J9" s="62" t="str">
        <f>IF(I$2&lt;&gt;"",E9-I9,"")</f>
        <v/>
      </c>
      <c r="K9" s="61"/>
      <c r="L9" s="174"/>
    </row>
    <row r="10" spans="2:12" customFormat="1" outlineLevel="1" x14ac:dyDescent="0.25">
      <c r="B10" s="171">
        <v>3</v>
      </c>
      <c r="C10" s="4" t="s">
        <v>305</v>
      </c>
      <c r="D10" s="172" t="s">
        <v>664</v>
      </c>
      <c r="E10" s="173">
        <v>2584.0700000000002</v>
      </c>
      <c r="F10" s="63"/>
      <c r="G10" s="60"/>
      <c r="H10" s="60"/>
      <c r="I10" s="64"/>
      <c r="J10" s="62" t="str">
        <f>IF(I$2&lt;&gt;"",E10-I10,"")</f>
        <v/>
      </c>
      <c r="K10" s="61"/>
      <c r="L10" s="174"/>
    </row>
    <row r="11" spans="2:12" x14ac:dyDescent="0.25">
      <c r="B11" s="147">
        <v>2</v>
      </c>
      <c r="C11" s="166" t="s">
        <v>43</v>
      </c>
      <c r="D11" s="167" t="s">
        <v>186</v>
      </c>
      <c r="E11" s="168">
        <f>SUBTOTAL(9,E12:E13)</f>
        <v>312248.33588338306</v>
      </c>
      <c r="F11" s="169"/>
      <c r="G11" s="168"/>
      <c r="H11" s="168"/>
      <c r="I11" s="170"/>
      <c r="J11" s="168"/>
      <c r="K11" s="168"/>
      <c r="L11" s="148"/>
    </row>
    <row r="12" spans="2:12" customFormat="1" outlineLevel="1" x14ac:dyDescent="0.25">
      <c r="B12" s="171">
        <v>3</v>
      </c>
      <c r="C12" s="4" t="s">
        <v>187</v>
      </c>
      <c r="D12" s="172" t="s">
        <v>667</v>
      </c>
      <c r="E12" s="173">
        <v>134441.25946521765</v>
      </c>
      <c r="F12" s="63"/>
      <c r="G12" s="60"/>
      <c r="H12" s="60"/>
      <c r="I12" s="64"/>
      <c r="J12" s="62" t="str">
        <f>IF(I$2&lt;&gt;"",E12-I12,"")</f>
        <v/>
      </c>
      <c r="K12" s="61"/>
      <c r="L12" s="174"/>
    </row>
    <row r="13" spans="2:12" customFormat="1" outlineLevel="1" x14ac:dyDescent="0.25">
      <c r="B13" s="171">
        <v>3</v>
      </c>
      <c r="C13" s="4" t="s">
        <v>191</v>
      </c>
      <c r="D13" s="172" t="s">
        <v>670</v>
      </c>
      <c r="E13" s="173">
        <v>177807.07641816544</v>
      </c>
      <c r="F13" s="63"/>
      <c r="G13" s="60"/>
      <c r="H13" s="60"/>
      <c r="I13" s="64"/>
      <c r="J13" s="62" t="str">
        <f>IF(I$2&lt;&gt;"",E13-I13,"")</f>
        <v/>
      </c>
      <c r="K13" s="61"/>
      <c r="L13" s="174"/>
    </row>
    <row r="14" spans="2:12" x14ac:dyDescent="0.25">
      <c r="B14" s="147">
        <v>2</v>
      </c>
      <c r="C14" s="166" t="s">
        <v>44</v>
      </c>
      <c r="D14" s="167" t="s">
        <v>14</v>
      </c>
      <c r="E14" s="168">
        <f>SUBTOTAL(9,E15:E16)</f>
        <v>1470642.0309538117</v>
      </c>
      <c r="F14" s="169"/>
      <c r="G14" s="168"/>
      <c r="H14" s="168"/>
      <c r="I14" s="170"/>
      <c r="J14" s="168"/>
      <c r="K14" s="168"/>
      <c r="L14" s="148"/>
    </row>
    <row r="15" spans="2:12" customFormat="1" outlineLevel="1" x14ac:dyDescent="0.25">
      <c r="B15" s="171">
        <v>3</v>
      </c>
      <c r="C15" s="4" t="s">
        <v>195</v>
      </c>
      <c r="D15" s="172" t="s">
        <v>673</v>
      </c>
      <c r="E15" s="173">
        <v>221377.01117673708</v>
      </c>
      <c r="F15" s="63"/>
      <c r="G15" s="60"/>
      <c r="H15" s="60"/>
      <c r="I15" s="64"/>
      <c r="J15" s="62" t="str">
        <f>IF(I$2&lt;&gt;"",E15-I15,"")</f>
        <v/>
      </c>
      <c r="K15" s="61"/>
      <c r="L15" s="174"/>
    </row>
    <row r="16" spans="2:12" customFormat="1" outlineLevel="1" x14ac:dyDescent="0.25">
      <c r="B16" s="171">
        <v>3</v>
      </c>
      <c r="C16" s="4" t="s">
        <v>199</v>
      </c>
      <c r="D16" s="172" t="s">
        <v>675</v>
      </c>
      <c r="E16" s="173">
        <v>1249265.0197770747</v>
      </c>
      <c r="F16" s="63"/>
      <c r="G16" s="60"/>
      <c r="H16" s="60"/>
      <c r="I16" s="64"/>
      <c r="J16" s="62" t="str">
        <f>IF(I$2&lt;&gt;"",E16-I16,"")</f>
        <v/>
      </c>
      <c r="K16" s="61"/>
      <c r="L16" s="174"/>
    </row>
    <row r="17" spans="2:12" x14ac:dyDescent="0.25">
      <c r="B17" s="147">
        <v>2</v>
      </c>
      <c r="C17" s="166" t="s">
        <v>45</v>
      </c>
      <c r="D17" s="167" t="s">
        <v>15</v>
      </c>
      <c r="E17" s="168">
        <f>SUBTOTAL(9,E18:E24)</f>
        <v>1307834.5724774194</v>
      </c>
      <c r="F17" s="169"/>
      <c r="G17" s="168"/>
      <c r="H17" s="168"/>
      <c r="I17" s="170"/>
      <c r="J17" s="168"/>
      <c r="K17" s="168"/>
      <c r="L17" s="148"/>
    </row>
    <row r="18" spans="2:12" customFormat="1" outlineLevel="1" x14ac:dyDescent="0.25">
      <c r="B18" s="171">
        <v>3</v>
      </c>
      <c r="C18" s="4" t="s">
        <v>311</v>
      </c>
      <c r="D18" s="172" t="s">
        <v>677</v>
      </c>
      <c r="E18" s="173">
        <v>70719.817935483865</v>
      </c>
      <c r="F18" s="63"/>
      <c r="G18" s="60"/>
      <c r="H18" s="60"/>
      <c r="I18" s="64"/>
      <c r="J18" s="62" t="str">
        <f>IF(I$2&lt;&gt;"",E18-I18,"")</f>
        <v/>
      </c>
      <c r="K18" s="61"/>
      <c r="L18" s="174"/>
    </row>
    <row r="19" spans="2:12" customFormat="1" outlineLevel="1" x14ac:dyDescent="0.25">
      <c r="B19" s="171">
        <v>3</v>
      </c>
      <c r="C19" s="4" t="s">
        <v>203</v>
      </c>
      <c r="D19" s="172" t="s">
        <v>679</v>
      </c>
      <c r="E19" s="173">
        <v>625448.16762580641</v>
      </c>
      <c r="F19" s="63"/>
      <c r="G19" s="60"/>
      <c r="H19" s="60"/>
      <c r="I19" s="64"/>
      <c r="J19" s="62" t="str">
        <f>IF(I$2&lt;&gt;"",E19-I19,"")</f>
        <v/>
      </c>
      <c r="K19" s="61"/>
      <c r="L19" s="174"/>
    </row>
    <row r="20" spans="2:12" customFormat="1" outlineLevel="1" x14ac:dyDescent="0.25">
      <c r="B20" s="171">
        <v>3</v>
      </c>
      <c r="C20" s="4" t="s">
        <v>317</v>
      </c>
      <c r="D20" s="172" t="s">
        <v>680</v>
      </c>
      <c r="E20" s="173">
        <v>115232.57</v>
      </c>
      <c r="F20" s="63"/>
      <c r="G20" s="60"/>
      <c r="H20" s="60"/>
      <c r="I20" s="64"/>
      <c r="J20" s="62" t="str">
        <f>IF(I$2&lt;&gt;"",E20-I20,"")</f>
        <v/>
      </c>
      <c r="K20" s="61"/>
      <c r="L20" s="174"/>
    </row>
    <row r="21" spans="2:12" customFormat="1" outlineLevel="1" x14ac:dyDescent="0.25">
      <c r="B21" s="171">
        <v>3</v>
      </c>
      <c r="C21" s="4" t="s">
        <v>210</v>
      </c>
      <c r="D21" s="172" t="s">
        <v>682</v>
      </c>
      <c r="E21" s="173">
        <v>340945.30845161289</v>
      </c>
      <c r="F21" s="63"/>
      <c r="G21" s="60"/>
      <c r="H21" s="60"/>
      <c r="I21" s="64"/>
      <c r="J21" s="62" t="str">
        <f>IF(I$2&lt;&gt;"",E21-I21,"")</f>
        <v/>
      </c>
      <c r="K21" s="61"/>
      <c r="L21" s="174"/>
    </row>
    <row r="22" spans="2:12" customFormat="1" outlineLevel="1" x14ac:dyDescent="0.25">
      <c r="B22" s="171">
        <v>3</v>
      </c>
      <c r="C22" s="4" t="s">
        <v>214</v>
      </c>
      <c r="D22" s="172" t="s">
        <v>684</v>
      </c>
      <c r="E22" s="173">
        <v>77327.031432258067</v>
      </c>
      <c r="F22" s="63"/>
      <c r="G22" s="60"/>
      <c r="H22" s="60"/>
      <c r="I22" s="64"/>
      <c r="J22" s="62" t="str">
        <f>IF(I$2&lt;&gt;"",E22-I22,"")</f>
        <v/>
      </c>
      <c r="K22" s="61"/>
      <c r="L22" s="174"/>
    </row>
    <row r="23" spans="2:12" customFormat="1" outlineLevel="1" x14ac:dyDescent="0.25">
      <c r="B23" s="171">
        <v>3</v>
      </c>
      <c r="C23" s="4" t="s">
        <v>218</v>
      </c>
      <c r="D23" s="172" t="s">
        <v>686</v>
      </c>
      <c r="E23" s="173">
        <v>51399.28170322581</v>
      </c>
      <c r="F23" s="63"/>
      <c r="G23" s="60"/>
      <c r="H23" s="60"/>
      <c r="I23" s="64"/>
      <c r="J23" s="62" t="str">
        <f>IF(I$2&lt;&gt;"",E23-I23,"")</f>
        <v/>
      </c>
      <c r="K23" s="61"/>
      <c r="L23" s="174"/>
    </row>
    <row r="24" spans="2:12" customFormat="1" outlineLevel="1" x14ac:dyDescent="0.25">
      <c r="B24" s="171">
        <v>3</v>
      </c>
      <c r="C24" s="4" t="s">
        <v>328</v>
      </c>
      <c r="D24" s="172" t="s">
        <v>687</v>
      </c>
      <c r="E24" s="173">
        <v>26762.395329032261</v>
      </c>
      <c r="F24" s="63"/>
      <c r="G24" s="60"/>
      <c r="H24" s="60"/>
      <c r="I24" s="64"/>
      <c r="J24" s="62" t="str">
        <f>IF(I$2&lt;&gt;"",E24-I24,"")</f>
        <v/>
      </c>
      <c r="K24" s="61"/>
      <c r="L24" s="174"/>
    </row>
    <row r="25" spans="2:12" x14ac:dyDescent="0.25">
      <c r="B25" s="147">
        <v>2</v>
      </c>
      <c r="C25" s="166" t="s">
        <v>46</v>
      </c>
      <c r="D25" s="167" t="s">
        <v>224</v>
      </c>
      <c r="E25" s="168">
        <f>SUBTOTAL(9,E26:E31)</f>
        <v>19051997.477653317</v>
      </c>
      <c r="F25" s="169"/>
      <c r="G25" s="168"/>
      <c r="H25" s="168"/>
      <c r="I25" s="170"/>
      <c r="J25" s="168"/>
      <c r="K25" s="168"/>
      <c r="L25" s="148"/>
    </row>
    <row r="26" spans="2:12" customFormat="1" outlineLevel="1" x14ac:dyDescent="0.25">
      <c r="B26" s="171">
        <v>3</v>
      </c>
      <c r="C26" s="4" t="s">
        <v>225</v>
      </c>
      <c r="D26" s="172" t="s">
        <v>688</v>
      </c>
      <c r="E26" s="173">
        <v>17041.684961769912</v>
      </c>
      <c r="F26" s="63"/>
      <c r="G26" s="60"/>
      <c r="H26" s="60"/>
      <c r="I26" s="64"/>
      <c r="J26" s="62" t="str">
        <f>IF(I$2&lt;&gt;"",E26-I26,"")</f>
        <v/>
      </c>
      <c r="K26" s="61"/>
      <c r="L26" s="174"/>
    </row>
    <row r="27" spans="2:12" customFormat="1" outlineLevel="1" x14ac:dyDescent="0.25">
      <c r="B27" s="171">
        <v>3</v>
      </c>
      <c r="C27" s="4" t="s">
        <v>229</v>
      </c>
      <c r="D27" s="172" t="s">
        <v>706</v>
      </c>
      <c r="E27" s="173">
        <v>3749192.0994000444</v>
      </c>
      <c r="F27" s="63"/>
      <c r="G27" s="60"/>
      <c r="H27" s="60"/>
      <c r="I27" s="64"/>
      <c r="J27" s="62" t="str">
        <f>IF(I$2&lt;&gt;"",E27-I27,"")</f>
        <v/>
      </c>
      <c r="K27" s="61"/>
      <c r="L27" s="174"/>
    </row>
    <row r="28" spans="2:12" customFormat="1" outlineLevel="1" x14ac:dyDescent="0.25">
      <c r="B28" s="171">
        <v>3</v>
      </c>
      <c r="C28" s="4" t="s">
        <v>233</v>
      </c>
      <c r="D28" s="172" t="s">
        <v>707</v>
      </c>
      <c r="E28" s="173">
        <v>580.72820796460178</v>
      </c>
      <c r="F28" s="63"/>
      <c r="G28" s="60"/>
      <c r="H28" s="60"/>
      <c r="I28" s="64"/>
      <c r="J28" s="62" t="str">
        <f>IF(I$2&lt;&gt;"",E28-I28,"")</f>
        <v/>
      </c>
      <c r="K28" s="61"/>
      <c r="L28" s="174"/>
    </row>
    <row r="29" spans="2:12" customFormat="1" outlineLevel="1" x14ac:dyDescent="0.25">
      <c r="B29" s="171">
        <v>3</v>
      </c>
      <c r="C29" s="4" t="s">
        <v>338</v>
      </c>
      <c r="D29" s="172" t="s">
        <v>710</v>
      </c>
      <c r="E29" s="173">
        <v>1717240.9646755161</v>
      </c>
      <c r="F29" s="63"/>
      <c r="G29" s="60"/>
      <c r="H29" s="60"/>
      <c r="I29" s="64"/>
      <c r="J29" s="62" t="str">
        <f>IF(I$2&lt;&gt;"",E29-I29,"")</f>
        <v/>
      </c>
      <c r="K29" s="61"/>
      <c r="L29" s="174"/>
    </row>
    <row r="30" spans="2:12" customFormat="1" outlineLevel="1" x14ac:dyDescent="0.25">
      <c r="B30" s="171">
        <v>3</v>
      </c>
      <c r="C30" s="4" t="s">
        <v>343</v>
      </c>
      <c r="D30" s="172" t="s">
        <v>711</v>
      </c>
      <c r="E30" s="173">
        <v>263177.17465781712</v>
      </c>
      <c r="F30" s="63"/>
      <c r="G30" s="60"/>
      <c r="H30" s="60"/>
      <c r="I30" s="64"/>
      <c r="J30" s="62" t="str">
        <f>IF(I$2&lt;&gt;"",E30-I30,"")</f>
        <v/>
      </c>
      <c r="K30" s="61"/>
      <c r="L30" s="174"/>
    </row>
    <row r="31" spans="2:12" customFormat="1" outlineLevel="1" x14ac:dyDescent="0.25">
      <c r="B31" s="171">
        <v>3</v>
      </c>
      <c r="C31" s="4" t="s">
        <v>345</v>
      </c>
      <c r="D31" s="172" t="s">
        <v>720</v>
      </c>
      <c r="E31" s="173">
        <v>13304764.825750208</v>
      </c>
      <c r="F31" s="63"/>
      <c r="G31" s="60"/>
      <c r="H31" s="60"/>
      <c r="I31" s="64"/>
      <c r="J31" s="62" t="str">
        <f>IF(I$2&lt;&gt;"",E31-I31,"")</f>
        <v/>
      </c>
      <c r="K31" s="61"/>
      <c r="L31" s="174"/>
    </row>
    <row r="32" spans="2:12" x14ac:dyDescent="0.25">
      <c r="B32" s="147">
        <v>2</v>
      </c>
      <c r="C32" s="166" t="s">
        <v>47</v>
      </c>
      <c r="D32" s="167" t="s">
        <v>237</v>
      </c>
      <c r="E32" s="168">
        <f>SUBTOTAL(9,E33:E36)</f>
        <v>7610209.0175448032</v>
      </c>
      <c r="F32" s="169"/>
      <c r="G32" s="168"/>
      <c r="H32" s="168"/>
      <c r="I32" s="170"/>
      <c r="J32" s="168"/>
      <c r="K32" s="168"/>
      <c r="L32" s="148"/>
    </row>
    <row r="33" spans="2:12" customFormat="1" outlineLevel="1" x14ac:dyDescent="0.25">
      <c r="B33" s="171">
        <v>3</v>
      </c>
      <c r="C33" s="4" t="s">
        <v>238</v>
      </c>
      <c r="D33" s="172" t="s">
        <v>729</v>
      </c>
      <c r="E33" s="173">
        <v>1027664.5780488004</v>
      </c>
      <c r="F33" s="63"/>
      <c r="G33" s="60"/>
      <c r="H33" s="60"/>
      <c r="I33" s="64"/>
      <c r="J33" s="62" t="str">
        <f>IF(I$2&lt;&gt;"",E33-I33,"")</f>
        <v/>
      </c>
      <c r="K33" s="61"/>
      <c r="L33" s="174"/>
    </row>
    <row r="34" spans="2:12" customFormat="1" outlineLevel="1" x14ac:dyDescent="0.25">
      <c r="B34" s="171">
        <v>3</v>
      </c>
      <c r="C34" s="4" t="s">
        <v>244</v>
      </c>
      <c r="D34" s="172" t="s">
        <v>734</v>
      </c>
      <c r="E34" s="173">
        <v>340154.04308500001</v>
      </c>
      <c r="F34" s="63"/>
      <c r="G34" s="60"/>
      <c r="H34" s="60"/>
      <c r="I34" s="64"/>
      <c r="J34" s="62" t="str">
        <f>IF(I$2&lt;&gt;"",E34-I34,"")</f>
        <v/>
      </c>
      <c r="K34" s="61"/>
      <c r="L34" s="174"/>
    </row>
    <row r="35" spans="2:12" customFormat="1" outlineLevel="1" x14ac:dyDescent="0.25">
      <c r="B35" s="171">
        <v>3</v>
      </c>
      <c r="C35" s="4" t="s">
        <v>249</v>
      </c>
      <c r="D35" s="172" t="s">
        <v>797</v>
      </c>
      <c r="E35" s="173">
        <v>6230797.3964110026</v>
      </c>
      <c r="F35" s="63"/>
      <c r="G35" s="60"/>
      <c r="H35" s="60"/>
      <c r="I35" s="64"/>
      <c r="J35" s="62" t="str">
        <f>IF(I$2&lt;&gt;"",E35-I35,"")</f>
        <v/>
      </c>
      <c r="K35" s="61"/>
      <c r="L35" s="174"/>
    </row>
    <row r="36" spans="2:12" customFormat="1" outlineLevel="1" x14ac:dyDescent="0.25">
      <c r="B36" s="171">
        <v>3</v>
      </c>
      <c r="C36" s="4" t="s">
        <v>350</v>
      </c>
      <c r="D36" s="172" t="s">
        <v>798</v>
      </c>
      <c r="E36" s="173">
        <v>11593</v>
      </c>
      <c r="F36" s="63"/>
      <c r="G36" s="60"/>
      <c r="H36" s="60"/>
      <c r="I36" s="64"/>
      <c r="J36" s="62" t="str">
        <f>IF(I$2&lt;&gt;"",E36-I36,"")</f>
        <v/>
      </c>
      <c r="K36" s="61"/>
      <c r="L36" s="174"/>
    </row>
    <row r="37" spans="2:12" x14ac:dyDescent="0.25">
      <c r="B37" s="147">
        <v>2</v>
      </c>
      <c r="C37" s="166" t="s">
        <v>48</v>
      </c>
      <c r="D37" s="167" t="s">
        <v>16</v>
      </c>
      <c r="E37" s="168">
        <f>SUBTOTAL(9,E38:E41)</f>
        <v>1262913.6074800002</v>
      </c>
      <c r="F37" s="169"/>
      <c r="G37" s="168"/>
      <c r="H37" s="168"/>
      <c r="I37" s="170"/>
      <c r="J37" s="168"/>
      <c r="K37" s="168"/>
      <c r="L37" s="148"/>
    </row>
    <row r="38" spans="2:12" customFormat="1" outlineLevel="1" x14ac:dyDescent="0.25">
      <c r="B38" s="171">
        <v>3</v>
      </c>
      <c r="C38" s="4" t="s">
        <v>256</v>
      </c>
      <c r="D38" s="172" t="s">
        <v>799</v>
      </c>
      <c r="E38" s="173">
        <v>408064.576</v>
      </c>
      <c r="F38" s="63"/>
      <c r="G38" s="60"/>
      <c r="H38" s="60"/>
      <c r="I38" s="64"/>
      <c r="J38" s="62" t="str">
        <f>IF(I$2&lt;&gt;"",E38-I38,"")</f>
        <v/>
      </c>
      <c r="K38" s="61"/>
      <c r="L38" s="174"/>
    </row>
    <row r="39" spans="2:12" customFormat="1" outlineLevel="1" x14ac:dyDescent="0.25">
      <c r="B39" s="171">
        <v>3</v>
      </c>
      <c r="C39" s="4" t="s">
        <v>257</v>
      </c>
      <c r="D39" s="172" t="s">
        <v>800</v>
      </c>
      <c r="E39" s="173">
        <v>708545.40480000002</v>
      </c>
      <c r="F39" s="63"/>
      <c r="G39" s="60"/>
      <c r="H39" s="60"/>
      <c r="I39" s="64"/>
      <c r="J39" s="62" t="str">
        <f>IF(I$2&lt;&gt;"",E39-I39,"")</f>
        <v/>
      </c>
      <c r="K39" s="61"/>
      <c r="L39" s="174"/>
    </row>
    <row r="40" spans="2:12" customFormat="1" outlineLevel="1" x14ac:dyDescent="0.25">
      <c r="B40" s="171">
        <v>3</v>
      </c>
      <c r="C40" s="4" t="s">
        <v>258</v>
      </c>
      <c r="D40" s="172" t="s">
        <v>801</v>
      </c>
      <c r="E40" s="173">
        <v>119733.174</v>
      </c>
      <c r="F40" s="63"/>
      <c r="G40" s="60"/>
      <c r="H40" s="60"/>
      <c r="I40" s="64"/>
      <c r="J40" s="62" t="str">
        <f>IF(I$2&lt;&gt;"",E40-I40,"")</f>
        <v/>
      </c>
      <c r="K40" s="61"/>
      <c r="L40" s="174"/>
    </row>
    <row r="41" spans="2:12" customFormat="1" outlineLevel="1" x14ac:dyDescent="0.25">
      <c r="B41" s="171">
        <v>3</v>
      </c>
      <c r="C41" s="4" t="s">
        <v>262</v>
      </c>
      <c r="D41" s="172" t="s">
        <v>802</v>
      </c>
      <c r="E41" s="173">
        <v>26570.452679999999</v>
      </c>
      <c r="F41" s="63"/>
      <c r="G41" s="60"/>
      <c r="H41" s="60"/>
      <c r="I41" s="64"/>
      <c r="J41" s="62" t="str">
        <f>IF(I$2&lt;&gt;"",E41-I41,"")</f>
        <v/>
      </c>
      <c r="K41" s="61"/>
      <c r="L41" s="174"/>
    </row>
    <row r="42" spans="2:12" x14ac:dyDescent="0.25">
      <c r="B42" s="147">
        <v>2</v>
      </c>
      <c r="C42" s="166" t="s">
        <v>49</v>
      </c>
      <c r="D42" s="167" t="s">
        <v>17</v>
      </c>
      <c r="E42" s="168">
        <f>SUBTOTAL(9,E43:E51)</f>
        <v>1631898.3678082216</v>
      </c>
      <c r="F42" s="169"/>
      <c r="G42" s="168"/>
      <c r="H42" s="168"/>
      <c r="I42" s="170"/>
      <c r="J42" s="168"/>
      <c r="K42" s="168"/>
      <c r="L42" s="148"/>
    </row>
    <row r="43" spans="2:12" customFormat="1" outlineLevel="1" x14ac:dyDescent="0.25">
      <c r="B43" s="171">
        <v>3</v>
      </c>
      <c r="C43" s="4" t="s">
        <v>266</v>
      </c>
      <c r="D43" s="172" t="s">
        <v>804</v>
      </c>
      <c r="E43" s="173">
        <v>1112627.8202183475</v>
      </c>
      <c r="F43" s="63"/>
      <c r="G43" s="60"/>
      <c r="H43" s="60"/>
      <c r="I43" s="64"/>
      <c r="J43" s="62" t="str">
        <f>IF(I$2&lt;&gt;"",E43-I43,"")</f>
        <v/>
      </c>
      <c r="K43" s="61"/>
      <c r="L43" s="174"/>
    </row>
    <row r="44" spans="2:12" customFormat="1" outlineLevel="1" x14ac:dyDescent="0.25">
      <c r="B44" s="171">
        <v>3</v>
      </c>
      <c r="C44" s="4" t="s">
        <v>357</v>
      </c>
      <c r="D44" s="172" t="s">
        <v>805</v>
      </c>
      <c r="E44" s="173">
        <v>6352.4927035665914</v>
      </c>
      <c r="F44" s="63"/>
      <c r="G44" s="60"/>
      <c r="H44" s="60"/>
      <c r="I44" s="64"/>
      <c r="J44" s="62" t="str">
        <f>IF(I$2&lt;&gt;"",E44-I44,"")</f>
        <v/>
      </c>
      <c r="K44" s="61"/>
      <c r="L44" s="174"/>
    </row>
    <row r="45" spans="2:12" customFormat="1" outlineLevel="1" x14ac:dyDescent="0.25">
      <c r="B45" s="171">
        <v>3</v>
      </c>
      <c r="C45" s="4" t="s">
        <v>359</v>
      </c>
      <c r="D45" s="172" t="s">
        <v>807</v>
      </c>
      <c r="E45" s="173">
        <v>11934.005497065462</v>
      </c>
      <c r="F45" s="63"/>
      <c r="G45" s="60"/>
      <c r="H45" s="60"/>
      <c r="I45" s="64"/>
      <c r="J45" s="62" t="str">
        <f>IF(I$2&lt;&gt;"",E45-I45,"")</f>
        <v/>
      </c>
      <c r="K45" s="61"/>
      <c r="L45" s="174"/>
    </row>
    <row r="46" spans="2:12" customFormat="1" outlineLevel="1" x14ac:dyDescent="0.25">
      <c r="B46" s="171">
        <v>3</v>
      </c>
      <c r="C46" s="4" t="s">
        <v>273</v>
      </c>
      <c r="D46" s="172" t="s">
        <v>808</v>
      </c>
      <c r="E46" s="173">
        <v>56633.376135593222</v>
      </c>
      <c r="F46" s="63"/>
      <c r="G46" s="60"/>
      <c r="H46" s="60"/>
      <c r="I46" s="64"/>
      <c r="J46" s="62" t="str">
        <f>IF(I$2&lt;&gt;"",E46-I46,"")</f>
        <v/>
      </c>
      <c r="K46" s="61"/>
      <c r="L46" s="174"/>
    </row>
    <row r="47" spans="2:12" customFormat="1" outlineLevel="1" x14ac:dyDescent="0.25">
      <c r="B47" s="171">
        <v>3</v>
      </c>
      <c r="C47" s="4" t="s">
        <v>277</v>
      </c>
      <c r="D47" s="172" t="s">
        <v>810</v>
      </c>
      <c r="E47" s="173">
        <v>26046.754067796606</v>
      </c>
      <c r="F47" s="63"/>
      <c r="G47" s="60"/>
      <c r="H47" s="60"/>
      <c r="I47" s="64"/>
      <c r="J47" s="62" t="str">
        <f>IF(I$2&lt;&gt;"",E47-I47,"")</f>
        <v/>
      </c>
      <c r="K47" s="61"/>
      <c r="L47" s="174"/>
    </row>
    <row r="48" spans="2:12" customFormat="1" outlineLevel="1" x14ac:dyDescent="0.25">
      <c r="B48" s="171">
        <v>3</v>
      </c>
      <c r="C48" s="4" t="s">
        <v>369</v>
      </c>
      <c r="D48" s="172" t="s">
        <v>812</v>
      </c>
      <c r="E48" s="173">
        <v>29823.046312084432</v>
      </c>
      <c r="F48" s="63"/>
      <c r="G48" s="60"/>
      <c r="H48" s="60"/>
      <c r="I48" s="64"/>
      <c r="J48" s="62" t="str">
        <f>IF(I$2&lt;&gt;"",E48-I48,"")</f>
        <v/>
      </c>
      <c r="K48" s="61"/>
      <c r="L48" s="174"/>
    </row>
    <row r="49" spans="2:12" customFormat="1" outlineLevel="1" x14ac:dyDescent="0.25">
      <c r="B49" s="171">
        <v>3</v>
      </c>
      <c r="C49" s="4" t="s">
        <v>284</v>
      </c>
      <c r="D49" s="172" t="s">
        <v>813</v>
      </c>
      <c r="E49" s="173">
        <v>2568.9001132075473</v>
      </c>
      <c r="F49" s="63"/>
      <c r="G49" s="60"/>
      <c r="H49" s="60"/>
      <c r="I49" s="64"/>
      <c r="J49" s="62" t="str">
        <f>IF(I$2&lt;&gt;"",E49-I49,"")</f>
        <v/>
      </c>
      <c r="K49" s="61"/>
      <c r="L49" s="174"/>
    </row>
    <row r="50" spans="2:12" customFormat="1" outlineLevel="1" x14ac:dyDescent="0.25">
      <c r="B50" s="171">
        <v>3</v>
      </c>
      <c r="C50" s="4" t="s">
        <v>288</v>
      </c>
      <c r="D50" s="172" t="s">
        <v>814</v>
      </c>
      <c r="E50" s="173">
        <v>377941.21888056037</v>
      </c>
      <c r="F50" s="63"/>
      <c r="G50" s="60"/>
      <c r="H50" s="60"/>
      <c r="I50" s="64"/>
      <c r="J50" s="62" t="str">
        <f>IF(I$2&lt;&gt;"",E50-I50,"")</f>
        <v/>
      </c>
      <c r="K50" s="61"/>
      <c r="L50" s="174"/>
    </row>
    <row r="51" spans="2:12" customFormat="1" outlineLevel="1" x14ac:dyDescent="0.25">
      <c r="B51" s="171">
        <v>3</v>
      </c>
      <c r="C51" s="4" t="s">
        <v>292</v>
      </c>
      <c r="D51" s="172" t="s">
        <v>815</v>
      </c>
      <c r="E51" s="173">
        <v>7970.7538799999993</v>
      </c>
      <c r="F51" s="63"/>
      <c r="G51" s="60"/>
      <c r="H51" s="60"/>
      <c r="I51" s="64"/>
      <c r="J51" s="62" t="str">
        <f>IF(I$2&lt;&gt;"",E51-I51,"")</f>
        <v/>
      </c>
      <c r="K51" s="61"/>
      <c r="L51" s="174"/>
    </row>
    <row r="52" spans="2:12" x14ac:dyDescent="0.25">
      <c r="B52" s="147">
        <v>2</v>
      </c>
      <c r="C52" s="166" t="s">
        <v>51</v>
      </c>
      <c r="D52" s="167" t="s">
        <v>19</v>
      </c>
      <c r="E52" s="168">
        <f>SUBTOTAL(9,E53:E54)</f>
        <v>908674.57974602573</v>
      </c>
      <c r="F52" s="169"/>
      <c r="G52" s="168"/>
      <c r="H52" s="168"/>
      <c r="I52" s="170"/>
      <c r="J52" s="168"/>
      <c r="K52" s="168"/>
      <c r="L52" s="148"/>
    </row>
    <row r="53" spans="2:12" customFormat="1" outlineLevel="1" x14ac:dyDescent="0.25">
      <c r="B53" s="171">
        <v>3</v>
      </c>
      <c r="C53" s="4" t="s">
        <v>176</v>
      </c>
      <c r="D53" s="172" t="s">
        <v>818</v>
      </c>
      <c r="E53" s="173">
        <v>716197.48934772064</v>
      </c>
      <c r="F53" s="63"/>
      <c r="G53" s="60"/>
      <c r="H53" s="60"/>
      <c r="I53" s="64"/>
      <c r="J53" s="62" t="str">
        <f>IF(I$2&lt;&gt;"",E53-I53,"")</f>
        <v/>
      </c>
      <c r="K53" s="61"/>
      <c r="L53" s="174"/>
    </row>
    <row r="54" spans="2:12" customFormat="1" outlineLevel="1" x14ac:dyDescent="0.25">
      <c r="B54" s="171">
        <v>3</v>
      </c>
      <c r="C54" s="4" t="s">
        <v>645</v>
      </c>
      <c r="D54" s="172" t="s">
        <v>819</v>
      </c>
      <c r="E54" s="173">
        <v>192477.0903983051</v>
      </c>
      <c r="F54" s="63"/>
      <c r="G54" s="60"/>
      <c r="H54" s="60"/>
      <c r="I54" s="64"/>
      <c r="J54" s="62" t="str">
        <f>IF(I$2&lt;&gt;"",E54-I54,"")</f>
        <v/>
      </c>
      <c r="K54" s="61"/>
      <c r="L54" s="174"/>
    </row>
    <row r="55" spans="2:12" x14ac:dyDescent="0.25">
      <c r="B55" s="147">
        <v>2</v>
      </c>
      <c r="C55" s="166" t="s">
        <v>52</v>
      </c>
      <c r="D55" s="167" t="s">
        <v>20</v>
      </c>
      <c r="E55" s="168">
        <f>SUBTOTAL(9,E56:E59)</f>
        <v>6000000</v>
      </c>
      <c r="F55" s="169"/>
      <c r="G55" s="168"/>
      <c r="H55" s="168"/>
      <c r="I55" s="170"/>
      <c r="J55" s="168"/>
      <c r="K55" s="168"/>
      <c r="L55" s="148"/>
    </row>
    <row r="56" spans="2:12" customFormat="1" outlineLevel="1" x14ac:dyDescent="0.25">
      <c r="B56" s="171">
        <v>3</v>
      </c>
      <c r="C56" s="4" t="s">
        <v>381</v>
      </c>
      <c r="D56" s="172" t="s">
        <v>162</v>
      </c>
      <c r="E56" s="173">
        <v>300000</v>
      </c>
      <c r="F56" s="63"/>
      <c r="G56" s="60"/>
      <c r="H56" s="60"/>
      <c r="I56" s="64"/>
      <c r="J56" s="62" t="str">
        <f>IF(I$2&lt;&gt;"",E56-I56,"")</f>
        <v/>
      </c>
      <c r="K56" s="61"/>
      <c r="L56" s="174"/>
    </row>
    <row r="57" spans="2:12" customFormat="1" outlineLevel="1" x14ac:dyDescent="0.25">
      <c r="B57" s="171">
        <v>3</v>
      </c>
      <c r="C57" s="4" t="s">
        <v>384</v>
      </c>
      <c r="D57" s="172" t="s">
        <v>820</v>
      </c>
      <c r="E57" s="173">
        <v>250000</v>
      </c>
      <c r="F57" s="63"/>
      <c r="G57" s="60"/>
      <c r="H57" s="60"/>
      <c r="I57" s="64"/>
      <c r="J57" s="62" t="str">
        <f>IF(I$2&lt;&gt;"",E57-I57,"")</f>
        <v/>
      </c>
      <c r="K57" s="61"/>
      <c r="L57" s="174"/>
    </row>
    <row r="58" spans="2:12" customFormat="1" outlineLevel="1" x14ac:dyDescent="0.25">
      <c r="B58" s="171">
        <v>3</v>
      </c>
      <c r="C58" s="4" t="s">
        <v>389</v>
      </c>
      <c r="D58" s="172" t="s">
        <v>822</v>
      </c>
      <c r="E58" s="173">
        <v>600000</v>
      </c>
      <c r="F58" s="63"/>
      <c r="G58" s="60"/>
      <c r="H58" s="60"/>
      <c r="I58" s="64"/>
      <c r="J58" s="62" t="str">
        <f>IF(I$2&lt;&gt;"",E58-I58,"")</f>
        <v/>
      </c>
      <c r="K58" s="61"/>
      <c r="L58" s="174"/>
    </row>
    <row r="59" spans="2:12" customFormat="1" outlineLevel="1" x14ac:dyDescent="0.25">
      <c r="B59" s="171">
        <v>3</v>
      </c>
      <c r="C59" s="4" t="s">
        <v>391</v>
      </c>
      <c r="D59" s="172" t="s">
        <v>830</v>
      </c>
      <c r="E59" s="173">
        <v>4850000</v>
      </c>
      <c r="F59" s="63"/>
      <c r="G59" s="60"/>
      <c r="H59" s="60"/>
      <c r="I59" s="64"/>
      <c r="J59" s="62" t="str">
        <f>IF(I$2&lt;&gt;"",E59-I59,"")</f>
        <v/>
      </c>
      <c r="K59" s="61"/>
      <c r="L59" s="174"/>
    </row>
    <row r="60" spans="2:12" x14ac:dyDescent="0.25">
      <c r="B60" s="147">
        <v>2</v>
      </c>
      <c r="C60" s="166" t="s">
        <v>57</v>
      </c>
      <c r="D60" s="167" t="s">
        <v>21</v>
      </c>
      <c r="E60" s="168">
        <f>SUBTOTAL(9,E61:E68)</f>
        <v>8866530.0742445514</v>
      </c>
      <c r="F60" s="169"/>
      <c r="G60" s="168"/>
      <c r="H60" s="168"/>
      <c r="I60" s="170"/>
      <c r="J60" s="168"/>
      <c r="K60" s="168"/>
      <c r="L60" s="148"/>
    </row>
    <row r="61" spans="2:12" customFormat="1" outlineLevel="1" x14ac:dyDescent="0.25">
      <c r="B61" s="171">
        <v>3</v>
      </c>
      <c r="C61" s="4" t="s">
        <v>402</v>
      </c>
      <c r="D61" s="172" t="s">
        <v>832</v>
      </c>
      <c r="E61" s="173">
        <v>613290.12009192794</v>
      </c>
      <c r="F61" s="63"/>
      <c r="G61" s="60"/>
      <c r="H61" s="60"/>
      <c r="I61" s="64"/>
      <c r="J61" s="62" t="str">
        <f>IF(I$2&lt;&gt;"",E61-I61,"")</f>
        <v/>
      </c>
      <c r="K61" s="61"/>
      <c r="L61" s="174"/>
    </row>
    <row r="62" spans="2:12" customFormat="1" outlineLevel="1" x14ac:dyDescent="0.25">
      <c r="B62" s="171">
        <v>3</v>
      </c>
      <c r="C62" s="4" t="s">
        <v>403</v>
      </c>
      <c r="D62" s="172" t="s">
        <v>834</v>
      </c>
      <c r="E62" s="173">
        <v>207931.18108943821</v>
      </c>
      <c r="F62" s="63"/>
      <c r="G62" s="60"/>
      <c r="H62" s="60"/>
      <c r="I62" s="64"/>
      <c r="J62" s="62" t="str">
        <f>IF(I$2&lt;&gt;"",E62-I62,"")</f>
        <v/>
      </c>
      <c r="K62" s="61"/>
      <c r="L62" s="174"/>
    </row>
    <row r="63" spans="2:12" customFormat="1" outlineLevel="1" x14ac:dyDescent="0.25">
      <c r="B63" s="171">
        <v>3</v>
      </c>
      <c r="C63" s="4" t="s">
        <v>405</v>
      </c>
      <c r="D63" s="172" t="s">
        <v>836</v>
      </c>
      <c r="E63" s="173">
        <v>869397.33184413076</v>
      </c>
      <c r="F63" s="63"/>
      <c r="G63" s="60"/>
      <c r="H63" s="60"/>
      <c r="I63" s="64"/>
      <c r="J63" s="62" t="str">
        <f>IF(I$2&lt;&gt;"",E63-I63,"")</f>
        <v/>
      </c>
      <c r="K63" s="61"/>
      <c r="L63" s="174"/>
    </row>
    <row r="64" spans="2:12" customFormat="1" outlineLevel="1" x14ac:dyDescent="0.25">
      <c r="B64" s="171">
        <v>3</v>
      </c>
      <c r="C64" s="4" t="s">
        <v>407</v>
      </c>
      <c r="D64" s="172" t="s">
        <v>838</v>
      </c>
      <c r="E64" s="173">
        <v>5347695.1923454627</v>
      </c>
      <c r="F64" s="63"/>
      <c r="G64" s="60"/>
      <c r="H64" s="60"/>
      <c r="I64" s="64"/>
      <c r="J64" s="62" t="str">
        <f>IF(I$2&lt;&gt;"",E64-I64,"")</f>
        <v/>
      </c>
      <c r="K64" s="61"/>
      <c r="L64" s="174"/>
    </row>
    <row r="65" spans="2:12" customFormat="1" outlineLevel="1" x14ac:dyDescent="0.25">
      <c r="B65" s="171">
        <v>3</v>
      </c>
      <c r="C65" s="4" t="s">
        <v>410</v>
      </c>
      <c r="D65" s="172" t="s">
        <v>840</v>
      </c>
      <c r="E65" s="173">
        <v>419786.58905531804</v>
      </c>
      <c r="F65" s="63"/>
      <c r="G65" s="60"/>
      <c r="H65" s="60"/>
      <c r="I65" s="64"/>
      <c r="J65" s="62" t="str">
        <f>IF(I$2&lt;&gt;"",E65-I65,"")</f>
        <v/>
      </c>
      <c r="K65" s="61"/>
      <c r="L65" s="174"/>
    </row>
    <row r="66" spans="2:12" customFormat="1" outlineLevel="1" x14ac:dyDescent="0.25">
      <c r="B66" s="171">
        <v>3</v>
      </c>
      <c r="C66" s="4" t="s">
        <v>413</v>
      </c>
      <c r="D66" s="172" t="s">
        <v>842</v>
      </c>
      <c r="E66" s="173">
        <v>64463.49</v>
      </c>
      <c r="F66" s="63"/>
      <c r="G66" s="60"/>
      <c r="H66" s="60"/>
      <c r="I66" s="64"/>
      <c r="J66" s="62" t="str">
        <f>IF(I$2&lt;&gt;"",E66-I66,"")</f>
        <v/>
      </c>
      <c r="K66" s="61"/>
      <c r="L66" s="174"/>
    </row>
    <row r="67" spans="2:12" customFormat="1" outlineLevel="1" x14ac:dyDescent="0.25">
      <c r="B67" s="171">
        <v>3</v>
      </c>
      <c r="C67" s="4" t="s">
        <v>416</v>
      </c>
      <c r="D67" s="172" t="s">
        <v>844</v>
      </c>
      <c r="E67" s="173">
        <v>832557.57444867154</v>
      </c>
      <c r="F67" s="63"/>
      <c r="G67" s="60"/>
      <c r="H67" s="60"/>
      <c r="I67" s="64"/>
      <c r="J67" s="62" t="str">
        <f>IF(I$2&lt;&gt;"",E67-I67,"")</f>
        <v/>
      </c>
      <c r="K67" s="61"/>
      <c r="L67" s="174"/>
    </row>
    <row r="68" spans="2:12" customFormat="1" outlineLevel="1" x14ac:dyDescent="0.25">
      <c r="B68" s="171">
        <v>3</v>
      </c>
      <c r="C68" s="4" t="s">
        <v>418</v>
      </c>
      <c r="D68" s="172" t="s">
        <v>846</v>
      </c>
      <c r="E68" s="173">
        <v>511408.59536960069</v>
      </c>
      <c r="F68" s="63"/>
      <c r="G68" s="60"/>
      <c r="H68" s="60"/>
      <c r="I68" s="64"/>
      <c r="J68" s="62" t="str">
        <f>IF(I$2&lt;&gt;"",E68-I68,"")</f>
        <v/>
      </c>
      <c r="K68" s="61"/>
      <c r="L68" s="174"/>
    </row>
    <row r="69" spans="2:12" x14ac:dyDescent="0.25">
      <c r="B69" s="147">
        <v>2</v>
      </c>
      <c r="C69" s="166" t="s">
        <v>58</v>
      </c>
      <c r="D69" s="167" t="s">
        <v>22</v>
      </c>
      <c r="E69" s="168">
        <f>SUBTOTAL(9,E70:E70)</f>
        <v>5248796.2774669053</v>
      </c>
      <c r="F69" s="169"/>
      <c r="G69" s="168"/>
      <c r="H69" s="168"/>
      <c r="I69" s="170"/>
      <c r="J69" s="168"/>
      <c r="K69" s="168"/>
      <c r="L69" s="148"/>
    </row>
    <row r="70" spans="2:12" customFormat="1" outlineLevel="1" x14ac:dyDescent="0.25">
      <c r="B70" s="171">
        <v>3</v>
      </c>
      <c r="C70" s="4" t="s">
        <v>419</v>
      </c>
      <c r="D70" s="172" t="s">
        <v>22</v>
      </c>
      <c r="E70" s="173">
        <v>5248796.2774669053</v>
      </c>
      <c r="F70" s="63"/>
      <c r="G70" s="60"/>
      <c r="H70" s="60"/>
      <c r="I70" s="64"/>
      <c r="J70" s="62" t="str">
        <f>IF(I$2&lt;&gt;"",E70-I70,"")</f>
        <v/>
      </c>
      <c r="K70" s="61"/>
      <c r="L70" s="174"/>
    </row>
    <row r="71" spans="2:12" x14ac:dyDescent="0.25">
      <c r="B71" s="147">
        <v>2</v>
      </c>
      <c r="C71" s="166" t="s">
        <v>59</v>
      </c>
      <c r="D71" s="167" t="s">
        <v>1</v>
      </c>
      <c r="E71" s="168">
        <f>SUBTOTAL(9,E72:E72)</f>
        <v>2580141</v>
      </c>
      <c r="F71" s="169"/>
      <c r="G71" s="168"/>
      <c r="H71" s="168"/>
      <c r="I71" s="170"/>
      <c r="J71" s="168"/>
      <c r="K71" s="168"/>
      <c r="L71" s="148"/>
    </row>
    <row r="72" spans="2:12" customFormat="1" outlineLevel="1" x14ac:dyDescent="0.25">
      <c r="B72" s="171">
        <v>3</v>
      </c>
      <c r="C72" s="4" t="s">
        <v>472</v>
      </c>
      <c r="D72" s="172" t="s">
        <v>847</v>
      </c>
      <c r="E72" s="173">
        <v>2580141</v>
      </c>
      <c r="F72" s="63"/>
      <c r="G72" s="60"/>
      <c r="H72" s="60"/>
      <c r="I72" s="64"/>
      <c r="J72" s="62" t="str">
        <f>IF(I$2&lt;&gt;"",E72-I72,"")</f>
        <v/>
      </c>
      <c r="K72" s="61"/>
      <c r="L72" s="174"/>
    </row>
    <row r="73" spans="2:12" x14ac:dyDescent="0.25">
      <c r="B73" s="147">
        <v>1</v>
      </c>
      <c r="C73" s="216" t="s">
        <v>553</v>
      </c>
      <c r="D73" s="217"/>
      <c r="E73" s="218">
        <f>SUBTOTAL(9,E74:E118)</f>
        <v>7253161.7452909257</v>
      </c>
      <c r="F73" s="218"/>
      <c r="G73" s="218"/>
      <c r="H73" s="218"/>
      <c r="I73" s="218"/>
      <c r="J73" s="218"/>
      <c r="K73" s="218"/>
      <c r="L73" s="148"/>
    </row>
    <row r="74" spans="2:12" x14ac:dyDescent="0.25">
      <c r="B74" s="147">
        <v>2</v>
      </c>
      <c r="C74" s="166" t="s">
        <v>43</v>
      </c>
      <c r="D74" s="167" t="s">
        <v>186</v>
      </c>
      <c r="E74" s="168">
        <f>SUBTOTAL(9,E75:E76)</f>
        <v>13642.180580894914</v>
      </c>
      <c r="F74" s="169"/>
      <c r="G74" s="168"/>
      <c r="H74" s="168"/>
      <c r="I74" s="170"/>
      <c r="J74" s="168"/>
      <c r="K74" s="168"/>
      <c r="L74" s="148"/>
    </row>
    <row r="75" spans="2:12" customFormat="1" outlineLevel="1" x14ac:dyDescent="0.25">
      <c r="B75" s="171">
        <v>3</v>
      </c>
      <c r="C75" s="4" t="s">
        <v>187</v>
      </c>
      <c r="D75" s="172" t="s">
        <v>667</v>
      </c>
      <c r="E75" s="173">
        <v>5456.8722323579659</v>
      </c>
      <c r="F75" s="63"/>
      <c r="G75" s="60"/>
      <c r="H75" s="60"/>
      <c r="I75" s="64"/>
      <c r="J75" s="62" t="str">
        <f>IF(I$2&lt;&gt;"",E75-I75,"")</f>
        <v/>
      </c>
      <c r="K75" s="61"/>
      <c r="L75" s="174"/>
    </row>
    <row r="76" spans="2:12" customFormat="1" outlineLevel="1" x14ac:dyDescent="0.25">
      <c r="B76" s="171">
        <v>3</v>
      </c>
      <c r="C76" s="4" t="s">
        <v>191</v>
      </c>
      <c r="D76" s="172" t="s">
        <v>670</v>
      </c>
      <c r="E76" s="173">
        <v>8185.308348536948</v>
      </c>
      <c r="F76" s="63"/>
      <c r="G76" s="60"/>
      <c r="H76" s="60"/>
      <c r="I76" s="64"/>
      <c r="J76" s="62" t="str">
        <f>IF(I$2&lt;&gt;"",E76-I76,"")</f>
        <v/>
      </c>
      <c r="K76" s="61"/>
      <c r="L76" s="174"/>
    </row>
    <row r="77" spans="2:12" x14ac:dyDescent="0.25">
      <c r="B77" s="147">
        <v>2</v>
      </c>
      <c r="C77" s="166" t="s">
        <v>44</v>
      </c>
      <c r="D77" s="167" t="s">
        <v>14</v>
      </c>
      <c r="E77" s="168">
        <f>SUBTOTAL(9,E78:E79)</f>
        <v>173937.80240641013</v>
      </c>
      <c r="F77" s="169"/>
      <c r="G77" s="168"/>
      <c r="H77" s="168"/>
      <c r="I77" s="170"/>
      <c r="J77" s="168"/>
      <c r="K77" s="168"/>
      <c r="L77" s="148"/>
    </row>
    <row r="78" spans="2:12" customFormat="1" outlineLevel="1" x14ac:dyDescent="0.25">
      <c r="B78" s="171">
        <v>3</v>
      </c>
      <c r="C78" s="4" t="s">
        <v>195</v>
      </c>
      <c r="D78" s="172" t="s">
        <v>673</v>
      </c>
      <c r="E78" s="173">
        <v>17393.780240641016</v>
      </c>
      <c r="F78" s="63"/>
      <c r="G78" s="60"/>
      <c r="H78" s="60"/>
      <c r="I78" s="64"/>
      <c r="J78" s="62" t="str">
        <f>IF(I$2&lt;&gt;"",E78-I78,"")</f>
        <v/>
      </c>
      <c r="K78" s="61"/>
      <c r="L78" s="174"/>
    </row>
    <row r="79" spans="2:12" customFormat="1" outlineLevel="1" x14ac:dyDescent="0.25">
      <c r="B79" s="171">
        <v>3</v>
      </c>
      <c r="C79" s="4" t="s">
        <v>199</v>
      </c>
      <c r="D79" s="172" t="s">
        <v>675</v>
      </c>
      <c r="E79" s="173">
        <v>156544.02216576913</v>
      </c>
      <c r="F79" s="63"/>
      <c r="G79" s="60"/>
      <c r="H79" s="60"/>
      <c r="I79" s="64"/>
      <c r="J79" s="62" t="str">
        <f>IF(I$2&lt;&gt;"",E79-I79,"")</f>
        <v/>
      </c>
      <c r="K79" s="61"/>
      <c r="L79" s="174"/>
    </row>
    <row r="80" spans="2:12" x14ac:dyDescent="0.25">
      <c r="B80" s="147">
        <v>2</v>
      </c>
      <c r="C80" s="166" t="s">
        <v>45</v>
      </c>
      <c r="D80" s="167" t="s">
        <v>15</v>
      </c>
      <c r="E80" s="168">
        <f>SUBTOTAL(9,E81:E83)</f>
        <v>61167.489238709677</v>
      </c>
      <c r="F80" s="169"/>
      <c r="G80" s="168"/>
      <c r="H80" s="168"/>
      <c r="I80" s="170"/>
      <c r="J80" s="168"/>
      <c r="K80" s="168"/>
      <c r="L80" s="148"/>
    </row>
    <row r="81" spans="2:12" customFormat="1" outlineLevel="1" x14ac:dyDescent="0.25">
      <c r="B81" s="171">
        <v>3</v>
      </c>
      <c r="C81" s="4" t="s">
        <v>203</v>
      </c>
      <c r="D81" s="172" t="s">
        <v>679</v>
      </c>
      <c r="E81" s="173">
        <v>24079.053367741933</v>
      </c>
      <c r="F81" s="63"/>
      <c r="G81" s="60"/>
      <c r="H81" s="60"/>
      <c r="I81" s="64"/>
      <c r="J81" s="62" t="str">
        <f>IF(I$2&lt;&gt;"",E81-I81,"")</f>
        <v/>
      </c>
      <c r="K81" s="61"/>
      <c r="L81" s="174"/>
    </row>
    <row r="82" spans="2:12" customFormat="1" outlineLevel="1" x14ac:dyDescent="0.25">
      <c r="B82" s="171">
        <v>3</v>
      </c>
      <c r="C82" s="4" t="s">
        <v>210</v>
      </c>
      <c r="D82" s="172" t="s">
        <v>682</v>
      </c>
      <c r="E82" s="173">
        <v>34271.341625806454</v>
      </c>
      <c r="F82" s="63"/>
      <c r="G82" s="60"/>
      <c r="H82" s="60"/>
      <c r="I82" s="64"/>
      <c r="J82" s="62" t="str">
        <f>IF(I$2&lt;&gt;"",E82-I82,"")</f>
        <v/>
      </c>
      <c r="K82" s="61"/>
      <c r="L82" s="174"/>
    </row>
    <row r="83" spans="2:12" customFormat="1" outlineLevel="1" x14ac:dyDescent="0.25">
      <c r="B83" s="171">
        <v>3</v>
      </c>
      <c r="C83" s="4" t="s">
        <v>328</v>
      </c>
      <c r="D83" s="172" t="s">
        <v>687</v>
      </c>
      <c r="E83" s="173">
        <v>2817.0942451612909</v>
      </c>
      <c r="F83" s="63"/>
      <c r="G83" s="60"/>
      <c r="H83" s="60"/>
      <c r="I83" s="64"/>
      <c r="J83" s="62" t="str">
        <f>IF(I$2&lt;&gt;"",E83-I83,"")</f>
        <v/>
      </c>
      <c r="K83" s="61"/>
      <c r="L83" s="174"/>
    </row>
    <row r="84" spans="2:12" x14ac:dyDescent="0.25">
      <c r="B84" s="147">
        <v>2</v>
      </c>
      <c r="C84" s="166" t="s">
        <v>46</v>
      </c>
      <c r="D84" s="167" t="s">
        <v>224</v>
      </c>
      <c r="E84" s="168">
        <f>SUBTOTAL(9,E85:E85)</f>
        <v>146936.84671327437</v>
      </c>
      <c r="F84" s="169"/>
      <c r="G84" s="168"/>
      <c r="H84" s="168"/>
      <c r="I84" s="170"/>
      <c r="J84" s="168"/>
      <c r="K84" s="168"/>
      <c r="L84" s="148"/>
    </row>
    <row r="85" spans="2:12" customFormat="1" outlineLevel="1" x14ac:dyDescent="0.25">
      <c r="B85" s="171">
        <v>3</v>
      </c>
      <c r="C85" s="4" t="s">
        <v>338</v>
      </c>
      <c r="D85" s="172" t="s">
        <v>710</v>
      </c>
      <c r="E85" s="173">
        <v>146936.84671327437</v>
      </c>
      <c r="F85" s="63"/>
      <c r="G85" s="60"/>
      <c r="H85" s="60"/>
      <c r="I85" s="64"/>
      <c r="J85" s="62" t="str">
        <f>IF(I$2&lt;&gt;"",E85-I85,"")</f>
        <v/>
      </c>
      <c r="K85" s="61"/>
      <c r="L85" s="174"/>
    </row>
    <row r="86" spans="2:12" x14ac:dyDescent="0.25">
      <c r="B86" s="147">
        <v>2</v>
      </c>
      <c r="C86" s="166" t="s">
        <v>47</v>
      </c>
      <c r="D86" s="167" t="s">
        <v>237</v>
      </c>
      <c r="E86" s="168">
        <f>SUBTOTAL(9,E87:E88)</f>
        <v>1389426.2274102003</v>
      </c>
      <c r="F86" s="169"/>
      <c r="G86" s="168"/>
      <c r="H86" s="168"/>
      <c r="I86" s="170"/>
      <c r="J86" s="168"/>
      <c r="K86" s="168"/>
      <c r="L86" s="148"/>
    </row>
    <row r="87" spans="2:12" customFormat="1" outlineLevel="1" x14ac:dyDescent="0.25">
      <c r="B87" s="171">
        <v>3</v>
      </c>
      <c r="C87" s="4" t="s">
        <v>238</v>
      </c>
      <c r="D87" s="172" t="s">
        <v>729</v>
      </c>
      <c r="E87" s="173">
        <v>87309.861206200017</v>
      </c>
      <c r="F87" s="63"/>
      <c r="G87" s="60"/>
      <c r="H87" s="60"/>
      <c r="I87" s="64"/>
      <c r="J87" s="62" t="str">
        <f>IF(I$2&lt;&gt;"",E87-I87,"")</f>
        <v/>
      </c>
      <c r="K87" s="61"/>
      <c r="L87" s="174"/>
    </row>
    <row r="88" spans="2:12" customFormat="1" outlineLevel="1" x14ac:dyDescent="0.25">
      <c r="B88" s="171">
        <v>3</v>
      </c>
      <c r="C88" s="4" t="s">
        <v>249</v>
      </c>
      <c r="D88" s="172" t="s">
        <v>865</v>
      </c>
      <c r="E88" s="173">
        <v>1302116.3662040003</v>
      </c>
      <c r="F88" s="63"/>
      <c r="G88" s="60"/>
      <c r="H88" s="60"/>
      <c r="I88" s="64"/>
      <c r="J88" s="62" t="str">
        <f>IF(I$2&lt;&gt;"",E88-I88,"")</f>
        <v/>
      </c>
      <c r="K88" s="61"/>
      <c r="L88" s="174"/>
    </row>
    <row r="89" spans="2:12" x14ac:dyDescent="0.25">
      <c r="B89" s="147">
        <v>2</v>
      </c>
      <c r="C89" s="166" t="s">
        <v>48</v>
      </c>
      <c r="D89" s="167" t="s">
        <v>16</v>
      </c>
      <c r="E89" s="168">
        <f>SUBTOTAL(9,E90:E91)</f>
        <v>1814491.2187999999</v>
      </c>
      <c r="F89" s="169"/>
      <c r="G89" s="168"/>
      <c r="H89" s="168"/>
      <c r="I89" s="170"/>
      <c r="J89" s="168"/>
      <c r="K89" s="168"/>
      <c r="L89" s="148"/>
    </row>
    <row r="90" spans="2:12" customFormat="1" outlineLevel="1" x14ac:dyDescent="0.25">
      <c r="B90" s="171">
        <v>3</v>
      </c>
      <c r="C90" s="4" t="s">
        <v>256</v>
      </c>
      <c r="D90" s="172" t="s">
        <v>799</v>
      </c>
      <c r="E90" s="173">
        <v>663104.93599999999</v>
      </c>
      <c r="F90" s="63"/>
      <c r="G90" s="60"/>
      <c r="H90" s="60"/>
      <c r="I90" s="64"/>
      <c r="J90" s="62" t="str">
        <f>IF(I$2&lt;&gt;"",E90-I90,"")</f>
        <v/>
      </c>
      <c r="K90" s="61"/>
      <c r="L90" s="174"/>
    </row>
    <row r="91" spans="2:12" customFormat="1" outlineLevel="1" x14ac:dyDescent="0.25">
      <c r="B91" s="171">
        <v>3</v>
      </c>
      <c r="C91" s="4" t="s">
        <v>257</v>
      </c>
      <c r="D91" s="172" t="s">
        <v>800</v>
      </c>
      <c r="E91" s="173">
        <v>1151386.2827999999</v>
      </c>
      <c r="F91" s="63"/>
      <c r="G91" s="60"/>
      <c r="H91" s="60"/>
      <c r="I91" s="64"/>
      <c r="J91" s="62" t="str">
        <f>IF(I$2&lt;&gt;"",E91-I91,"")</f>
        <v/>
      </c>
      <c r="K91" s="61"/>
      <c r="L91" s="174"/>
    </row>
    <row r="92" spans="2:12" x14ac:dyDescent="0.25">
      <c r="B92" s="147">
        <v>2</v>
      </c>
      <c r="C92" s="166" t="s">
        <v>49</v>
      </c>
      <c r="D92" s="167" t="s">
        <v>17</v>
      </c>
      <c r="E92" s="168">
        <f>SUBTOTAL(9,E93:E99)</f>
        <v>96925.678302223372</v>
      </c>
      <c r="F92" s="169"/>
      <c r="G92" s="168"/>
      <c r="H92" s="168"/>
      <c r="I92" s="170"/>
      <c r="J92" s="168"/>
      <c r="K92" s="168"/>
      <c r="L92" s="148"/>
    </row>
    <row r="93" spans="2:12" customFormat="1" outlineLevel="1" x14ac:dyDescent="0.25">
      <c r="B93" s="171">
        <v>3</v>
      </c>
      <c r="C93" s="4" t="s">
        <v>266</v>
      </c>
      <c r="D93" s="172" t="s">
        <v>804</v>
      </c>
      <c r="E93" s="173">
        <v>25029.792238591417</v>
      </c>
      <c r="F93" s="63"/>
      <c r="G93" s="60"/>
      <c r="H93" s="60"/>
      <c r="I93" s="64"/>
      <c r="J93" s="62" t="str">
        <f>IF(I$2&lt;&gt;"",E93-I93,"")</f>
        <v/>
      </c>
      <c r="K93" s="61"/>
      <c r="L93" s="174"/>
    </row>
    <row r="94" spans="2:12" customFormat="1" outlineLevel="1" x14ac:dyDescent="0.25">
      <c r="B94" s="171">
        <v>3</v>
      </c>
      <c r="C94" s="4" t="s">
        <v>359</v>
      </c>
      <c r="D94" s="172" t="s">
        <v>807</v>
      </c>
      <c r="E94" s="173">
        <v>1790.1008245598191</v>
      </c>
      <c r="F94" s="63"/>
      <c r="G94" s="60"/>
      <c r="H94" s="60"/>
      <c r="I94" s="64"/>
      <c r="J94" s="62" t="str">
        <f>IF(I$2&lt;&gt;"",E94-I94,"")</f>
        <v/>
      </c>
      <c r="K94" s="61"/>
      <c r="L94" s="174"/>
    </row>
    <row r="95" spans="2:12" customFormat="1" outlineLevel="1" x14ac:dyDescent="0.25">
      <c r="B95" s="171">
        <v>3</v>
      </c>
      <c r="C95" s="4" t="s">
        <v>273</v>
      </c>
      <c r="D95" s="172" t="s">
        <v>808</v>
      </c>
      <c r="E95" s="173">
        <v>3104.7161355932203</v>
      </c>
      <c r="F95" s="63"/>
      <c r="G95" s="60"/>
      <c r="H95" s="60"/>
      <c r="I95" s="64"/>
      <c r="J95" s="62" t="str">
        <f>IF(I$2&lt;&gt;"",E95-I95,"")</f>
        <v/>
      </c>
      <c r="K95" s="61"/>
      <c r="L95" s="174"/>
    </row>
    <row r="96" spans="2:12" customFormat="1" outlineLevel="1" x14ac:dyDescent="0.25">
      <c r="B96" s="171">
        <v>3</v>
      </c>
      <c r="C96" s="4" t="s">
        <v>277</v>
      </c>
      <c r="D96" s="172" t="s">
        <v>809</v>
      </c>
      <c r="E96" s="173">
        <v>2705.7181016949153</v>
      </c>
      <c r="F96" s="63"/>
      <c r="G96" s="60"/>
      <c r="H96" s="60"/>
      <c r="I96" s="64"/>
      <c r="J96" s="62" t="str">
        <f>IF(I$2&lt;&gt;"",E96-I96,"")</f>
        <v/>
      </c>
      <c r="K96" s="61"/>
      <c r="L96" s="174"/>
    </row>
    <row r="97" spans="2:12" customFormat="1" outlineLevel="1" x14ac:dyDescent="0.25">
      <c r="B97" s="171">
        <v>3</v>
      </c>
      <c r="C97" s="4" t="s">
        <v>369</v>
      </c>
      <c r="D97" s="172" t="s">
        <v>812</v>
      </c>
      <c r="E97" s="173">
        <v>2556.2611124643799</v>
      </c>
      <c r="F97" s="63"/>
      <c r="G97" s="60"/>
      <c r="H97" s="60"/>
      <c r="I97" s="64"/>
      <c r="J97" s="62" t="str">
        <f>IF(I$2&lt;&gt;"",E97-I97,"")</f>
        <v/>
      </c>
      <c r="K97" s="61"/>
      <c r="L97" s="174"/>
    </row>
    <row r="98" spans="2:12" customFormat="1" outlineLevel="1" x14ac:dyDescent="0.25">
      <c r="B98" s="171">
        <v>3</v>
      </c>
      <c r="C98" s="4" t="s">
        <v>284</v>
      </c>
      <c r="D98" s="172" t="s">
        <v>813</v>
      </c>
      <c r="E98" s="173">
        <v>2568.9001132075473</v>
      </c>
      <c r="F98" s="63"/>
      <c r="G98" s="60"/>
      <c r="H98" s="60"/>
      <c r="I98" s="64"/>
      <c r="J98" s="62" t="str">
        <f>IF(I$2&lt;&gt;"",E98-I98,"")</f>
        <v/>
      </c>
      <c r="K98" s="61"/>
      <c r="L98" s="174"/>
    </row>
    <row r="99" spans="2:12" customFormat="1" outlineLevel="1" x14ac:dyDescent="0.25">
      <c r="B99" s="171">
        <v>3</v>
      </c>
      <c r="C99" s="4" t="s">
        <v>288</v>
      </c>
      <c r="D99" s="172" t="s">
        <v>814</v>
      </c>
      <c r="E99" s="173">
        <v>59170.189776112071</v>
      </c>
      <c r="F99" s="63"/>
      <c r="G99" s="60"/>
      <c r="H99" s="60"/>
      <c r="I99" s="64"/>
      <c r="J99" s="62" t="str">
        <f>IF(I$2&lt;&gt;"",E99-I99,"")</f>
        <v/>
      </c>
      <c r="K99" s="61"/>
      <c r="L99" s="174"/>
    </row>
    <row r="100" spans="2:12" x14ac:dyDescent="0.25">
      <c r="B100" s="147">
        <v>2</v>
      </c>
      <c r="C100" s="166" t="s">
        <v>50</v>
      </c>
      <c r="D100" s="167" t="s">
        <v>18</v>
      </c>
      <c r="E100" s="168">
        <f>SUBTOTAL(9,E101:E101)</f>
        <v>123476.220162</v>
      </c>
      <c r="F100" s="169"/>
      <c r="G100" s="168"/>
      <c r="H100" s="168"/>
      <c r="I100" s="170"/>
      <c r="J100" s="168"/>
      <c r="K100" s="168"/>
      <c r="L100" s="148"/>
    </row>
    <row r="101" spans="2:12" customFormat="1" outlineLevel="1" x14ac:dyDescent="0.25">
      <c r="B101" s="171">
        <v>3</v>
      </c>
      <c r="C101" s="4" t="s">
        <v>380</v>
      </c>
      <c r="D101" s="172" t="s">
        <v>869</v>
      </c>
      <c r="E101" s="173">
        <v>123476.220162</v>
      </c>
      <c r="F101" s="63"/>
      <c r="G101" s="60"/>
      <c r="H101" s="60"/>
      <c r="I101" s="64"/>
      <c r="J101" s="62" t="str">
        <f>IF(I$2&lt;&gt;"",E101-I101,"")</f>
        <v/>
      </c>
      <c r="K101" s="61"/>
      <c r="L101" s="174"/>
    </row>
    <row r="102" spans="2:12" x14ac:dyDescent="0.25">
      <c r="B102" s="147">
        <v>2</v>
      </c>
      <c r="C102" s="166" t="s">
        <v>51</v>
      </c>
      <c r="D102" s="167" t="s">
        <v>19</v>
      </c>
      <c r="E102" s="168">
        <f>SUBTOTAL(9,E103:E103)</f>
        <v>76400.07327227424</v>
      </c>
      <c r="F102" s="169"/>
      <c r="G102" s="168"/>
      <c r="H102" s="168"/>
      <c r="I102" s="170"/>
      <c r="J102" s="168"/>
      <c r="K102" s="168"/>
      <c r="L102" s="148"/>
    </row>
    <row r="103" spans="2:12" customFormat="1" outlineLevel="1" x14ac:dyDescent="0.25">
      <c r="B103" s="171">
        <v>3</v>
      </c>
      <c r="C103" s="4" t="s">
        <v>176</v>
      </c>
      <c r="D103" s="172" t="s">
        <v>818</v>
      </c>
      <c r="E103" s="173">
        <v>76400.07327227424</v>
      </c>
      <c r="F103" s="63"/>
      <c r="G103" s="60"/>
      <c r="H103" s="60"/>
      <c r="I103" s="64"/>
      <c r="J103" s="62" t="str">
        <f>IF(I$2&lt;&gt;"",E103-I103,"")</f>
        <v/>
      </c>
      <c r="K103" s="61"/>
      <c r="L103" s="174"/>
    </row>
    <row r="104" spans="2:12" x14ac:dyDescent="0.25">
      <c r="B104" s="147">
        <v>2</v>
      </c>
      <c r="C104" s="166" t="s">
        <v>52</v>
      </c>
      <c r="D104" s="167" t="s">
        <v>20</v>
      </c>
      <c r="E104" s="168">
        <f>SUBTOTAL(9,E105:E105)</f>
        <v>770000</v>
      </c>
      <c r="F104" s="169"/>
      <c r="G104" s="168"/>
      <c r="H104" s="168"/>
      <c r="I104" s="170"/>
      <c r="J104" s="168"/>
      <c r="K104" s="168"/>
      <c r="L104" s="148"/>
    </row>
    <row r="105" spans="2:12" customFormat="1" outlineLevel="1" x14ac:dyDescent="0.25">
      <c r="B105" s="171">
        <v>3</v>
      </c>
      <c r="C105" s="4" t="s">
        <v>391</v>
      </c>
      <c r="D105" s="172" t="s">
        <v>830</v>
      </c>
      <c r="E105" s="173">
        <v>770000</v>
      </c>
      <c r="F105" s="63"/>
      <c r="G105" s="60"/>
      <c r="H105" s="60"/>
      <c r="I105" s="64"/>
      <c r="J105" s="62" t="str">
        <f>IF(I$2&lt;&gt;"",E105-I105,"")</f>
        <v/>
      </c>
      <c r="K105" s="61"/>
      <c r="L105" s="174"/>
    </row>
    <row r="106" spans="2:12" x14ac:dyDescent="0.25">
      <c r="B106" s="147">
        <v>2</v>
      </c>
      <c r="C106" s="166" t="s">
        <v>57</v>
      </c>
      <c r="D106" s="167" t="s">
        <v>21</v>
      </c>
      <c r="E106" s="168">
        <f>SUBTOTAL(9,E107:E114)</f>
        <v>1921974.5197775369</v>
      </c>
      <c r="F106" s="169"/>
      <c r="G106" s="168"/>
      <c r="H106" s="168"/>
      <c r="I106" s="170"/>
      <c r="J106" s="168"/>
      <c r="K106" s="168"/>
      <c r="L106" s="148"/>
    </row>
    <row r="107" spans="2:12" customFormat="1" outlineLevel="1" x14ac:dyDescent="0.25">
      <c r="B107" s="171">
        <v>3</v>
      </c>
      <c r="C107" s="4" t="s">
        <v>402</v>
      </c>
      <c r="D107" s="172" t="s">
        <v>831</v>
      </c>
      <c r="E107" s="173">
        <v>55403.687978929644</v>
      </c>
      <c r="F107" s="63"/>
      <c r="G107" s="60"/>
      <c r="H107" s="60"/>
      <c r="I107" s="64"/>
      <c r="J107" s="62" t="str">
        <f>IF(I$2&lt;&gt;"",E107-I107,"")</f>
        <v/>
      </c>
      <c r="K107" s="61"/>
      <c r="L107" s="174"/>
    </row>
    <row r="108" spans="2:12" customFormat="1" outlineLevel="1" x14ac:dyDescent="0.25">
      <c r="B108" s="171">
        <v>3</v>
      </c>
      <c r="C108" s="4" t="s">
        <v>403</v>
      </c>
      <c r="D108" s="172" t="s">
        <v>833</v>
      </c>
      <c r="E108" s="173">
        <v>26548.6773744497</v>
      </c>
      <c r="F108" s="63"/>
      <c r="G108" s="60"/>
      <c r="H108" s="60"/>
      <c r="I108" s="64"/>
      <c r="J108" s="62" t="str">
        <f>IF(I$2&lt;&gt;"",E108-I108,"")</f>
        <v/>
      </c>
      <c r="K108" s="61"/>
      <c r="L108" s="174"/>
    </row>
    <row r="109" spans="2:12" customFormat="1" outlineLevel="1" x14ac:dyDescent="0.25">
      <c r="B109" s="171">
        <v>3</v>
      </c>
      <c r="C109" s="4" t="s">
        <v>405</v>
      </c>
      <c r="D109" s="172" t="s">
        <v>835</v>
      </c>
      <c r="E109" s="173">
        <v>10600.50500750406</v>
      </c>
      <c r="F109" s="63"/>
      <c r="G109" s="60"/>
      <c r="H109" s="60"/>
      <c r="I109" s="64"/>
      <c r="J109" s="62" t="str">
        <f>IF(I$2&lt;&gt;"",E109-I109,"")</f>
        <v/>
      </c>
      <c r="K109" s="61"/>
      <c r="L109" s="174"/>
    </row>
    <row r="110" spans="2:12" customFormat="1" outlineLevel="1" x14ac:dyDescent="0.25">
      <c r="B110" s="171">
        <v>3</v>
      </c>
      <c r="C110" s="4" t="s">
        <v>407</v>
      </c>
      <c r="D110" s="172" t="s">
        <v>837</v>
      </c>
      <c r="E110" s="173">
        <v>1458437.1687861285</v>
      </c>
      <c r="F110" s="63"/>
      <c r="G110" s="60"/>
      <c r="H110" s="60"/>
      <c r="I110" s="64"/>
      <c r="J110" s="62" t="str">
        <f>IF(I$2&lt;&gt;"",E110-I110,"")</f>
        <v/>
      </c>
      <c r="K110" s="61"/>
      <c r="L110" s="174"/>
    </row>
    <row r="111" spans="2:12" customFormat="1" outlineLevel="1" x14ac:dyDescent="0.25">
      <c r="B111" s="171">
        <v>3</v>
      </c>
      <c r="C111" s="4" t="s">
        <v>410</v>
      </c>
      <c r="D111" s="172" t="s">
        <v>839</v>
      </c>
      <c r="E111" s="173">
        <v>58085.03830576934</v>
      </c>
      <c r="F111" s="63"/>
      <c r="G111" s="60"/>
      <c r="H111" s="60"/>
      <c r="I111" s="64"/>
      <c r="J111" s="62" t="str">
        <f>IF(I$2&lt;&gt;"",E111-I111,"")</f>
        <v/>
      </c>
      <c r="K111" s="61"/>
      <c r="L111" s="174"/>
    </row>
    <row r="112" spans="2:12" customFormat="1" outlineLevel="1" x14ac:dyDescent="0.25">
      <c r="B112" s="171">
        <v>3</v>
      </c>
      <c r="C112" s="4" t="s">
        <v>413</v>
      </c>
      <c r="D112" s="172" t="s">
        <v>841</v>
      </c>
      <c r="E112" s="173">
        <v>0</v>
      </c>
      <c r="F112" s="63"/>
      <c r="G112" s="60"/>
      <c r="H112" s="60"/>
      <c r="I112" s="64"/>
      <c r="J112" s="62" t="str">
        <f>IF(I$2&lt;&gt;"",E112-I112,"")</f>
        <v/>
      </c>
      <c r="K112" s="61"/>
      <c r="L112" s="174"/>
    </row>
    <row r="113" spans="2:12" customFormat="1" outlineLevel="1" x14ac:dyDescent="0.25">
      <c r="B113" s="171">
        <v>3</v>
      </c>
      <c r="C113" s="4" t="s">
        <v>416</v>
      </c>
      <c r="D113" s="172" t="s">
        <v>843</v>
      </c>
      <c r="E113" s="173">
        <v>248747.80361231067</v>
      </c>
      <c r="F113" s="63"/>
      <c r="G113" s="60"/>
      <c r="H113" s="60"/>
      <c r="I113" s="64"/>
      <c r="J113" s="62" t="str">
        <f>IF(I$2&lt;&gt;"",E113-I113,"")</f>
        <v/>
      </c>
      <c r="K113" s="61"/>
      <c r="L113" s="174"/>
    </row>
    <row r="114" spans="2:12" customFormat="1" outlineLevel="1" x14ac:dyDescent="0.25">
      <c r="B114" s="171">
        <v>3</v>
      </c>
      <c r="C114" s="4" t="s">
        <v>418</v>
      </c>
      <c r="D114" s="172" t="s">
        <v>845</v>
      </c>
      <c r="E114" s="173">
        <v>64151.638712444852</v>
      </c>
      <c r="F114" s="63"/>
      <c r="G114" s="60"/>
      <c r="H114" s="60"/>
      <c r="I114" s="64"/>
      <c r="J114" s="62" t="str">
        <f>IF(I$2&lt;&gt;"",E114-I114,"")</f>
        <v/>
      </c>
      <c r="K114" s="61"/>
      <c r="L114" s="174"/>
    </row>
    <row r="115" spans="2:12" x14ac:dyDescent="0.25">
      <c r="B115" s="147">
        <v>2</v>
      </c>
      <c r="C115" s="166" t="s">
        <v>58</v>
      </c>
      <c r="D115" s="167" t="s">
        <v>22</v>
      </c>
      <c r="E115" s="168">
        <f>SUBTOTAL(9,E116:E116)</f>
        <v>333060.48862740124</v>
      </c>
      <c r="F115" s="169"/>
      <c r="G115" s="168"/>
      <c r="H115" s="168"/>
      <c r="I115" s="170"/>
      <c r="J115" s="168"/>
      <c r="K115" s="168"/>
      <c r="L115" s="148"/>
    </row>
    <row r="116" spans="2:12" customFormat="1" outlineLevel="1" x14ac:dyDescent="0.25">
      <c r="B116" s="171">
        <v>3</v>
      </c>
      <c r="C116" s="4" t="s">
        <v>419</v>
      </c>
      <c r="D116" s="172" t="s">
        <v>22</v>
      </c>
      <c r="E116" s="173">
        <v>333060.48862740124</v>
      </c>
      <c r="F116" s="63"/>
      <c r="G116" s="60"/>
      <c r="H116" s="60"/>
      <c r="I116" s="64"/>
      <c r="J116" s="62" t="str">
        <f>IF(I$2&lt;&gt;"",E116-I116,"")</f>
        <v/>
      </c>
      <c r="K116" s="61"/>
      <c r="L116" s="174"/>
    </row>
    <row r="117" spans="2:12" x14ac:dyDescent="0.25">
      <c r="B117" s="147">
        <v>2</v>
      </c>
      <c r="C117" s="166" t="s">
        <v>59</v>
      </c>
      <c r="D117" s="167" t="s">
        <v>1</v>
      </c>
      <c r="E117" s="168">
        <f>SUBTOTAL(9,E118:E118)</f>
        <v>331723</v>
      </c>
      <c r="F117" s="169"/>
      <c r="G117" s="168"/>
      <c r="H117" s="168"/>
      <c r="I117" s="170"/>
      <c r="J117" s="168"/>
      <c r="K117" s="168"/>
      <c r="L117" s="148"/>
    </row>
    <row r="118" spans="2:12" customFormat="1" ht="15.75" outlineLevel="1" thickBot="1" x14ac:dyDescent="0.3">
      <c r="B118" s="171">
        <v>3</v>
      </c>
      <c r="C118" s="4" t="s">
        <v>472</v>
      </c>
      <c r="D118" s="172" t="s">
        <v>847</v>
      </c>
      <c r="E118" s="173">
        <v>331723</v>
      </c>
      <c r="F118" s="63"/>
      <c r="G118" s="60"/>
      <c r="H118" s="60"/>
      <c r="I118" s="64"/>
      <c r="J118" s="62" t="str">
        <f>IF(I$2&lt;&gt;"",E118-I118,"")</f>
        <v/>
      </c>
      <c r="K118" s="61"/>
      <c r="L118" s="174"/>
    </row>
    <row r="119" spans="2:12" s="92" customFormat="1" x14ac:dyDescent="0.25">
      <c r="B119" s="160"/>
      <c r="C119" s="161" t="s">
        <v>61</v>
      </c>
      <c r="D119" s="162"/>
      <c r="E119" s="163">
        <v>63640583.343912087</v>
      </c>
      <c r="F119" s="177">
        <f>SUBTOTAL(9,F3:F118)</f>
        <v>0</v>
      </c>
      <c r="G119" s="163">
        <f>SUBTOTAL(9,G3:G118)</f>
        <v>0</v>
      </c>
      <c r="H119" s="163">
        <f>SUBTOTAL(9,H3:H118)</f>
        <v>0</v>
      </c>
      <c r="I119" s="178">
        <f>SUBTOTAL(9,I3:I118)</f>
        <v>0</v>
      </c>
      <c r="J119" s="163"/>
      <c r="K119" s="163"/>
    </row>
  </sheetData>
  <sheetProtection sheet="1" objects="1" scenarios="1"/>
  <hyperlinks>
    <hyperlink ref="K1" location="'Table of contents'!A1" display="Return to TOC" xr:uid="{00000000-0004-0000-0D00-000000000000}"/>
  </hyperlinks>
  <printOptions horizontalCentered="1"/>
  <pageMargins left="0.25" right="0.25" top="0.5" bottom="0.5" header="0.25" footer="0.25"/>
  <pageSetup scale="1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UnitComparison">
    <tabColor theme="7" tint="0.39997558519241921"/>
    <pageSetUpPr fitToPage="1"/>
  </sheetPr>
  <dimension ref="B2:K33"/>
  <sheetViews>
    <sheetView showGridLines="0" workbookViewId="0">
      <pane ySplit="7" topLeftCell="A8" activePane="bottomLeft" state="frozen"/>
      <selection pane="bottomLeft"/>
    </sheetView>
  </sheetViews>
  <sheetFormatPr defaultColWidth="8.85546875" defaultRowHeight="15" x14ac:dyDescent="0.25"/>
  <cols>
    <col min="1" max="1" width="4.7109375" customWidth="1"/>
    <col min="2" max="2" width="4.7109375" style="77" hidden="1" customWidth="1"/>
    <col min="3" max="3" width="50.7109375" customWidth="1"/>
    <col min="4" max="5" width="12.7109375" customWidth="1"/>
    <col min="6" max="6" width="2.7109375" customWidth="1"/>
    <col min="7" max="8" width="12.7109375" customWidth="1"/>
    <col min="9" max="9" width="2.7109375" customWidth="1"/>
    <col min="10" max="10" width="12.7109375" customWidth="1"/>
    <col min="11" max="11" width="72.7109375" customWidth="1"/>
  </cols>
  <sheetData>
    <row r="2" spans="2:11" x14ac:dyDescent="0.25">
      <c r="K2" s="70" t="s">
        <v>66</v>
      </c>
    </row>
    <row r="3" spans="2:11" x14ac:dyDescent="0.25">
      <c r="C3" s="117"/>
      <c r="D3" s="118" t="s">
        <v>102</v>
      </c>
      <c r="E3" s="119"/>
      <c r="F3" s="120"/>
      <c r="G3" s="118" t="s">
        <v>102</v>
      </c>
      <c r="H3" s="119"/>
      <c r="I3" s="120"/>
      <c r="J3" s="121"/>
      <c r="K3" s="122"/>
    </row>
    <row r="4" spans="2:11" x14ac:dyDescent="0.25">
      <c r="C4" s="250" t="s">
        <v>82</v>
      </c>
      <c r="D4" s="251" t="s">
        <v>103</v>
      </c>
      <c r="E4" s="251" t="s">
        <v>104</v>
      </c>
      <c r="F4" s="120"/>
      <c r="G4" s="251" t="s">
        <v>105</v>
      </c>
      <c r="H4" s="251" t="s">
        <v>106</v>
      </c>
      <c r="I4" s="120"/>
      <c r="J4" s="249" t="s">
        <v>0</v>
      </c>
      <c r="K4" s="122"/>
    </row>
    <row r="5" spans="2:11" x14ac:dyDescent="0.25">
      <c r="C5" s="250"/>
      <c r="D5" s="251"/>
      <c r="E5" s="251"/>
      <c r="F5" s="120"/>
      <c r="G5" s="251"/>
      <c r="H5" s="251"/>
      <c r="I5" s="120"/>
      <c r="J5" s="249"/>
      <c r="K5" s="122" t="s">
        <v>69</v>
      </c>
    </row>
    <row r="6" spans="2:11" x14ac:dyDescent="0.25">
      <c r="C6" s="123" t="s">
        <v>107</v>
      </c>
      <c r="D6" s="124"/>
      <c r="E6" s="124"/>
      <c r="F6" s="120"/>
      <c r="G6" s="125"/>
      <c r="H6" s="124"/>
      <c r="I6" s="126"/>
      <c r="J6" s="127"/>
      <c r="K6" s="127"/>
    </row>
    <row r="7" spans="2:11" x14ac:dyDescent="0.25">
      <c r="C7" s="128" t="s">
        <v>108</v>
      </c>
      <c r="D7" s="122"/>
      <c r="E7" s="14">
        <v>4</v>
      </c>
      <c r="F7" s="120"/>
      <c r="G7" s="129"/>
      <c r="H7" s="14">
        <v>1</v>
      </c>
      <c r="I7" s="120"/>
      <c r="J7" s="122"/>
      <c r="K7" s="122"/>
    </row>
    <row r="8" spans="2:11" x14ac:dyDescent="0.25">
      <c r="B8" s="84" t="s">
        <v>41</v>
      </c>
      <c r="C8" s="140" t="s">
        <v>86</v>
      </c>
      <c r="D8" s="15"/>
      <c r="E8" s="19">
        <f>D8/E$7</f>
        <v>0</v>
      </c>
      <c r="F8" s="131"/>
      <c r="G8" s="106">
        <v>3</v>
      </c>
      <c r="H8" s="19">
        <f>G8/H$7</f>
        <v>3</v>
      </c>
      <c r="I8" s="131"/>
      <c r="J8" s="132">
        <f>H8-E8</f>
        <v>3</v>
      </c>
      <c r="K8" s="16"/>
    </row>
    <row r="9" spans="2:11" x14ac:dyDescent="0.25">
      <c r="B9" s="84" t="s">
        <v>42</v>
      </c>
      <c r="C9" s="140" t="s">
        <v>87</v>
      </c>
      <c r="D9" s="15"/>
      <c r="E9" s="19">
        <f t="shared" ref="E9:E19" si="0">D9/E$7</f>
        <v>0</v>
      </c>
      <c r="F9" s="133"/>
      <c r="G9" s="106">
        <v>132.5</v>
      </c>
      <c r="H9" s="19">
        <f t="shared" ref="H9:H19" si="1">G9/H$7</f>
        <v>132.5</v>
      </c>
      <c r="I9" s="133"/>
      <c r="J9" s="132">
        <f t="shared" ref="J9:J19" si="2">H9-E9</f>
        <v>132.5</v>
      </c>
      <c r="K9" s="16"/>
    </row>
    <row r="10" spans="2:11" x14ac:dyDescent="0.25">
      <c r="B10" s="84" t="s">
        <v>43</v>
      </c>
      <c r="C10" s="140" t="s">
        <v>512</v>
      </c>
      <c r="D10" s="15"/>
      <c r="E10" s="19">
        <f t="shared" si="0"/>
        <v>0</v>
      </c>
      <c r="F10" s="133"/>
      <c r="G10" s="106">
        <v>325.8</v>
      </c>
      <c r="H10" s="19">
        <f t="shared" si="1"/>
        <v>325.8</v>
      </c>
      <c r="I10" s="133"/>
      <c r="J10" s="132">
        <f t="shared" si="2"/>
        <v>325.8</v>
      </c>
      <c r="K10" s="16"/>
    </row>
    <row r="11" spans="2:11" x14ac:dyDescent="0.25">
      <c r="B11" s="84" t="s">
        <v>44</v>
      </c>
      <c r="C11" s="140" t="s">
        <v>88</v>
      </c>
      <c r="D11" s="15"/>
      <c r="E11" s="19">
        <f t="shared" si="0"/>
        <v>0</v>
      </c>
      <c r="F11" s="133"/>
      <c r="G11" s="106">
        <v>1644.5</v>
      </c>
      <c r="H11" s="19">
        <f t="shared" si="1"/>
        <v>1644.5</v>
      </c>
      <c r="I11" s="133"/>
      <c r="J11" s="132">
        <f t="shared" si="2"/>
        <v>1644.5</v>
      </c>
      <c r="K11" s="16"/>
    </row>
    <row r="12" spans="2:11" x14ac:dyDescent="0.25">
      <c r="B12" s="84" t="s">
        <v>45</v>
      </c>
      <c r="C12" s="140" t="s">
        <v>89</v>
      </c>
      <c r="D12" s="15"/>
      <c r="E12" s="19">
        <f t="shared" si="0"/>
        <v>0</v>
      </c>
      <c r="F12" s="133"/>
      <c r="G12" s="106">
        <v>1368.9</v>
      </c>
      <c r="H12" s="19">
        <f t="shared" si="1"/>
        <v>1368.9</v>
      </c>
      <c r="I12" s="133"/>
      <c r="J12" s="132">
        <f t="shared" si="2"/>
        <v>1368.9</v>
      </c>
      <c r="K12" s="16"/>
    </row>
    <row r="13" spans="2:11" x14ac:dyDescent="0.25">
      <c r="B13" s="84" t="s">
        <v>46</v>
      </c>
      <c r="C13" s="140" t="s">
        <v>513</v>
      </c>
      <c r="D13" s="15"/>
      <c r="E13" s="19">
        <f t="shared" si="0"/>
        <v>0</v>
      </c>
      <c r="F13" s="133"/>
      <c r="G13" s="106">
        <v>19198.900000000001</v>
      </c>
      <c r="H13" s="19">
        <f t="shared" si="1"/>
        <v>19198.900000000001</v>
      </c>
      <c r="I13" s="133"/>
      <c r="J13" s="132">
        <f t="shared" si="2"/>
        <v>19198.900000000001</v>
      </c>
      <c r="K13" s="17"/>
    </row>
    <row r="14" spans="2:11" x14ac:dyDescent="0.25">
      <c r="B14" s="84" t="s">
        <v>47</v>
      </c>
      <c r="C14" s="140" t="s">
        <v>514</v>
      </c>
      <c r="D14" s="15"/>
      <c r="E14" s="19">
        <f t="shared" si="0"/>
        <v>0</v>
      </c>
      <c r="F14" s="133"/>
      <c r="G14" s="106">
        <v>8999.6</v>
      </c>
      <c r="H14" s="19">
        <f t="shared" si="1"/>
        <v>8999.6</v>
      </c>
      <c r="I14" s="133"/>
      <c r="J14" s="132">
        <f t="shared" si="2"/>
        <v>8999.6</v>
      </c>
      <c r="K14" s="17"/>
    </row>
    <row r="15" spans="2:11" x14ac:dyDescent="0.25">
      <c r="B15" s="84" t="s">
        <v>48</v>
      </c>
      <c r="C15" s="140" t="s">
        <v>90</v>
      </c>
      <c r="D15" s="15"/>
      <c r="E15" s="19">
        <f t="shared" si="0"/>
        <v>0</v>
      </c>
      <c r="F15" s="133"/>
      <c r="G15" s="106">
        <v>3077.4</v>
      </c>
      <c r="H15" s="19">
        <f t="shared" si="1"/>
        <v>3077.4</v>
      </c>
      <c r="I15" s="133"/>
      <c r="J15" s="132">
        <f t="shared" si="2"/>
        <v>3077.4</v>
      </c>
      <c r="K15" s="16"/>
    </row>
    <row r="16" spans="2:11" x14ac:dyDescent="0.25">
      <c r="B16" s="84" t="s">
        <v>49</v>
      </c>
      <c r="C16" s="140" t="s">
        <v>91</v>
      </c>
      <c r="D16" s="15"/>
      <c r="E16" s="19">
        <f t="shared" si="0"/>
        <v>0</v>
      </c>
      <c r="F16" s="133"/>
      <c r="G16" s="106">
        <v>1728.8999999999999</v>
      </c>
      <c r="H16" s="19">
        <f t="shared" si="1"/>
        <v>1728.8999999999999</v>
      </c>
      <c r="I16" s="133"/>
      <c r="J16" s="132">
        <f t="shared" si="2"/>
        <v>1728.8999999999999</v>
      </c>
      <c r="K16" s="16"/>
    </row>
    <row r="17" spans="2:11" x14ac:dyDescent="0.25">
      <c r="B17" s="84" t="s">
        <v>50</v>
      </c>
      <c r="C17" s="140" t="s">
        <v>92</v>
      </c>
      <c r="D17" s="15"/>
      <c r="E17" s="19">
        <f t="shared" si="0"/>
        <v>0</v>
      </c>
      <c r="F17" s="133"/>
      <c r="G17" s="106">
        <v>123.5</v>
      </c>
      <c r="H17" s="19">
        <f t="shared" si="1"/>
        <v>123.5</v>
      </c>
      <c r="I17" s="133"/>
      <c r="J17" s="132">
        <f t="shared" si="2"/>
        <v>123.5</v>
      </c>
      <c r="K17" s="16"/>
    </row>
    <row r="18" spans="2:11" x14ac:dyDescent="0.25">
      <c r="B18" s="84" t="s">
        <v>51</v>
      </c>
      <c r="C18" s="140" t="s">
        <v>515</v>
      </c>
      <c r="D18" s="15"/>
      <c r="E18" s="19">
        <f t="shared" si="0"/>
        <v>0</v>
      </c>
      <c r="F18" s="133"/>
      <c r="G18" s="106">
        <v>985.10000000000014</v>
      </c>
      <c r="H18" s="19">
        <f t="shared" si="1"/>
        <v>985.10000000000014</v>
      </c>
      <c r="I18" s="133"/>
      <c r="J18" s="132">
        <f t="shared" si="2"/>
        <v>985.10000000000014</v>
      </c>
      <c r="K18" s="16"/>
    </row>
    <row r="19" spans="2:11" x14ac:dyDescent="0.25">
      <c r="B19" s="84" t="s">
        <v>52</v>
      </c>
      <c r="C19" s="140" t="s">
        <v>93</v>
      </c>
      <c r="D19" s="15"/>
      <c r="E19" s="19">
        <f t="shared" si="0"/>
        <v>0</v>
      </c>
      <c r="F19" s="133"/>
      <c r="G19" s="106">
        <v>6770</v>
      </c>
      <c r="H19" s="19">
        <f t="shared" si="1"/>
        <v>6770</v>
      </c>
      <c r="I19" s="133"/>
      <c r="J19" s="132">
        <f t="shared" si="2"/>
        <v>6770</v>
      </c>
      <c r="K19" s="16"/>
    </row>
    <row r="20" spans="2:11" x14ac:dyDescent="0.25">
      <c r="B20" s="88"/>
      <c r="C20" s="134" t="s">
        <v>94</v>
      </c>
      <c r="D20" s="13">
        <f>SUM(D8:D19)</f>
        <v>0</v>
      </c>
      <c r="E20" s="13">
        <f>SUM(E8:E19)</f>
        <v>0</v>
      </c>
      <c r="F20" s="133"/>
      <c r="G20" s="13">
        <v>44358.100000000006</v>
      </c>
      <c r="H20" s="13">
        <f>SUM(H8:H19)</f>
        <v>44358.100000000006</v>
      </c>
      <c r="I20" s="133"/>
      <c r="J20" s="13">
        <f>SUM(J8:J19)</f>
        <v>44358.100000000006</v>
      </c>
      <c r="K20" s="134"/>
    </row>
    <row r="21" spans="2:11" x14ac:dyDescent="0.25">
      <c r="B21" s="84" t="s">
        <v>57</v>
      </c>
      <c r="C21" s="130" t="s">
        <v>95</v>
      </c>
      <c r="D21" s="15"/>
      <c r="E21" s="19">
        <f>D21/E$7</f>
        <v>0</v>
      </c>
      <c r="F21" s="133"/>
      <c r="G21" s="106">
        <v>10788.5</v>
      </c>
      <c r="H21" s="19">
        <f>G21/H$7</f>
        <v>10788.5</v>
      </c>
      <c r="I21" s="133"/>
      <c r="J21" s="132">
        <f>H21-E21</f>
        <v>10788.5</v>
      </c>
      <c r="K21" s="17"/>
    </row>
    <row r="22" spans="2:11" x14ac:dyDescent="0.25">
      <c r="B22" s="84" t="s">
        <v>58</v>
      </c>
      <c r="C22" s="130" t="s">
        <v>96</v>
      </c>
      <c r="D22" s="15"/>
      <c r="E22" s="19">
        <f>D22/E$7</f>
        <v>0</v>
      </c>
      <c r="F22" s="133"/>
      <c r="G22" s="106">
        <v>5581.9</v>
      </c>
      <c r="H22" s="19">
        <f>G22/H$7</f>
        <v>5581.9</v>
      </c>
      <c r="I22" s="133"/>
      <c r="J22" s="132">
        <f>H22-E22</f>
        <v>5581.9</v>
      </c>
      <c r="K22" s="17"/>
    </row>
    <row r="23" spans="2:11" x14ac:dyDescent="0.25">
      <c r="B23" s="88"/>
      <c r="C23" s="134" t="s">
        <v>23</v>
      </c>
      <c r="D23" s="13">
        <f>SUM(D20:D22)</f>
        <v>0</v>
      </c>
      <c r="E23" s="13">
        <f>SUM(E20:E22)</f>
        <v>0</v>
      </c>
      <c r="F23" s="133"/>
      <c r="G23" s="13">
        <v>60728.500000000007</v>
      </c>
      <c r="H23" s="13">
        <f>SUM(H20:H22)</f>
        <v>60728.500000000007</v>
      </c>
      <c r="I23" s="133"/>
      <c r="J23" s="13">
        <f>SUM(J20:J22)</f>
        <v>60728.500000000007</v>
      </c>
      <c r="K23" s="134"/>
    </row>
    <row r="24" spans="2:11" x14ac:dyDescent="0.25">
      <c r="B24" s="84" t="s">
        <v>59</v>
      </c>
      <c r="C24" s="130" t="s">
        <v>97</v>
      </c>
      <c r="D24" s="15"/>
      <c r="E24" s="19">
        <f>D24/E$7</f>
        <v>0</v>
      </c>
      <c r="F24" s="133"/>
      <c r="G24" s="106">
        <v>2911.9</v>
      </c>
      <c r="H24" s="19">
        <f>G24/H$7</f>
        <v>2911.9</v>
      </c>
      <c r="I24" s="133"/>
      <c r="J24" s="132">
        <f>H24-E24</f>
        <v>2911.9</v>
      </c>
      <c r="K24" s="16"/>
    </row>
    <row r="25" spans="2:11" hidden="1" x14ac:dyDescent="0.25">
      <c r="B25" s="88"/>
      <c r="C25" s="130"/>
      <c r="D25" s="15"/>
      <c r="E25" s="19">
        <f>D25/E$7</f>
        <v>0</v>
      </c>
      <c r="F25" s="133"/>
      <c r="G25" s="106">
        <v>0</v>
      </c>
      <c r="H25" s="19">
        <f>G25/H$7</f>
        <v>0</v>
      </c>
      <c r="I25" s="133"/>
      <c r="J25" s="132">
        <f>H25-E25</f>
        <v>0</v>
      </c>
      <c r="K25" s="16"/>
    </row>
    <row r="26" spans="2:11" x14ac:dyDescent="0.25">
      <c r="C26" s="134" t="s">
        <v>158</v>
      </c>
      <c r="D26" s="13">
        <f>SUM(D23:D25)</f>
        <v>0</v>
      </c>
      <c r="E26" s="13">
        <f>SUM(E23:E25)</f>
        <v>0</v>
      </c>
      <c r="F26" s="133"/>
      <c r="G26" s="13">
        <v>63640.400000000009</v>
      </c>
      <c r="H26" s="13">
        <f>SUM(H23:H25)</f>
        <v>63640.400000000009</v>
      </c>
      <c r="I26" s="133"/>
      <c r="J26" s="13">
        <f>SUM(J23:J25)</f>
        <v>63640.400000000009</v>
      </c>
      <c r="K26" s="134"/>
    </row>
    <row r="27" spans="2:11" x14ac:dyDescent="0.25">
      <c r="B27" s="84" t="s">
        <v>60</v>
      </c>
      <c r="C27" s="130" t="s">
        <v>98</v>
      </c>
      <c r="D27" s="15"/>
      <c r="E27" s="19">
        <f>D27/E$7</f>
        <v>0</v>
      </c>
      <c r="F27" s="133"/>
      <c r="G27" s="106">
        <v>0</v>
      </c>
      <c r="H27" s="19">
        <f>G27/H$7</f>
        <v>0</v>
      </c>
      <c r="I27" s="133"/>
      <c r="J27" s="132">
        <f>H27-E27</f>
        <v>0</v>
      </c>
      <c r="K27" s="16"/>
    </row>
    <row r="28" spans="2:11" hidden="1" x14ac:dyDescent="0.25">
      <c r="C28" s="130"/>
      <c r="D28" s="15"/>
      <c r="E28" s="19">
        <f>D28/E$7</f>
        <v>0</v>
      </c>
      <c r="F28" s="133"/>
      <c r="G28" s="106">
        <v>0</v>
      </c>
      <c r="H28" s="19">
        <f>G28/H$7</f>
        <v>0</v>
      </c>
      <c r="I28" s="133"/>
      <c r="J28" s="132">
        <f>H28-E28</f>
        <v>0</v>
      </c>
      <c r="K28" s="16"/>
    </row>
    <row r="29" spans="2:11" x14ac:dyDescent="0.25">
      <c r="C29" s="134" t="s">
        <v>99</v>
      </c>
      <c r="D29" s="13">
        <f>SUM(D26:D28)</f>
        <v>0</v>
      </c>
      <c r="E29" s="13">
        <f>SUM(E26:E28)</f>
        <v>0</v>
      </c>
      <c r="F29" s="133"/>
      <c r="G29" s="13">
        <v>63640.400000000009</v>
      </c>
      <c r="H29" s="13">
        <f>SUM(H26:H28)</f>
        <v>63640.400000000009</v>
      </c>
      <c r="I29" s="133"/>
      <c r="J29" s="13">
        <f>SUM(J26:J28)</f>
        <v>63640.400000000009</v>
      </c>
      <c r="K29" s="134"/>
    </row>
    <row r="30" spans="2:11" x14ac:dyDescent="0.25">
      <c r="C30" s="134" t="s">
        <v>100</v>
      </c>
      <c r="D30" s="13"/>
      <c r="E30" s="13">
        <f>D30/E$7</f>
        <v>0</v>
      </c>
      <c r="F30" s="133"/>
      <c r="G30" s="13"/>
      <c r="H30" s="13">
        <f>G30/H$7</f>
        <v>0</v>
      </c>
      <c r="I30" s="133"/>
      <c r="J30" s="13">
        <f>H30-E30</f>
        <v>0</v>
      </c>
      <c r="K30" s="134"/>
    </row>
    <row r="31" spans="2:11" x14ac:dyDescent="0.25">
      <c r="C31" s="134" t="s">
        <v>101</v>
      </c>
      <c r="D31" s="13">
        <f>SUM(D29:D30)</f>
        <v>0</v>
      </c>
      <c r="E31" s="13">
        <f>SUM(E29:E30)</f>
        <v>0</v>
      </c>
      <c r="F31" s="133"/>
      <c r="G31" s="13">
        <v>63640.400000000009</v>
      </c>
      <c r="H31" s="13">
        <f>SUM(H29:H30)</f>
        <v>63640.400000000009</v>
      </c>
      <c r="I31" s="133"/>
      <c r="J31" s="13">
        <f>SUM(J29:J30)</f>
        <v>63640.400000000009</v>
      </c>
      <c r="K31" s="134"/>
    </row>
    <row r="32" spans="2:11" x14ac:dyDescent="0.25">
      <c r="C32" s="135"/>
      <c r="D32" s="18"/>
      <c r="E32" s="20"/>
      <c r="F32" s="136"/>
      <c r="G32" s="20"/>
      <c r="H32" s="20"/>
      <c r="I32" s="136"/>
      <c r="J32" s="20"/>
      <c r="K32" s="18"/>
    </row>
    <row r="33" spans="5:10" x14ac:dyDescent="0.25">
      <c r="E33" s="136"/>
      <c r="F33" s="136"/>
      <c r="G33" s="136"/>
      <c r="H33" s="136"/>
      <c r="I33" s="136"/>
      <c r="J33" s="136"/>
    </row>
  </sheetData>
  <sheetProtection sheet="1" objects="1" scenarios="1"/>
  <mergeCells count="6">
    <mergeCell ref="J4:J5"/>
    <mergeCell ref="C4:C5"/>
    <mergeCell ref="D4:D5"/>
    <mergeCell ref="E4:E5"/>
    <mergeCell ref="G4:G5"/>
    <mergeCell ref="H4:H5"/>
  </mergeCells>
  <hyperlinks>
    <hyperlink ref="K2" location="'Table of contents'!A1" display="Return to TOC" xr:uid="{00000000-0004-0000-0E00-000000000000}"/>
  </hyperlinks>
  <printOptions horizontalCentered="1"/>
  <pageMargins left="0.25" right="0.25" top="0.5" bottom="0.5" header="0.25" footer="0.25"/>
  <pageSetup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eck_data">
    <tabColor theme="0" tint="-0.499984740745262"/>
    <pageSetUpPr fitToPage="1"/>
  </sheetPr>
  <dimension ref="B1:E78"/>
  <sheetViews>
    <sheetView showGridLines="0" workbookViewId="0"/>
  </sheetViews>
  <sheetFormatPr defaultColWidth="8.85546875" defaultRowHeight="15" x14ac:dyDescent="0.25"/>
  <cols>
    <col min="1" max="1" width="4.7109375" customWidth="1"/>
    <col min="2" max="2" width="20.7109375" bestFit="1" customWidth="1"/>
    <col min="3" max="6" width="16.7109375" customWidth="1"/>
  </cols>
  <sheetData>
    <row r="1" spans="2:5" s="5" customFormat="1" x14ac:dyDescent="0.25"/>
    <row r="2" spans="2:5" s="5" customFormat="1" ht="30" x14ac:dyDescent="0.25">
      <c r="B2" s="80" t="s">
        <v>496</v>
      </c>
      <c r="C2" s="10" t="s">
        <v>78</v>
      </c>
      <c r="D2" s="10" t="s">
        <v>79</v>
      </c>
      <c r="E2" s="10" t="s">
        <v>80</v>
      </c>
    </row>
    <row r="3" spans="2:5" s="5" customFormat="1" x14ac:dyDescent="0.25">
      <c r="B3" s="58" t="s">
        <v>495</v>
      </c>
      <c r="C3" s="11">
        <v>4298463.1600000011</v>
      </c>
      <c r="D3" s="11">
        <v>4298463.16</v>
      </c>
      <c r="E3" s="11">
        <v>0</v>
      </c>
    </row>
    <row r="4" spans="2:5" s="5" customFormat="1" x14ac:dyDescent="0.25">
      <c r="B4" s="58" t="s">
        <v>492</v>
      </c>
      <c r="C4" s="11">
        <v>14188151.8294426</v>
      </c>
      <c r="D4" s="11">
        <v>14188151.8294426</v>
      </c>
      <c r="E4" s="11">
        <v>0</v>
      </c>
    </row>
    <row r="5" spans="2:5" s="5" customFormat="1" x14ac:dyDescent="0.25">
      <c r="B5" s="58" t="s">
        <v>110</v>
      </c>
      <c r="C5" s="11">
        <v>19747141.948310334</v>
      </c>
      <c r="D5" s="11">
        <v>19747141.948310334</v>
      </c>
      <c r="E5" s="11">
        <v>0</v>
      </c>
    </row>
    <row r="6" spans="2:5" s="5" customFormat="1" x14ac:dyDescent="0.25">
      <c r="B6" s="58" t="s">
        <v>493</v>
      </c>
      <c r="C6" s="11">
        <v>0</v>
      </c>
      <c r="D6" s="11">
        <v>0</v>
      </c>
      <c r="E6" s="11">
        <v>0</v>
      </c>
    </row>
    <row r="7" spans="2:5" s="5" customFormat="1" x14ac:dyDescent="0.25">
      <c r="B7" s="58" t="s">
        <v>494</v>
      </c>
      <c r="C7" s="11">
        <v>714295.72342274396</v>
      </c>
      <c r="D7" s="11">
        <v>714295.72342274396</v>
      </c>
      <c r="E7" s="11">
        <v>0</v>
      </c>
    </row>
    <row r="8" spans="2:5" s="5" customFormat="1" x14ac:dyDescent="0.25">
      <c r="B8" s="58" t="s">
        <v>19</v>
      </c>
      <c r="C8" s="11">
        <v>24692530.682736397</v>
      </c>
      <c r="D8" s="11">
        <v>24692530.682736386</v>
      </c>
      <c r="E8" s="11">
        <v>0</v>
      </c>
    </row>
    <row r="9" spans="2:5" s="5" customFormat="1" x14ac:dyDescent="0.25">
      <c r="B9" s="67"/>
      <c r="C9" s="12">
        <v>59342120.183912076</v>
      </c>
      <c r="D9" s="12">
        <v>59342120.183912069</v>
      </c>
      <c r="E9" s="12">
        <v>0</v>
      </c>
    </row>
    <row r="10" spans="2:5" s="5" customFormat="1" x14ac:dyDescent="0.25">
      <c r="B10" s="67"/>
    </row>
    <row r="11" spans="2:5" s="5" customFormat="1" ht="26.25" x14ac:dyDescent="0.25">
      <c r="B11" s="80" t="s">
        <v>502</v>
      </c>
      <c r="C11" s="10" t="s">
        <v>169</v>
      </c>
      <c r="D11" s="10" t="s">
        <v>503</v>
      </c>
      <c r="E11" s="10" t="s">
        <v>505</v>
      </c>
    </row>
    <row r="12" spans="2:5" s="5" customFormat="1" x14ac:dyDescent="0.25">
      <c r="B12" s="58" t="s">
        <v>467</v>
      </c>
      <c r="C12" s="11">
        <v>63640300</v>
      </c>
      <c r="D12" s="11">
        <v>63640300</v>
      </c>
      <c r="E12" s="57" t="s">
        <v>75</v>
      </c>
    </row>
    <row r="13" spans="2:5" s="5" customFormat="1" x14ac:dyDescent="0.25">
      <c r="B13" s="58" t="s">
        <v>65</v>
      </c>
      <c r="C13" s="68">
        <v>63640583.343912065</v>
      </c>
      <c r="D13" s="11">
        <v>63640583.343912065</v>
      </c>
      <c r="E13" s="11">
        <v>283.34391206502914</v>
      </c>
    </row>
    <row r="14" spans="2:5" s="5" customFormat="1" x14ac:dyDescent="0.25">
      <c r="B14" s="58" t="s">
        <v>109</v>
      </c>
      <c r="C14" s="68">
        <v>63640583.34391208</v>
      </c>
      <c r="D14" s="11">
        <v>63640583.343912072</v>
      </c>
      <c r="E14" s="11">
        <v>283.34391207993031</v>
      </c>
    </row>
    <row r="15" spans="2:5" s="5" customFormat="1" x14ac:dyDescent="0.25">
      <c r="B15" s="58" t="s">
        <v>517</v>
      </c>
      <c r="C15" s="68">
        <v>63640583.343912087</v>
      </c>
      <c r="D15" s="11">
        <v>63640583.343912087</v>
      </c>
      <c r="E15" s="11">
        <v>283.34391208738089</v>
      </c>
    </row>
    <row r="16" spans="2:5" s="5" customFormat="1" x14ac:dyDescent="0.25">
      <c r="B16" s="58" t="s">
        <v>138</v>
      </c>
      <c r="C16" s="11">
        <v>63640400.000000007</v>
      </c>
      <c r="D16" s="11">
        <v>63640400.000000007</v>
      </c>
      <c r="E16" s="11">
        <v>100.00000000745058</v>
      </c>
    </row>
    <row r="17" spans="2:5" s="5" customFormat="1" x14ac:dyDescent="0.25">
      <c r="B17" s="58" t="s">
        <v>134</v>
      </c>
      <c r="C17" s="68">
        <v>63640583.343912013</v>
      </c>
      <c r="D17" s="57" t="s">
        <v>75</v>
      </c>
      <c r="E17" s="11">
        <v>283.34391201287508</v>
      </c>
    </row>
    <row r="18" spans="2:5" s="5" customFormat="1" x14ac:dyDescent="0.25">
      <c r="B18" s="58" t="s">
        <v>0</v>
      </c>
      <c r="C18" s="68">
        <v>63640583.343912087</v>
      </c>
      <c r="D18" s="11">
        <v>63640583.343912087</v>
      </c>
      <c r="E18" s="11">
        <v>283.34391208738089</v>
      </c>
    </row>
    <row r="19" spans="2:5" s="5" customFormat="1" x14ac:dyDescent="0.25">
      <c r="B19" s="69" t="s">
        <v>506</v>
      </c>
    </row>
    <row r="20" spans="2:5" s="5" customFormat="1" x14ac:dyDescent="0.25"/>
    <row r="21" spans="2:5" s="5" customFormat="1" ht="26.25" x14ac:dyDescent="0.25">
      <c r="B21" s="80" t="s">
        <v>497</v>
      </c>
      <c r="C21" s="10" t="s">
        <v>501</v>
      </c>
      <c r="D21" s="10" t="s">
        <v>504</v>
      </c>
    </row>
    <row r="22" spans="2:5" s="5" customFormat="1" x14ac:dyDescent="0.25">
      <c r="B22" s="58" t="s">
        <v>498</v>
      </c>
      <c r="C22" s="68">
        <v>713</v>
      </c>
      <c r="D22" s="68">
        <v>0</v>
      </c>
    </row>
    <row r="23" spans="2:5" s="5" customFormat="1" x14ac:dyDescent="0.25">
      <c r="B23" s="58" t="s">
        <v>499</v>
      </c>
      <c r="C23" s="68">
        <v>74</v>
      </c>
      <c r="D23" s="68">
        <v>0</v>
      </c>
    </row>
    <row r="24" spans="2:5" s="5" customFormat="1" x14ac:dyDescent="0.25">
      <c r="B24" s="58" t="s">
        <v>500</v>
      </c>
      <c r="C24" s="68">
        <v>0</v>
      </c>
      <c r="D24" s="57" t="s">
        <v>75</v>
      </c>
    </row>
    <row r="25" spans="2:5" s="5" customFormat="1" x14ac:dyDescent="0.25">
      <c r="B25" s="58" t="s">
        <v>468</v>
      </c>
      <c r="C25" s="68">
        <v>0</v>
      </c>
      <c r="D25" s="57" t="s">
        <v>75</v>
      </c>
    </row>
    <row r="26" spans="2:5" s="5" customFormat="1" x14ac:dyDescent="0.25"/>
    <row r="27" spans="2:5" s="5" customFormat="1" x14ac:dyDescent="0.25"/>
    <row r="28" spans="2:5" s="5" customFormat="1" x14ac:dyDescent="0.25"/>
    <row r="29" spans="2:5" s="5" customFormat="1" x14ac:dyDescent="0.25"/>
    <row r="30" spans="2:5" s="5" customFormat="1" x14ac:dyDescent="0.25"/>
    <row r="31" spans="2:5" s="5" customFormat="1" x14ac:dyDescent="0.25"/>
    <row r="32" spans="2:5" s="5" customFormat="1" x14ac:dyDescent="0.25"/>
    <row r="33" s="5" customFormat="1" x14ac:dyDescent="0.25"/>
    <row r="34" s="5" customFormat="1" ht="14.45" customHeight="1" x14ac:dyDescent="0.25"/>
    <row r="35" s="5" customFormat="1" x14ac:dyDescent="0.25"/>
    <row r="36" s="5" customFormat="1" x14ac:dyDescent="0.25"/>
    <row r="37" s="5" customFormat="1" x14ac:dyDescent="0.25"/>
    <row r="38" s="5" customFormat="1" x14ac:dyDescent="0.25"/>
    <row r="39" s="5" customFormat="1" ht="14.45" customHeight="1" x14ac:dyDescent="0.25"/>
    <row r="40" s="5" customFormat="1" x14ac:dyDescent="0.25"/>
    <row r="41" s="5" customFormat="1" x14ac:dyDescent="0.25"/>
    <row r="42" s="5" customFormat="1" x14ac:dyDescent="0.25"/>
    <row r="43" s="5" customFormat="1" x14ac:dyDescent="0.25"/>
    <row r="44" s="5" customFormat="1" ht="14.45" customHeight="1" x14ac:dyDescent="0.25"/>
    <row r="45" s="5" customFormat="1" x14ac:dyDescent="0.25"/>
    <row r="46" s="5" customFormat="1" x14ac:dyDescent="0.25"/>
    <row r="47" s="5" customFormat="1" x14ac:dyDescent="0.25"/>
    <row r="48" s="5" customFormat="1" x14ac:dyDescent="0.25"/>
    <row r="49" s="5" customFormat="1" ht="14.45" customHeight="1" x14ac:dyDescent="0.25"/>
    <row r="50" s="5" customFormat="1" x14ac:dyDescent="0.25"/>
    <row r="51" s="5" customFormat="1" x14ac:dyDescent="0.25"/>
    <row r="52" s="5" customFormat="1" x14ac:dyDescent="0.25"/>
    <row r="53" s="5" customFormat="1" x14ac:dyDescent="0.25"/>
    <row r="54" s="5" customFormat="1" x14ac:dyDescent="0.25"/>
    <row r="55" s="5" customFormat="1" x14ac:dyDescent="0.25"/>
    <row r="56" s="5" customFormat="1" x14ac:dyDescent="0.25"/>
    <row r="57" s="5" customFormat="1" x14ac:dyDescent="0.25"/>
    <row r="58" s="5" customFormat="1" x14ac:dyDescent="0.25"/>
    <row r="59" s="5" customFormat="1" x14ac:dyDescent="0.25"/>
    <row r="60" s="5" customFormat="1" x14ac:dyDescent="0.25"/>
    <row r="61" s="5" customFormat="1" x14ac:dyDescent="0.25"/>
    <row r="62" s="5" customFormat="1" x14ac:dyDescent="0.25"/>
    <row r="63" s="5" customFormat="1" x14ac:dyDescent="0.25"/>
    <row r="64" s="5" customFormat="1" x14ac:dyDescent="0.25"/>
    <row r="65" spans="2:5" s="5" customFormat="1" x14ac:dyDescent="0.25"/>
    <row r="66" spans="2:5" s="5" customFormat="1" x14ac:dyDescent="0.25"/>
    <row r="67" spans="2:5" s="5" customFormat="1" x14ac:dyDescent="0.25"/>
    <row r="68" spans="2:5" s="5" customFormat="1" x14ac:dyDescent="0.25"/>
    <row r="69" spans="2:5" s="5" customFormat="1" x14ac:dyDescent="0.25"/>
    <row r="70" spans="2:5" s="5" customFormat="1" x14ac:dyDescent="0.25"/>
    <row r="71" spans="2:5" s="5" customFormat="1" x14ac:dyDescent="0.25"/>
    <row r="72" spans="2:5" s="5" customFormat="1" x14ac:dyDescent="0.25"/>
    <row r="73" spans="2:5" s="5" customFormat="1" ht="45" customHeight="1" x14ac:dyDescent="0.25">
      <c r="B73" s="252" t="s">
        <v>549</v>
      </c>
      <c r="C73" s="252" t="s">
        <v>549</v>
      </c>
      <c r="D73" s="252"/>
      <c r="E73" s="252" t="s">
        <v>549</v>
      </c>
    </row>
    <row r="74" spans="2:5" s="5" customFormat="1" ht="45" customHeight="1" x14ac:dyDescent="0.25">
      <c r="B74" s="252" t="s">
        <v>549</v>
      </c>
      <c r="C74" s="252" t="s">
        <v>549</v>
      </c>
      <c r="D74" s="252"/>
      <c r="E74" s="252" t="s">
        <v>549</v>
      </c>
    </row>
    <row r="75" spans="2:5" s="5" customFormat="1" ht="45" customHeight="1" x14ac:dyDescent="0.25">
      <c r="B75" s="252" t="s">
        <v>549</v>
      </c>
      <c r="C75" s="252" t="s">
        <v>549</v>
      </c>
      <c r="D75" s="252"/>
      <c r="E75" s="252" t="s">
        <v>549</v>
      </c>
    </row>
    <row r="76" spans="2:5" s="5" customFormat="1" ht="45" customHeight="1" x14ac:dyDescent="0.25">
      <c r="B76" s="252" t="s">
        <v>549</v>
      </c>
      <c r="C76" s="252" t="s">
        <v>549</v>
      </c>
      <c r="D76" s="252"/>
      <c r="E76" s="252" t="s">
        <v>549</v>
      </c>
    </row>
    <row r="77" spans="2:5" s="5" customFormat="1" x14ac:dyDescent="0.25"/>
    <row r="78" spans="2:5" s="5" customFormat="1" x14ac:dyDescent="0.25"/>
  </sheetData>
  <sheetProtection sheet="1" objects="1" scenarios="1"/>
  <mergeCells count="4">
    <mergeCell ref="B73:E73"/>
    <mergeCell ref="B74:E74"/>
    <mergeCell ref="B75:E75"/>
    <mergeCell ref="B76:E76"/>
  </mergeCells>
  <pageMargins left="0.7" right="0.7" top="0.75" bottom="0.75" header="0.3" footer="0.3"/>
  <pageSetup scale="8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2D5F58-2753-4C5E-ADC3-DDD00B4C27D8}">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75</vt:i4>
      </vt:variant>
    </vt:vector>
  </HeadingPairs>
  <TitlesOfParts>
    <vt:vector size="88" baseType="lpstr">
      <vt:lpstr>Table of contents</vt:lpstr>
      <vt:lpstr>Scope and Clarifications</vt:lpstr>
      <vt:lpstr>Overview</vt:lpstr>
      <vt:lpstr>Summary</vt:lpstr>
      <vt:lpstr>Schedule</vt:lpstr>
      <vt:lpstr>Bid</vt:lpstr>
      <vt:lpstr>Risk</vt:lpstr>
      <vt:lpstr>Item</vt:lpstr>
      <vt:lpstr>PAF</vt:lpstr>
      <vt:lpstr>PP4</vt:lpstr>
      <vt:lpstr>Delta</vt:lpstr>
      <vt:lpstr>Unit Comparison</vt:lpstr>
      <vt:lpstr>Data check</vt:lpstr>
      <vt:lpstr>'Data check'!Print_Area</vt:lpstr>
      <vt:lpstr>Overview!Print_Area</vt:lpstr>
      <vt:lpstr>'Scope and Clarifications'!Print_Area</vt:lpstr>
      <vt:lpstr>'Table of contents'!Print_Area</vt:lpstr>
      <vt:lpstr>Bid!rngActualTotalCost</vt:lpstr>
      <vt:lpstr>Schedule!rngActualTotalCost</vt:lpstr>
      <vt:lpstr>Bid!rngBodySection</vt:lpstr>
      <vt:lpstr>Delta!rngBodySection</vt:lpstr>
      <vt:lpstr>Item!rngBodySection</vt:lpstr>
      <vt:lpstr>PAF!rngBodySection</vt:lpstr>
      <vt:lpstr>Risk!rngBodySection</vt:lpstr>
      <vt:lpstr>Schedule!rngBodySection</vt:lpstr>
      <vt:lpstr>'Scope and Clarifications'!rngBodySection</vt:lpstr>
      <vt:lpstr>Summary!rngBodySection</vt:lpstr>
      <vt:lpstr>Delta!rngConvertToValues</vt:lpstr>
      <vt:lpstr>'Unit Comparison'!rngConvertToValues</vt:lpstr>
      <vt:lpstr>Delta!rngCostSection</vt:lpstr>
      <vt:lpstr>Item!rngCostSection</vt:lpstr>
      <vt:lpstr>Risk!rngCostSection</vt:lpstr>
      <vt:lpstr>Summary!rngCostSection</vt:lpstr>
      <vt:lpstr>'Data check'!rngDeleteRows_Portfolio</vt:lpstr>
      <vt:lpstr>'Table of contents'!rngDeleteRows_Portfolio</vt:lpstr>
      <vt:lpstr>Overview!rngDERTaxRows</vt:lpstr>
      <vt:lpstr>'PP4'!rngDetailedCostSummary</vt:lpstr>
      <vt:lpstr>Delta!rngEscalatedSection</vt:lpstr>
      <vt:lpstr>Item!rngEscalatedSection</vt:lpstr>
      <vt:lpstr>Risk!rngEscalatedSection</vt:lpstr>
      <vt:lpstr>Summary!rngEscalatedSection</vt:lpstr>
      <vt:lpstr>Bid!rngEscalatedTotalAmount</vt:lpstr>
      <vt:lpstr>Schedule!rngEscalatedTotalAmount</vt:lpstr>
      <vt:lpstr>PAF!rngExtendedScheduleSection</vt:lpstr>
      <vt:lpstr>Delta!rngHiddenColumns</vt:lpstr>
      <vt:lpstr>'PP4'!rngHiddenColumns</vt:lpstr>
      <vt:lpstr>Bid!rngID</vt:lpstr>
      <vt:lpstr>Delta!rngID</vt:lpstr>
      <vt:lpstr>Item!rngID</vt:lpstr>
      <vt:lpstr>Risk!rngID</vt:lpstr>
      <vt:lpstr>Schedule!rngID</vt:lpstr>
      <vt:lpstr>Summary!rngID</vt:lpstr>
      <vt:lpstr>Delta!rngKeySection</vt:lpstr>
      <vt:lpstr>Bid!rngLabel</vt:lpstr>
      <vt:lpstr>Overview!rngLabel</vt:lpstr>
      <vt:lpstr>PAF!rngLabel</vt:lpstr>
      <vt:lpstr>'PP4'!rngLabel</vt:lpstr>
      <vt:lpstr>Schedule!rngLabel</vt:lpstr>
      <vt:lpstr>PAF!rngLineItemCategoryRows</vt:lpstr>
      <vt:lpstr>'PP4'!rngProjectCostSummary</vt:lpstr>
      <vt:lpstr>Overview!rngProjectDirects</vt:lpstr>
      <vt:lpstr>'PP4'!rngProjectDirects</vt:lpstr>
      <vt:lpstr>Overview!rngProjectName</vt:lpstr>
      <vt:lpstr>'Scope and Clarifications'!rngProjectName</vt:lpstr>
      <vt:lpstr>Bid!rngProjectTotal</vt:lpstr>
      <vt:lpstr>Delta!rngProjectTotal</vt:lpstr>
      <vt:lpstr>Overview!rngProjectTotal</vt:lpstr>
      <vt:lpstr>PAF!rngProjectTotal</vt:lpstr>
      <vt:lpstr>'PP4'!rngProjectTotal</vt:lpstr>
      <vt:lpstr>Schedule!rngProjectTotal</vt:lpstr>
      <vt:lpstr>Summary!rngProjectTotal</vt:lpstr>
      <vt:lpstr>Overview!rngProjectTotalApprovalLevel</vt:lpstr>
      <vt:lpstr>PAF!rngProjectTotalApprovalLevel</vt:lpstr>
      <vt:lpstr>'PP4'!rngProjectTotalApprovalLevel</vt:lpstr>
      <vt:lpstr>'Data check'!rngProjectTotalApprovalLevel_Delta</vt:lpstr>
      <vt:lpstr>'Data check'!rngProjectTotalApprovalLevel_ScheduleProject</vt:lpstr>
      <vt:lpstr>'Data check'!rngProjectTotalApprovalLevel_SummaryProject</vt:lpstr>
      <vt:lpstr>Bid!rngScheduleSection</vt:lpstr>
      <vt:lpstr>Overview!rngScheduleSection</vt:lpstr>
      <vt:lpstr>PAF!rngScheduleSection</vt:lpstr>
      <vt:lpstr>'PP4'!rngScheduleSection</vt:lpstr>
      <vt:lpstr>Schedule!rngScheduleSection</vt:lpstr>
      <vt:lpstr>'Table of contents'!rngTOC</vt:lpstr>
      <vt:lpstr>Summary!rngTotalAmount</vt:lpstr>
      <vt:lpstr>Overview!rngTotalColumn</vt:lpstr>
      <vt:lpstr>Delta!rngUnEscalatedSection</vt:lpstr>
      <vt:lpstr>Item!rngUnEscalatedSection</vt:lpstr>
      <vt:lpstr>Risk!rngUnEscalatedSection</vt:lpstr>
    </vt:vector>
  </TitlesOfParts>
  <Company>Eos Group,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Estimate Summary Form</dc:title>
  <dc:subject/>
  <dc:creator>Matt Johnson</dc:creator>
  <cp:keywords>Version 2026-01-05</cp:keywords>
  <cp:lastModifiedBy>Roche, Brian J</cp:lastModifiedBy>
  <cp:lastPrinted>2024-05-31T12:59:56Z</cp:lastPrinted>
  <dcterms:created xsi:type="dcterms:W3CDTF">2022-06-06T03:05:55Z</dcterms:created>
  <dcterms:modified xsi:type="dcterms:W3CDTF">2026-09-10T10:36:22Z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{C12D5F58-2753-4C5E-ADC3-DDD00B4C27D8}</vt:lpwstr>
  </property>
</Properties>
</file>